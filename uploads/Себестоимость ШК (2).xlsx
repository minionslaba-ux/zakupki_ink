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DE302B-3E4F-4A00-9464-52ABBBA4358F}" xr6:coauthVersionLast="40" xr6:coauthVersionMax="40" xr10:uidLastSave="{00000000-0000-0000-0000-000000000000}"/>
  <bookViews>
    <workbookView xWindow="0" yWindow="0" windowWidth="38400" windowHeight="16425" tabRatio="835" xr2:uid="{00000000-000D-0000-FFFF-FFFF00000000}"/>
  </bookViews>
  <sheets>
    <sheet name="сентябрь 2024- июнь 2026" sheetId="26" r:id="rId1"/>
    <sheet name="Курс валют" sheetId="2" r:id="rId2"/>
    <sheet name="Формула Среднего" sheetId="3" r:id="rId3"/>
    <sheet name="СС" sheetId="12" r:id="rId4"/>
  </sheets>
  <externalReferences>
    <externalReference r:id="rId5"/>
  </externalReferences>
  <definedNames>
    <definedName name="_xlnm._FilterDatabase" localSheetId="0" hidden="1">'сентябрь 2024- июнь 2026'!$E$1:$E$957</definedName>
    <definedName name="_xlnm._FilterDatabase" localSheetId="2" hidden="1">'Формула Среднего'!$A$1:$V$131</definedName>
  </definedNames>
  <calcPr calcId="191029"/>
</workbook>
</file>

<file path=xl/calcChain.xml><?xml version="1.0" encoding="utf-8"?>
<calcChain xmlns="http://schemas.openxmlformats.org/spreadsheetml/2006/main">
  <c r="O2596" i="26" l="1"/>
  <c r="N2596" i="26"/>
  <c r="L2596" i="26"/>
  <c r="J2596" i="26"/>
  <c r="I2596" i="26"/>
  <c r="C2596" i="26"/>
  <c r="O2595" i="26"/>
  <c r="N2595" i="26"/>
  <c r="L2595" i="26"/>
  <c r="J2595" i="26"/>
  <c r="I2595" i="26"/>
  <c r="C2595" i="26"/>
  <c r="O2594" i="26"/>
  <c r="N2594" i="26"/>
  <c r="L2594" i="26"/>
  <c r="J2594" i="26"/>
  <c r="I2594" i="26"/>
  <c r="C2594" i="26"/>
  <c r="O2593" i="26"/>
  <c r="N2593" i="26"/>
  <c r="L2593" i="26"/>
  <c r="J2593" i="26"/>
  <c r="I2593" i="26"/>
  <c r="C2593" i="26"/>
  <c r="O2592" i="26"/>
  <c r="N2592" i="26"/>
  <c r="L2592" i="26"/>
  <c r="J2592" i="26"/>
  <c r="I2592" i="26"/>
  <c r="C2592" i="26"/>
  <c r="O2591" i="26"/>
  <c r="N2591" i="26"/>
  <c r="L2591" i="26"/>
  <c r="J2591" i="26"/>
  <c r="I2591" i="26"/>
  <c r="C2591" i="26"/>
  <c r="O2590" i="26"/>
  <c r="N2590" i="26"/>
  <c r="L2590" i="26"/>
  <c r="J2590" i="26"/>
  <c r="I2590" i="26"/>
  <c r="C2590" i="26"/>
  <c r="O2589" i="26"/>
  <c r="N2589" i="26"/>
  <c r="L2589" i="26"/>
  <c r="J2589" i="26"/>
  <c r="I2589" i="26"/>
  <c r="C2589" i="26"/>
  <c r="O2588" i="26"/>
  <c r="N2588" i="26"/>
  <c r="L2588" i="26"/>
  <c r="J2588" i="26"/>
  <c r="I2588" i="26"/>
  <c r="C2588" i="26"/>
  <c r="O2587" i="26"/>
  <c r="N2587" i="26"/>
  <c r="L2587" i="26"/>
  <c r="J2587" i="26"/>
  <c r="I2587" i="26"/>
  <c r="C2587" i="26"/>
  <c r="O2586" i="26"/>
  <c r="N2586" i="26"/>
  <c r="L2586" i="26"/>
  <c r="J2586" i="26"/>
  <c r="I2586" i="26"/>
  <c r="C2586" i="26"/>
  <c r="O2585" i="26"/>
  <c r="N2585" i="26"/>
  <c r="L2585" i="26"/>
  <c r="J2585" i="26"/>
  <c r="I2585" i="26"/>
  <c r="C2585" i="26"/>
  <c r="O2584" i="26"/>
  <c r="N2584" i="26"/>
  <c r="L2584" i="26"/>
  <c r="J2584" i="26"/>
  <c r="I2584" i="26"/>
  <c r="C2584" i="26"/>
  <c r="O2583" i="26"/>
  <c r="N2583" i="26"/>
  <c r="L2583" i="26"/>
  <c r="J2583" i="26"/>
  <c r="I2583" i="26"/>
  <c r="C2583" i="26"/>
  <c r="O2582" i="26"/>
  <c r="N2582" i="26"/>
  <c r="L2582" i="26"/>
  <c r="J2582" i="26"/>
  <c r="I2582" i="26"/>
  <c r="C2582" i="26"/>
  <c r="O2581" i="26"/>
  <c r="N2581" i="26"/>
  <c r="L2581" i="26"/>
  <c r="J2581" i="26"/>
  <c r="I2581" i="26"/>
  <c r="C2581" i="26"/>
  <c r="O2580" i="26"/>
  <c r="N2580" i="26"/>
  <c r="L2580" i="26"/>
  <c r="J2580" i="26"/>
  <c r="I2580" i="26"/>
  <c r="C2580" i="26"/>
  <c r="O2579" i="26"/>
  <c r="N2579" i="26"/>
  <c r="L2579" i="26"/>
  <c r="J2579" i="26"/>
  <c r="I2579" i="26"/>
  <c r="C2579" i="26"/>
  <c r="O2578" i="26"/>
  <c r="N2578" i="26"/>
  <c r="L2578" i="26"/>
  <c r="J2578" i="26"/>
  <c r="I2578" i="26"/>
  <c r="C2578" i="26"/>
  <c r="O2577" i="26"/>
  <c r="N2577" i="26"/>
  <c r="L2577" i="26"/>
  <c r="J2577" i="26"/>
  <c r="I2577" i="26"/>
  <c r="C2577" i="26"/>
  <c r="O2576" i="26"/>
  <c r="N2576" i="26"/>
  <c r="L2576" i="26"/>
  <c r="J2576" i="26"/>
  <c r="I2576" i="26"/>
  <c r="C2576" i="26"/>
  <c r="O2575" i="26"/>
  <c r="N2575" i="26"/>
  <c r="L2575" i="26"/>
  <c r="J2575" i="26"/>
  <c r="I2575" i="26"/>
  <c r="C2575" i="26"/>
  <c r="O2574" i="26"/>
  <c r="N2574" i="26"/>
  <c r="L2574" i="26"/>
  <c r="J2574" i="26"/>
  <c r="I2574" i="26"/>
  <c r="C2574" i="26"/>
  <c r="O2573" i="26"/>
  <c r="N2573" i="26"/>
  <c r="L2573" i="26"/>
  <c r="J2573" i="26"/>
  <c r="I2573" i="26"/>
  <c r="C2573" i="26"/>
  <c r="O2572" i="26"/>
  <c r="N2572" i="26"/>
  <c r="L2572" i="26"/>
  <c r="J2572" i="26"/>
  <c r="I2572" i="26"/>
  <c r="C2572" i="26"/>
  <c r="O2571" i="26"/>
  <c r="P2571" i="26" s="1"/>
  <c r="M2571" i="26" s="1"/>
  <c r="N2571" i="26"/>
  <c r="L2571" i="26"/>
  <c r="J2571" i="26"/>
  <c r="I2571" i="26"/>
  <c r="C2571" i="26"/>
  <c r="P2570" i="26"/>
  <c r="M2570" i="26" s="1"/>
  <c r="O2570" i="26"/>
  <c r="N2570" i="26"/>
  <c r="L2570" i="26"/>
  <c r="J2570" i="26"/>
  <c r="I2570" i="26"/>
  <c r="C2570" i="26"/>
  <c r="O2569" i="26"/>
  <c r="P2569" i="26" s="1"/>
  <c r="M2569" i="26" s="1"/>
  <c r="N2569" i="26"/>
  <c r="L2569" i="26"/>
  <c r="J2569" i="26"/>
  <c r="I2569" i="26"/>
  <c r="C2569" i="26"/>
  <c r="P2568" i="26"/>
  <c r="M2568" i="26" s="1"/>
  <c r="O2568" i="26"/>
  <c r="N2568" i="26"/>
  <c r="L2568" i="26"/>
  <c r="J2568" i="26"/>
  <c r="I2568" i="26"/>
  <c r="C2568" i="26"/>
  <c r="O2567" i="26"/>
  <c r="P2567" i="26" s="1"/>
  <c r="M2567" i="26" s="1"/>
  <c r="N2567" i="26"/>
  <c r="L2567" i="26"/>
  <c r="J2567" i="26"/>
  <c r="I2567" i="26"/>
  <c r="C2567" i="26"/>
  <c r="O2566" i="26"/>
  <c r="N2566" i="26"/>
  <c r="L2566" i="26"/>
  <c r="J2566" i="26"/>
  <c r="I2566" i="26"/>
  <c r="C2566" i="26"/>
  <c r="P2566" i="26" s="1"/>
  <c r="M2566" i="26" s="1"/>
  <c r="O2565" i="26"/>
  <c r="P2565" i="26" s="1"/>
  <c r="M2565" i="26" s="1"/>
  <c r="N2565" i="26"/>
  <c r="L2565" i="26"/>
  <c r="J2565" i="26"/>
  <c r="I2565" i="26"/>
  <c r="C2565" i="26"/>
  <c r="P2564" i="26"/>
  <c r="M2564" i="26" s="1"/>
  <c r="O2564" i="26"/>
  <c r="N2564" i="26"/>
  <c r="L2564" i="26"/>
  <c r="J2564" i="26"/>
  <c r="I2564" i="26"/>
  <c r="C2564" i="26"/>
  <c r="O2563" i="26"/>
  <c r="P2563" i="26" s="1"/>
  <c r="M2563" i="26" s="1"/>
  <c r="N2563" i="26"/>
  <c r="L2563" i="26"/>
  <c r="J2563" i="26"/>
  <c r="I2563" i="26"/>
  <c r="C2563" i="26"/>
  <c r="P2562" i="26"/>
  <c r="M2562" i="26" s="1"/>
  <c r="O2562" i="26"/>
  <c r="N2562" i="26"/>
  <c r="L2562" i="26"/>
  <c r="J2562" i="26"/>
  <c r="I2562" i="26"/>
  <c r="C2562" i="26"/>
  <c r="O2561" i="26"/>
  <c r="P2561" i="26" s="1"/>
  <c r="M2561" i="26" s="1"/>
  <c r="N2561" i="26"/>
  <c r="L2561" i="26"/>
  <c r="J2561" i="26"/>
  <c r="I2561" i="26"/>
  <c r="C2561" i="26"/>
  <c r="P2560" i="26"/>
  <c r="M2560" i="26" s="1"/>
  <c r="O2560" i="26"/>
  <c r="N2560" i="26"/>
  <c r="L2560" i="26"/>
  <c r="J2560" i="26"/>
  <c r="I2560" i="26"/>
  <c r="C2560" i="26"/>
  <c r="O2559" i="26"/>
  <c r="P2559" i="26" s="1"/>
  <c r="M2559" i="26" s="1"/>
  <c r="N2559" i="26"/>
  <c r="L2559" i="26"/>
  <c r="J2559" i="26"/>
  <c r="I2559" i="26"/>
  <c r="C2559" i="26"/>
  <c r="O2558" i="26"/>
  <c r="N2558" i="26"/>
  <c r="L2558" i="26"/>
  <c r="J2558" i="26"/>
  <c r="I2558" i="26"/>
  <c r="C2558" i="26"/>
  <c r="P2558" i="26" s="1"/>
  <c r="M2558" i="26" s="1"/>
  <c r="O2557" i="26"/>
  <c r="P2557" i="26" s="1"/>
  <c r="M2557" i="26" s="1"/>
  <c r="N2557" i="26"/>
  <c r="L2557" i="26"/>
  <c r="J2557" i="26"/>
  <c r="I2557" i="26"/>
  <c r="C2557" i="26"/>
  <c r="P2556" i="26"/>
  <c r="M2556" i="26" s="1"/>
  <c r="O2556" i="26"/>
  <c r="N2556" i="26"/>
  <c r="L2556" i="26"/>
  <c r="J2556" i="26"/>
  <c r="I2556" i="26"/>
  <c r="C2556" i="26"/>
  <c r="O2555" i="26"/>
  <c r="P2555" i="26" s="1"/>
  <c r="M2555" i="26" s="1"/>
  <c r="N2555" i="26"/>
  <c r="L2555" i="26"/>
  <c r="J2555" i="26"/>
  <c r="I2555" i="26"/>
  <c r="C2555" i="26"/>
  <c r="P2554" i="26"/>
  <c r="M2554" i="26" s="1"/>
  <c r="O2554" i="26"/>
  <c r="N2554" i="26"/>
  <c r="L2554" i="26"/>
  <c r="J2554" i="26"/>
  <c r="I2554" i="26"/>
  <c r="C2554" i="26"/>
  <c r="O2553" i="26"/>
  <c r="P2553" i="26" s="1"/>
  <c r="M2553" i="26" s="1"/>
  <c r="N2553" i="26"/>
  <c r="L2553" i="26"/>
  <c r="J2553" i="26"/>
  <c r="I2553" i="26"/>
  <c r="C2553" i="26"/>
  <c r="P2552" i="26"/>
  <c r="M2552" i="26" s="1"/>
  <c r="O2552" i="26"/>
  <c r="N2552" i="26"/>
  <c r="L2552" i="26"/>
  <c r="J2552" i="26"/>
  <c r="I2552" i="26"/>
  <c r="C2552" i="26"/>
  <c r="O2551" i="26"/>
  <c r="P2551" i="26" s="1"/>
  <c r="M2551" i="26" s="1"/>
  <c r="N2551" i="26"/>
  <c r="L2551" i="26"/>
  <c r="J2551" i="26"/>
  <c r="I2551" i="26"/>
  <c r="C2551" i="26"/>
  <c r="O2550" i="26"/>
  <c r="N2550" i="26"/>
  <c r="L2550" i="26"/>
  <c r="J2550" i="26"/>
  <c r="I2550" i="26"/>
  <c r="C2550" i="26"/>
  <c r="P2550" i="26" s="1"/>
  <c r="M2550" i="26" s="1"/>
  <c r="O2549" i="26"/>
  <c r="P2549" i="26" s="1"/>
  <c r="M2549" i="26" s="1"/>
  <c r="N2549" i="26"/>
  <c r="L2549" i="26"/>
  <c r="J2549" i="26"/>
  <c r="I2549" i="26"/>
  <c r="C2549" i="26"/>
  <c r="P2548" i="26"/>
  <c r="M2548" i="26" s="1"/>
  <c r="O2548" i="26"/>
  <c r="N2548" i="26"/>
  <c r="L2548" i="26"/>
  <c r="J2548" i="26"/>
  <c r="I2548" i="26"/>
  <c r="C2548" i="26"/>
  <c r="O2547" i="26"/>
  <c r="P2547" i="26" s="1"/>
  <c r="M2547" i="26" s="1"/>
  <c r="N2547" i="26"/>
  <c r="L2547" i="26"/>
  <c r="J2547" i="26"/>
  <c r="I2547" i="26"/>
  <c r="C2547" i="26"/>
  <c r="P2546" i="26"/>
  <c r="M2546" i="26" s="1"/>
  <c r="O2546" i="26"/>
  <c r="N2546" i="26"/>
  <c r="L2546" i="26"/>
  <c r="J2546" i="26"/>
  <c r="I2546" i="26"/>
  <c r="C2546" i="26"/>
  <c r="O2545" i="26"/>
  <c r="P2545" i="26" s="1"/>
  <c r="M2545" i="26" s="1"/>
  <c r="N2545" i="26"/>
  <c r="L2545" i="26"/>
  <c r="J2545" i="26"/>
  <c r="I2545" i="26"/>
  <c r="C2545" i="26"/>
  <c r="P2544" i="26"/>
  <c r="M2544" i="26" s="1"/>
  <c r="O2544" i="26"/>
  <c r="N2544" i="26"/>
  <c r="L2544" i="26"/>
  <c r="J2544" i="26"/>
  <c r="I2544" i="26"/>
  <c r="C2544" i="26"/>
  <c r="O2543" i="26"/>
  <c r="P2543" i="26" s="1"/>
  <c r="M2543" i="26" s="1"/>
  <c r="N2543" i="26"/>
  <c r="L2543" i="26"/>
  <c r="J2543" i="26"/>
  <c r="I2543" i="26"/>
  <c r="C2543" i="26"/>
  <c r="O2542" i="26"/>
  <c r="N2542" i="26"/>
  <c r="L2542" i="26"/>
  <c r="J2542" i="26"/>
  <c r="I2542" i="26"/>
  <c r="C2542" i="26"/>
  <c r="P2542" i="26" s="1"/>
  <c r="M2542" i="26" s="1"/>
  <c r="O2541" i="26"/>
  <c r="P2541" i="26" s="1"/>
  <c r="M2541" i="26" s="1"/>
  <c r="N2541" i="26"/>
  <c r="L2541" i="26"/>
  <c r="J2541" i="26"/>
  <c r="I2541" i="26"/>
  <c r="C2541" i="26"/>
  <c r="P2540" i="26"/>
  <c r="M2540" i="26" s="1"/>
  <c r="O2540" i="26"/>
  <c r="N2540" i="26"/>
  <c r="L2540" i="26"/>
  <c r="J2540" i="26"/>
  <c r="I2540" i="26"/>
  <c r="C2540" i="26"/>
  <c r="O2539" i="26"/>
  <c r="P2539" i="26" s="1"/>
  <c r="M2539" i="26" s="1"/>
  <c r="N2539" i="26"/>
  <c r="L2539" i="26"/>
  <c r="J2539" i="26"/>
  <c r="I2539" i="26"/>
  <c r="C2539" i="26"/>
  <c r="P2538" i="26"/>
  <c r="M2538" i="26" s="1"/>
  <c r="O2538" i="26"/>
  <c r="N2538" i="26"/>
  <c r="L2538" i="26"/>
  <c r="J2538" i="26"/>
  <c r="I2538" i="26"/>
  <c r="C2538" i="26"/>
  <c r="O2537" i="26"/>
  <c r="P2537" i="26" s="1"/>
  <c r="M2537" i="26" s="1"/>
  <c r="N2537" i="26"/>
  <c r="L2537" i="26"/>
  <c r="J2537" i="26"/>
  <c r="I2537" i="26"/>
  <c r="C2537" i="26"/>
  <c r="P2536" i="26"/>
  <c r="M2536" i="26" s="1"/>
  <c r="O2536" i="26"/>
  <c r="N2536" i="26"/>
  <c r="L2536" i="26"/>
  <c r="J2536" i="26"/>
  <c r="I2536" i="26"/>
  <c r="C2536" i="26"/>
  <c r="O2535" i="26"/>
  <c r="P2535" i="26" s="1"/>
  <c r="M2535" i="26" s="1"/>
  <c r="N2535" i="26"/>
  <c r="L2535" i="26"/>
  <c r="J2535" i="26"/>
  <c r="I2535" i="26"/>
  <c r="C2535" i="26"/>
  <c r="O2534" i="26"/>
  <c r="N2534" i="26"/>
  <c r="L2534" i="26"/>
  <c r="J2534" i="26"/>
  <c r="I2534" i="26"/>
  <c r="C2534" i="26"/>
  <c r="P2534" i="26" s="1"/>
  <c r="M2534" i="26" s="1"/>
  <c r="O2533" i="26"/>
  <c r="P2533" i="26" s="1"/>
  <c r="M2533" i="26" s="1"/>
  <c r="N2533" i="26"/>
  <c r="L2533" i="26"/>
  <c r="J2533" i="26"/>
  <c r="I2533" i="26"/>
  <c r="C2533" i="26"/>
  <c r="P2532" i="26"/>
  <c r="M2532" i="26" s="1"/>
  <c r="O2532" i="26"/>
  <c r="N2532" i="26"/>
  <c r="L2532" i="26"/>
  <c r="J2532" i="26"/>
  <c r="I2532" i="26"/>
  <c r="C2532" i="26"/>
  <c r="O2531" i="26"/>
  <c r="P2531" i="26" s="1"/>
  <c r="M2531" i="26" s="1"/>
  <c r="N2531" i="26"/>
  <c r="L2531" i="26"/>
  <c r="J2531" i="26"/>
  <c r="I2531" i="26"/>
  <c r="C2531" i="26"/>
  <c r="N2530" i="26"/>
  <c r="O2530" i="26" s="1"/>
  <c r="L2530" i="26"/>
  <c r="J2530" i="26"/>
  <c r="I2530" i="26"/>
  <c r="C2530" i="26"/>
  <c r="P2530" i="26" s="1"/>
  <c r="M2530" i="26" s="1"/>
  <c r="O2529" i="26"/>
  <c r="P2529" i="26" s="1"/>
  <c r="M2529" i="26" s="1"/>
  <c r="N2529" i="26"/>
  <c r="L2529" i="26"/>
  <c r="J2529" i="26"/>
  <c r="I2529" i="26"/>
  <c r="C2529" i="26"/>
  <c r="P2528" i="26"/>
  <c r="M2528" i="26" s="1"/>
  <c r="N2528" i="26"/>
  <c r="O2528" i="26" s="1"/>
  <c r="L2528" i="26"/>
  <c r="J2528" i="26"/>
  <c r="I2528" i="26"/>
  <c r="C2528" i="26"/>
  <c r="O2527" i="26"/>
  <c r="P2527" i="26" s="1"/>
  <c r="M2527" i="26" s="1"/>
  <c r="N2527" i="26"/>
  <c r="L2527" i="26"/>
  <c r="J2527" i="26"/>
  <c r="I2527" i="26"/>
  <c r="C2527" i="26"/>
  <c r="N2526" i="26"/>
  <c r="O2526" i="26" s="1"/>
  <c r="P2526" i="26" s="1"/>
  <c r="M2526" i="26" s="1"/>
  <c r="L2526" i="26"/>
  <c r="J2526" i="26"/>
  <c r="I2526" i="26"/>
  <c r="C2526" i="26"/>
  <c r="O2525" i="26"/>
  <c r="P2525" i="26" s="1"/>
  <c r="M2525" i="26" s="1"/>
  <c r="N2525" i="26"/>
  <c r="L2525" i="26"/>
  <c r="J2525" i="26"/>
  <c r="I2525" i="26"/>
  <c r="C2525" i="26"/>
  <c r="P2524" i="26"/>
  <c r="M2524" i="26" s="1"/>
  <c r="N2524" i="26"/>
  <c r="O2524" i="26" s="1"/>
  <c r="L2524" i="26"/>
  <c r="J2524" i="26"/>
  <c r="I2524" i="26"/>
  <c r="C2524" i="26"/>
  <c r="O2523" i="26"/>
  <c r="P2523" i="26" s="1"/>
  <c r="M2523" i="26" s="1"/>
  <c r="N2523" i="26"/>
  <c r="L2523" i="26"/>
  <c r="J2523" i="26"/>
  <c r="I2523" i="26"/>
  <c r="C2523" i="26"/>
  <c r="N2522" i="26"/>
  <c r="O2522" i="26" s="1"/>
  <c r="P2522" i="26" s="1"/>
  <c r="M2522" i="26" s="1"/>
  <c r="L2522" i="26"/>
  <c r="J2522" i="26"/>
  <c r="I2522" i="26"/>
  <c r="C2522" i="26"/>
  <c r="O2521" i="26"/>
  <c r="P2521" i="26" s="1"/>
  <c r="M2521" i="26" s="1"/>
  <c r="N2521" i="26"/>
  <c r="L2521" i="26"/>
  <c r="I2521" i="26"/>
  <c r="J2521" i="26" s="1"/>
  <c r="C2521" i="26"/>
  <c r="P2520" i="26"/>
  <c r="M2520" i="26" s="1"/>
  <c r="N2520" i="26"/>
  <c r="O2520" i="26" s="1"/>
  <c r="L2520" i="26"/>
  <c r="J2520" i="26"/>
  <c r="I2520" i="26"/>
  <c r="C2520" i="26"/>
  <c r="O2519" i="26"/>
  <c r="P2519" i="26" s="1"/>
  <c r="M2519" i="26" s="1"/>
  <c r="N2519" i="26"/>
  <c r="L2519" i="26"/>
  <c r="I2519" i="26"/>
  <c r="J2519" i="26" s="1"/>
  <c r="C2519" i="26"/>
  <c r="N2518" i="26"/>
  <c r="O2518" i="26" s="1"/>
  <c r="L2518" i="26"/>
  <c r="J2518" i="26"/>
  <c r="I2518" i="26"/>
  <c r="C2518" i="26"/>
  <c r="O2517" i="26"/>
  <c r="P2517" i="26" s="1"/>
  <c r="M2517" i="26" s="1"/>
  <c r="N2517" i="26"/>
  <c r="L2517" i="26"/>
  <c r="I2517" i="26"/>
  <c r="J2517" i="26" s="1"/>
  <c r="C2517" i="26"/>
  <c r="P2516" i="26"/>
  <c r="M2516" i="26" s="1"/>
  <c r="N2516" i="26"/>
  <c r="O2516" i="26" s="1"/>
  <c r="L2516" i="26"/>
  <c r="J2516" i="26"/>
  <c r="I2516" i="26"/>
  <c r="C2516" i="26"/>
  <c r="O2515" i="26"/>
  <c r="P2515" i="26" s="1"/>
  <c r="M2515" i="26" s="1"/>
  <c r="N2515" i="26"/>
  <c r="L2515" i="26"/>
  <c r="I2515" i="26"/>
  <c r="J2515" i="26" s="1"/>
  <c r="C2515" i="26"/>
  <c r="N2514" i="26"/>
  <c r="O2514" i="26" s="1"/>
  <c r="P2514" i="26" s="1"/>
  <c r="M2514" i="26" s="1"/>
  <c r="L2514" i="26"/>
  <c r="J2514" i="26"/>
  <c r="I2514" i="26"/>
  <c r="C2514" i="26"/>
  <c r="O2513" i="26"/>
  <c r="P2513" i="26" s="1"/>
  <c r="M2513" i="26" s="1"/>
  <c r="N2513" i="26"/>
  <c r="L2513" i="26"/>
  <c r="I2513" i="26"/>
  <c r="J2513" i="26" s="1"/>
  <c r="C2513" i="26"/>
  <c r="N2512" i="26"/>
  <c r="O2512" i="26" s="1"/>
  <c r="L2512" i="26"/>
  <c r="J2512" i="26"/>
  <c r="I2512" i="26"/>
  <c r="C2512" i="26"/>
  <c r="P2512" i="26" s="1"/>
  <c r="M2512" i="26" s="1"/>
  <c r="O2511" i="26"/>
  <c r="N2511" i="26"/>
  <c r="L2511" i="26"/>
  <c r="J2511" i="26"/>
  <c r="I2511" i="26"/>
  <c r="C2511" i="26"/>
  <c r="O2510" i="26"/>
  <c r="P2510" i="26" s="1"/>
  <c r="M2510" i="26" s="1"/>
  <c r="N2510" i="26"/>
  <c r="L2510" i="26"/>
  <c r="J2510" i="26"/>
  <c r="I2510" i="26"/>
  <c r="C2510" i="26"/>
  <c r="O2509" i="26"/>
  <c r="P2509" i="26" s="1"/>
  <c r="M2509" i="26" s="1"/>
  <c r="N2509" i="26"/>
  <c r="L2509" i="26"/>
  <c r="J2509" i="26"/>
  <c r="I2509" i="26"/>
  <c r="C2509" i="26"/>
  <c r="O2508" i="26"/>
  <c r="N2508" i="26"/>
  <c r="L2508" i="26"/>
  <c r="J2508" i="26"/>
  <c r="I2508" i="26"/>
  <c r="C2508" i="26"/>
  <c r="O2507" i="26"/>
  <c r="P2507" i="26" s="1"/>
  <c r="N2507" i="26"/>
  <c r="M2507" i="26"/>
  <c r="L2507" i="26"/>
  <c r="J2507" i="26"/>
  <c r="I2507" i="26"/>
  <c r="C2507" i="26"/>
  <c r="O2506" i="26"/>
  <c r="N2506" i="26"/>
  <c r="L2506" i="26"/>
  <c r="J2506" i="26"/>
  <c r="I2506" i="26"/>
  <c r="C2506" i="26"/>
  <c r="O2505" i="26"/>
  <c r="N2505" i="26"/>
  <c r="L2505" i="26"/>
  <c r="J2505" i="26"/>
  <c r="I2505" i="26"/>
  <c r="C2505" i="26"/>
  <c r="O2504" i="26"/>
  <c r="N2504" i="26"/>
  <c r="L2504" i="26"/>
  <c r="J2504" i="26"/>
  <c r="I2504" i="26"/>
  <c r="C2504" i="26"/>
  <c r="O2503" i="26"/>
  <c r="N2503" i="26"/>
  <c r="L2503" i="26"/>
  <c r="J2503" i="26"/>
  <c r="I2503" i="26"/>
  <c r="C2503" i="26"/>
  <c r="O2502" i="26"/>
  <c r="P2502" i="26" s="1"/>
  <c r="M2502" i="26" s="1"/>
  <c r="N2502" i="26"/>
  <c r="L2502" i="26"/>
  <c r="J2502" i="26"/>
  <c r="I2502" i="26"/>
  <c r="C2502" i="26"/>
  <c r="O2501" i="26"/>
  <c r="P2501" i="26" s="1"/>
  <c r="M2501" i="26" s="1"/>
  <c r="N2501" i="26"/>
  <c r="L2501" i="26"/>
  <c r="J2501" i="26"/>
  <c r="I2501" i="26"/>
  <c r="C2501" i="26"/>
  <c r="O2500" i="26"/>
  <c r="N2500" i="26"/>
  <c r="L2500" i="26"/>
  <c r="J2500" i="26"/>
  <c r="I2500" i="26"/>
  <c r="C2500" i="26"/>
  <c r="O2499" i="26"/>
  <c r="P2499" i="26" s="1"/>
  <c r="N2499" i="26"/>
  <c r="M2499" i="26"/>
  <c r="L2499" i="26"/>
  <c r="J2499" i="26"/>
  <c r="I2499" i="26"/>
  <c r="C2499" i="26"/>
  <c r="O2498" i="26"/>
  <c r="N2498" i="26"/>
  <c r="L2498" i="26"/>
  <c r="J2498" i="26"/>
  <c r="I2498" i="26"/>
  <c r="C2498" i="26"/>
  <c r="O2497" i="26"/>
  <c r="N2497" i="26"/>
  <c r="L2497" i="26"/>
  <c r="J2497" i="26"/>
  <c r="I2497" i="26"/>
  <c r="C2497" i="26"/>
  <c r="O2496" i="26"/>
  <c r="N2496" i="26"/>
  <c r="L2496" i="26"/>
  <c r="J2496" i="26"/>
  <c r="I2496" i="26"/>
  <c r="C2496" i="26"/>
  <c r="O2495" i="26"/>
  <c r="N2495" i="26"/>
  <c r="L2495" i="26"/>
  <c r="J2495" i="26"/>
  <c r="I2495" i="26"/>
  <c r="C2495" i="26"/>
  <c r="O2494" i="26"/>
  <c r="P2494" i="26" s="1"/>
  <c r="M2494" i="26" s="1"/>
  <c r="N2494" i="26"/>
  <c r="L2494" i="26"/>
  <c r="J2494" i="26"/>
  <c r="I2494" i="26"/>
  <c r="C2494" i="26"/>
  <c r="O2493" i="26"/>
  <c r="P2493" i="26" s="1"/>
  <c r="M2493" i="26" s="1"/>
  <c r="N2493" i="26"/>
  <c r="L2493" i="26"/>
  <c r="J2493" i="26"/>
  <c r="I2493" i="26"/>
  <c r="C2493" i="26"/>
  <c r="O2492" i="26"/>
  <c r="N2492" i="26"/>
  <c r="L2492" i="26"/>
  <c r="J2492" i="26"/>
  <c r="I2492" i="26"/>
  <c r="C2492" i="26"/>
  <c r="O2491" i="26"/>
  <c r="P2491" i="26" s="1"/>
  <c r="N2491" i="26"/>
  <c r="M2491" i="26"/>
  <c r="L2491" i="26"/>
  <c r="J2491" i="26"/>
  <c r="I2491" i="26"/>
  <c r="C2491" i="26"/>
  <c r="O2490" i="26"/>
  <c r="N2490" i="26"/>
  <c r="L2490" i="26"/>
  <c r="J2490" i="26"/>
  <c r="I2490" i="26"/>
  <c r="C2490" i="26"/>
  <c r="O2489" i="26"/>
  <c r="N2489" i="26"/>
  <c r="L2489" i="26"/>
  <c r="J2489" i="26"/>
  <c r="I2489" i="26"/>
  <c r="C2489" i="26"/>
  <c r="O2488" i="26"/>
  <c r="N2488" i="26"/>
  <c r="L2488" i="26"/>
  <c r="J2488" i="26"/>
  <c r="I2488" i="26"/>
  <c r="C2488" i="26"/>
  <c r="O2487" i="26"/>
  <c r="N2487" i="26"/>
  <c r="L2487" i="26"/>
  <c r="J2487" i="26"/>
  <c r="I2487" i="26"/>
  <c r="C2487" i="26"/>
  <c r="O2486" i="26"/>
  <c r="P2486" i="26" s="1"/>
  <c r="M2486" i="26" s="1"/>
  <c r="N2486" i="26"/>
  <c r="L2486" i="26"/>
  <c r="J2486" i="26"/>
  <c r="I2486" i="26"/>
  <c r="C2486" i="26"/>
  <c r="O2485" i="26"/>
  <c r="P2485" i="26" s="1"/>
  <c r="M2485" i="26" s="1"/>
  <c r="N2485" i="26"/>
  <c r="L2485" i="26"/>
  <c r="J2485" i="26"/>
  <c r="I2485" i="26"/>
  <c r="C2485" i="26"/>
  <c r="O2484" i="26"/>
  <c r="N2484" i="26"/>
  <c r="L2484" i="26"/>
  <c r="J2484" i="26"/>
  <c r="I2484" i="26"/>
  <c r="C2484" i="26"/>
  <c r="O2483" i="26"/>
  <c r="N2483" i="26"/>
  <c r="L2483" i="26"/>
  <c r="J2483" i="26"/>
  <c r="I2483" i="26"/>
  <c r="C2483" i="26"/>
  <c r="O2482" i="26"/>
  <c r="N2482" i="26"/>
  <c r="L2482" i="26"/>
  <c r="J2482" i="26"/>
  <c r="I2482" i="26"/>
  <c r="C2482" i="26"/>
  <c r="O2481" i="26"/>
  <c r="P2481" i="26" s="1"/>
  <c r="M2481" i="26" s="1"/>
  <c r="N2481" i="26"/>
  <c r="L2481" i="26"/>
  <c r="J2481" i="26"/>
  <c r="I2481" i="26"/>
  <c r="C2481" i="26"/>
  <c r="O2480" i="26"/>
  <c r="N2480" i="26"/>
  <c r="L2480" i="26"/>
  <c r="J2480" i="26"/>
  <c r="I2480" i="26"/>
  <c r="C2480" i="26"/>
  <c r="O2479" i="26"/>
  <c r="N2479" i="26"/>
  <c r="L2479" i="26"/>
  <c r="J2479" i="26"/>
  <c r="I2479" i="26"/>
  <c r="C2479" i="26"/>
  <c r="N2478" i="26"/>
  <c r="O2478" i="26" s="1"/>
  <c r="P2478" i="26" s="1"/>
  <c r="M2478" i="26" s="1"/>
  <c r="L2478" i="26"/>
  <c r="J2478" i="26"/>
  <c r="I2478" i="26"/>
  <c r="C2478" i="26"/>
  <c r="O2477" i="26"/>
  <c r="P2477" i="26" s="1"/>
  <c r="M2477" i="26" s="1"/>
  <c r="N2477" i="26"/>
  <c r="L2477" i="26"/>
  <c r="J2477" i="26"/>
  <c r="I2477" i="26"/>
  <c r="C2477" i="26"/>
  <c r="N2476" i="26"/>
  <c r="O2476" i="26" s="1"/>
  <c r="P2476" i="26" s="1"/>
  <c r="M2476" i="26" s="1"/>
  <c r="L2476" i="26"/>
  <c r="J2476" i="26"/>
  <c r="I2476" i="26"/>
  <c r="C2476" i="26"/>
  <c r="O2475" i="26"/>
  <c r="N2475" i="26"/>
  <c r="L2475" i="26"/>
  <c r="J2475" i="26"/>
  <c r="I2475" i="26"/>
  <c r="C2475" i="26"/>
  <c r="N2474" i="26"/>
  <c r="O2474" i="26" s="1"/>
  <c r="P2474" i="26" s="1"/>
  <c r="M2474" i="26" s="1"/>
  <c r="L2474" i="26"/>
  <c r="J2474" i="26"/>
  <c r="I2474" i="26"/>
  <c r="C2474" i="26"/>
  <c r="O2473" i="26"/>
  <c r="P2473" i="26" s="1"/>
  <c r="M2473" i="26" s="1"/>
  <c r="N2473" i="26"/>
  <c r="L2473" i="26"/>
  <c r="J2473" i="26"/>
  <c r="I2473" i="26"/>
  <c r="C2473" i="26"/>
  <c r="N2472" i="26"/>
  <c r="O2472" i="26" s="1"/>
  <c r="P2472" i="26" s="1"/>
  <c r="M2472" i="26" s="1"/>
  <c r="L2472" i="26"/>
  <c r="J2472" i="26"/>
  <c r="I2472" i="26"/>
  <c r="C2472" i="26"/>
  <c r="O2471" i="26"/>
  <c r="N2471" i="26"/>
  <c r="L2471" i="26"/>
  <c r="J2471" i="26"/>
  <c r="I2471" i="26"/>
  <c r="C2471" i="26"/>
  <c r="N2470" i="26"/>
  <c r="O2470" i="26" s="1"/>
  <c r="P2470" i="26" s="1"/>
  <c r="M2470" i="26" s="1"/>
  <c r="L2470" i="26"/>
  <c r="J2470" i="26"/>
  <c r="I2470" i="26"/>
  <c r="C2470" i="26"/>
  <c r="O2469" i="26"/>
  <c r="P2469" i="26" s="1"/>
  <c r="M2469" i="26" s="1"/>
  <c r="N2469" i="26"/>
  <c r="L2469" i="26"/>
  <c r="J2469" i="26"/>
  <c r="I2469" i="26"/>
  <c r="C2469" i="26"/>
  <c r="N2468" i="26"/>
  <c r="O2468" i="26" s="1"/>
  <c r="P2468" i="26" s="1"/>
  <c r="M2468" i="26" s="1"/>
  <c r="L2468" i="26"/>
  <c r="J2468" i="26"/>
  <c r="I2468" i="26"/>
  <c r="C2468" i="26"/>
  <c r="O2467" i="26"/>
  <c r="N2467" i="26"/>
  <c r="L2467" i="26"/>
  <c r="J2467" i="26"/>
  <c r="I2467" i="26"/>
  <c r="C2467" i="26"/>
  <c r="O2466" i="26"/>
  <c r="P2466" i="26" s="1"/>
  <c r="M2466" i="26" s="1"/>
  <c r="N2466" i="26"/>
  <c r="L2466" i="26"/>
  <c r="J2466" i="26"/>
  <c r="I2466" i="26"/>
  <c r="C2466" i="26"/>
  <c r="O2465" i="26"/>
  <c r="P2465" i="26" s="1"/>
  <c r="M2465" i="26" s="1"/>
  <c r="N2465" i="26"/>
  <c r="L2465" i="26"/>
  <c r="J2465" i="26"/>
  <c r="I2465" i="26"/>
  <c r="C2465" i="26"/>
  <c r="N2464" i="26"/>
  <c r="O2464" i="26" s="1"/>
  <c r="P2464" i="26" s="1"/>
  <c r="M2464" i="26"/>
  <c r="L2464" i="26"/>
  <c r="J2464" i="26"/>
  <c r="I2464" i="26"/>
  <c r="C2464" i="26"/>
  <c r="O2463" i="26"/>
  <c r="N2463" i="26"/>
  <c r="L2463" i="26"/>
  <c r="J2463" i="26"/>
  <c r="I2463" i="26"/>
  <c r="C2463" i="26"/>
  <c r="N2462" i="26"/>
  <c r="O2462" i="26" s="1"/>
  <c r="P2462" i="26" s="1"/>
  <c r="M2462" i="26" s="1"/>
  <c r="L2462" i="26"/>
  <c r="J2462" i="26"/>
  <c r="I2462" i="26"/>
  <c r="C2462" i="26"/>
  <c r="O2461" i="26"/>
  <c r="P2461" i="26" s="1"/>
  <c r="M2461" i="26" s="1"/>
  <c r="N2461" i="26"/>
  <c r="L2461" i="26"/>
  <c r="J2461" i="26"/>
  <c r="I2461" i="26"/>
  <c r="C2461" i="26"/>
  <c r="N2460" i="26"/>
  <c r="O2460" i="26" s="1"/>
  <c r="L2460" i="26"/>
  <c r="J2460" i="26"/>
  <c r="I2460" i="26"/>
  <c r="C2460" i="26"/>
  <c r="O2459" i="26"/>
  <c r="N2459" i="26"/>
  <c r="L2459" i="26"/>
  <c r="J2459" i="26"/>
  <c r="I2459" i="26"/>
  <c r="C2459" i="26"/>
  <c r="O2458" i="26"/>
  <c r="P2458" i="26" s="1"/>
  <c r="M2458" i="26" s="1"/>
  <c r="N2458" i="26"/>
  <c r="L2458" i="26"/>
  <c r="J2458" i="26"/>
  <c r="I2458" i="26"/>
  <c r="C2458" i="26"/>
  <c r="O2457" i="26"/>
  <c r="P2457" i="26" s="1"/>
  <c r="M2457" i="26" s="1"/>
  <c r="N2457" i="26"/>
  <c r="L2457" i="26"/>
  <c r="J2457" i="26"/>
  <c r="I2457" i="26"/>
  <c r="C2457" i="26"/>
  <c r="N2456" i="26"/>
  <c r="O2456" i="26" s="1"/>
  <c r="P2456" i="26" s="1"/>
  <c r="M2456" i="26"/>
  <c r="L2456" i="26"/>
  <c r="J2456" i="26"/>
  <c r="I2456" i="26"/>
  <c r="C2456" i="26"/>
  <c r="N2455" i="26"/>
  <c r="O2455" i="26" s="1"/>
  <c r="P2455" i="26" s="1"/>
  <c r="M2455" i="26" s="1"/>
  <c r="L2455" i="26"/>
  <c r="J2455" i="26"/>
  <c r="I2455" i="26"/>
  <c r="C2455" i="26"/>
  <c r="O2454" i="26"/>
  <c r="P2454" i="26" s="1"/>
  <c r="M2454" i="26" s="1"/>
  <c r="N2454" i="26"/>
  <c r="L2454" i="26"/>
  <c r="J2454" i="26"/>
  <c r="I2454" i="26"/>
  <c r="C2454" i="26"/>
  <c r="O2453" i="26"/>
  <c r="P2453" i="26" s="1"/>
  <c r="M2453" i="26" s="1"/>
  <c r="N2453" i="26"/>
  <c r="L2453" i="26"/>
  <c r="J2453" i="26"/>
  <c r="I2453" i="26"/>
  <c r="C2453" i="26"/>
  <c r="N2452" i="26"/>
  <c r="O2452" i="26" s="1"/>
  <c r="P2452" i="26" s="1"/>
  <c r="M2452" i="26" s="1"/>
  <c r="L2452" i="26"/>
  <c r="J2452" i="26"/>
  <c r="I2452" i="26"/>
  <c r="C2452" i="26"/>
  <c r="N2451" i="26"/>
  <c r="O2451" i="26" s="1"/>
  <c r="L2451" i="26"/>
  <c r="J2451" i="26"/>
  <c r="I2451" i="26"/>
  <c r="C2451" i="26"/>
  <c r="O2450" i="26"/>
  <c r="N2450" i="26"/>
  <c r="L2450" i="26"/>
  <c r="J2450" i="26"/>
  <c r="I2450" i="26"/>
  <c r="C2450" i="26"/>
  <c r="O2449" i="26"/>
  <c r="P2449" i="26" s="1"/>
  <c r="M2449" i="26" s="1"/>
  <c r="N2449" i="26"/>
  <c r="L2449" i="26"/>
  <c r="J2449" i="26"/>
  <c r="I2449" i="26"/>
  <c r="C2449" i="26"/>
  <c r="O2448" i="26"/>
  <c r="P2448" i="26" s="1"/>
  <c r="M2448" i="26" s="1"/>
  <c r="N2448" i="26"/>
  <c r="L2448" i="26"/>
  <c r="J2448" i="26"/>
  <c r="I2448" i="26"/>
  <c r="C2448" i="26"/>
  <c r="N2447" i="26"/>
  <c r="O2447" i="26" s="1"/>
  <c r="P2447" i="26" s="1"/>
  <c r="M2447" i="26"/>
  <c r="L2447" i="26"/>
  <c r="J2447" i="26"/>
  <c r="I2447" i="26"/>
  <c r="C2447" i="26"/>
  <c r="O2446" i="26"/>
  <c r="N2446" i="26"/>
  <c r="L2446" i="26"/>
  <c r="J2446" i="26"/>
  <c r="I2446" i="26"/>
  <c r="C2446" i="26"/>
  <c r="O2445" i="26"/>
  <c r="P2445" i="26" s="1"/>
  <c r="M2445" i="26" s="1"/>
  <c r="N2445" i="26"/>
  <c r="L2445" i="26"/>
  <c r="I2445" i="26"/>
  <c r="J2445" i="26" s="1"/>
  <c r="C2445" i="26"/>
  <c r="O2444" i="26"/>
  <c r="N2444" i="26"/>
  <c r="L2444" i="26"/>
  <c r="I2444" i="26"/>
  <c r="J2444" i="26" s="1"/>
  <c r="C2444" i="26"/>
  <c r="N2443" i="26"/>
  <c r="O2443" i="26" s="1"/>
  <c r="P2443" i="26" s="1"/>
  <c r="M2443" i="26"/>
  <c r="L2443" i="26"/>
  <c r="I2443" i="26"/>
  <c r="J2443" i="26" s="1"/>
  <c r="C2443" i="26"/>
  <c r="N2442" i="26"/>
  <c r="O2442" i="26" s="1"/>
  <c r="P2442" i="26" s="1"/>
  <c r="M2442" i="26" s="1"/>
  <c r="L2442" i="26"/>
  <c r="I2442" i="26"/>
  <c r="J2442" i="26" s="1"/>
  <c r="C2442" i="26"/>
  <c r="P2441" i="26"/>
  <c r="M2441" i="26" s="1"/>
  <c r="N2441" i="26"/>
  <c r="O2441" i="26" s="1"/>
  <c r="L2441" i="26"/>
  <c r="I2441" i="26"/>
  <c r="J2441" i="26" s="1"/>
  <c r="C2441" i="26"/>
  <c r="N2440" i="26"/>
  <c r="O2440" i="26" s="1"/>
  <c r="P2440" i="26" s="1"/>
  <c r="M2440" i="26" s="1"/>
  <c r="L2440" i="26"/>
  <c r="I2440" i="26"/>
  <c r="J2440" i="26" s="1"/>
  <c r="C2440" i="26"/>
  <c r="O2439" i="26"/>
  <c r="N2439" i="26"/>
  <c r="L2439" i="26"/>
  <c r="I2439" i="26"/>
  <c r="J2439" i="26" s="1"/>
  <c r="C2439" i="26"/>
  <c r="N2438" i="26"/>
  <c r="O2438" i="26" s="1"/>
  <c r="P2438" i="26" s="1"/>
  <c r="M2438" i="26" s="1"/>
  <c r="L2438" i="26"/>
  <c r="I2438" i="26"/>
  <c r="J2438" i="26" s="1"/>
  <c r="C2438" i="26"/>
  <c r="P2437" i="26"/>
  <c r="M2437" i="26" s="1"/>
  <c r="O2437" i="26"/>
  <c r="N2437" i="26"/>
  <c r="L2437" i="26"/>
  <c r="I2437" i="26"/>
  <c r="J2437" i="26" s="1"/>
  <c r="C2437" i="26"/>
  <c r="N2436" i="26"/>
  <c r="O2436" i="26" s="1"/>
  <c r="P2436" i="26" s="1"/>
  <c r="M2436" i="26" s="1"/>
  <c r="L2436" i="26"/>
  <c r="I2436" i="26"/>
  <c r="J2436" i="26" s="1"/>
  <c r="C2436" i="26"/>
  <c r="N2435" i="26"/>
  <c r="O2435" i="26" s="1"/>
  <c r="P2435" i="26" s="1"/>
  <c r="M2435" i="26"/>
  <c r="L2435" i="26"/>
  <c r="I2435" i="26"/>
  <c r="J2435" i="26" s="1"/>
  <c r="C2435" i="26"/>
  <c r="N2434" i="26"/>
  <c r="O2434" i="26" s="1"/>
  <c r="P2434" i="26" s="1"/>
  <c r="M2434" i="26" s="1"/>
  <c r="L2434" i="26"/>
  <c r="I2434" i="26"/>
  <c r="J2434" i="26" s="1"/>
  <c r="C2434" i="26"/>
  <c r="O2433" i="26"/>
  <c r="P2433" i="26" s="1"/>
  <c r="M2433" i="26" s="1"/>
  <c r="N2433" i="26"/>
  <c r="L2433" i="26"/>
  <c r="I2433" i="26"/>
  <c r="J2433" i="26" s="1"/>
  <c r="C2433" i="26"/>
  <c r="N2432" i="26"/>
  <c r="O2432" i="26" s="1"/>
  <c r="L2432" i="26"/>
  <c r="I2432" i="26"/>
  <c r="J2432" i="26" s="1"/>
  <c r="C2432" i="26"/>
  <c r="O2431" i="26"/>
  <c r="N2431" i="26"/>
  <c r="L2431" i="26"/>
  <c r="I2431" i="26"/>
  <c r="J2431" i="26" s="1"/>
  <c r="C2431" i="26"/>
  <c r="N2430" i="26"/>
  <c r="O2430" i="26" s="1"/>
  <c r="P2430" i="26" s="1"/>
  <c r="M2430" i="26" s="1"/>
  <c r="L2430" i="26"/>
  <c r="I2430" i="26"/>
  <c r="J2430" i="26" s="1"/>
  <c r="C2430" i="26"/>
  <c r="P2429" i="26"/>
  <c r="M2429" i="26" s="1"/>
  <c r="O2429" i="26"/>
  <c r="N2429" i="26"/>
  <c r="L2429" i="26"/>
  <c r="I2429" i="26"/>
  <c r="J2429" i="26" s="1"/>
  <c r="C2429" i="26"/>
  <c r="N2428" i="26"/>
  <c r="O2428" i="26" s="1"/>
  <c r="P2428" i="26" s="1"/>
  <c r="M2428" i="26" s="1"/>
  <c r="L2428" i="26"/>
  <c r="I2428" i="26"/>
  <c r="J2428" i="26" s="1"/>
  <c r="C2428" i="26"/>
  <c r="N2427" i="26"/>
  <c r="O2427" i="26" s="1"/>
  <c r="P2427" i="26" s="1"/>
  <c r="M2427" i="26"/>
  <c r="L2427" i="26"/>
  <c r="I2427" i="26"/>
  <c r="J2427" i="26" s="1"/>
  <c r="C2427" i="26"/>
  <c r="N2426" i="26"/>
  <c r="O2426" i="26" s="1"/>
  <c r="P2426" i="26" s="1"/>
  <c r="M2426" i="26" s="1"/>
  <c r="L2426" i="26"/>
  <c r="I2426" i="26"/>
  <c r="J2426" i="26" s="1"/>
  <c r="C2426" i="26"/>
  <c r="O2425" i="26"/>
  <c r="P2425" i="26" s="1"/>
  <c r="M2425" i="26" s="1"/>
  <c r="N2425" i="26"/>
  <c r="L2425" i="26"/>
  <c r="I2425" i="26"/>
  <c r="J2425" i="26" s="1"/>
  <c r="C2425" i="26"/>
  <c r="N2424" i="26"/>
  <c r="O2424" i="26" s="1"/>
  <c r="L2424" i="26"/>
  <c r="I2424" i="26"/>
  <c r="J2424" i="26" s="1"/>
  <c r="C2424" i="26"/>
  <c r="O2423" i="26"/>
  <c r="N2423" i="26"/>
  <c r="L2423" i="26"/>
  <c r="I2423" i="26"/>
  <c r="J2423" i="26" s="1"/>
  <c r="C2423" i="26"/>
  <c r="N2422" i="26"/>
  <c r="O2422" i="26" s="1"/>
  <c r="P2422" i="26" s="1"/>
  <c r="M2422" i="26" s="1"/>
  <c r="L2422" i="26"/>
  <c r="I2422" i="26"/>
  <c r="J2422" i="26" s="1"/>
  <c r="C2422" i="26"/>
  <c r="P2421" i="26"/>
  <c r="M2421" i="26" s="1"/>
  <c r="O2421" i="26"/>
  <c r="N2421" i="26"/>
  <c r="L2421" i="26"/>
  <c r="I2421" i="26"/>
  <c r="J2421" i="26" s="1"/>
  <c r="C2421" i="26"/>
  <c r="N2420" i="26"/>
  <c r="O2420" i="26" s="1"/>
  <c r="P2420" i="26" s="1"/>
  <c r="M2420" i="26" s="1"/>
  <c r="L2420" i="26"/>
  <c r="I2420" i="26"/>
  <c r="J2420" i="26" s="1"/>
  <c r="C2420" i="26"/>
  <c r="N2419" i="26"/>
  <c r="O2419" i="26" s="1"/>
  <c r="P2419" i="26" s="1"/>
  <c r="M2419" i="26"/>
  <c r="L2419" i="26"/>
  <c r="I2419" i="26"/>
  <c r="J2419" i="26" s="1"/>
  <c r="C2419" i="26"/>
  <c r="N2418" i="26"/>
  <c r="O2418" i="26" s="1"/>
  <c r="P2418" i="26" s="1"/>
  <c r="M2418" i="26" s="1"/>
  <c r="L2418" i="26"/>
  <c r="I2418" i="26"/>
  <c r="J2418" i="26" s="1"/>
  <c r="C2418" i="26"/>
  <c r="O2417" i="26"/>
  <c r="P2417" i="26" s="1"/>
  <c r="M2417" i="26" s="1"/>
  <c r="N2417" i="26"/>
  <c r="L2417" i="26"/>
  <c r="I2417" i="26"/>
  <c r="J2417" i="26" s="1"/>
  <c r="C2417" i="26"/>
  <c r="N2416" i="26"/>
  <c r="O2416" i="26" s="1"/>
  <c r="L2416" i="26"/>
  <c r="I2416" i="26"/>
  <c r="J2416" i="26" s="1"/>
  <c r="C2416" i="26"/>
  <c r="O2415" i="26"/>
  <c r="N2415" i="26"/>
  <c r="L2415" i="26"/>
  <c r="I2415" i="26"/>
  <c r="J2415" i="26" s="1"/>
  <c r="C2415" i="26"/>
  <c r="N2414" i="26"/>
  <c r="O2414" i="26" s="1"/>
  <c r="P2414" i="26" s="1"/>
  <c r="M2414" i="26" s="1"/>
  <c r="L2414" i="26"/>
  <c r="I2414" i="26"/>
  <c r="J2414" i="26" s="1"/>
  <c r="C2414" i="26"/>
  <c r="P2413" i="26"/>
  <c r="M2413" i="26" s="1"/>
  <c r="O2413" i="26"/>
  <c r="N2413" i="26"/>
  <c r="L2413" i="26"/>
  <c r="I2413" i="26"/>
  <c r="J2413" i="26" s="1"/>
  <c r="C2413" i="26"/>
  <c r="N2412" i="26"/>
  <c r="O2412" i="26" s="1"/>
  <c r="P2412" i="26" s="1"/>
  <c r="M2412" i="26" s="1"/>
  <c r="L2412" i="26"/>
  <c r="I2412" i="26"/>
  <c r="J2412" i="26" s="1"/>
  <c r="C2412" i="26"/>
  <c r="N2411" i="26"/>
  <c r="O2411" i="26" s="1"/>
  <c r="P2411" i="26" s="1"/>
  <c r="M2411" i="26"/>
  <c r="L2411" i="26"/>
  <c r="I2411" i="26"/>
  <c r="J2411" i="26" s="1"/>
  <c r="C2411" i="26"/>
  <c r="N2410" i="26"/>
  <c r="O2410" i="26" s="1"/>
  <c r="P2410" i="26" s="1"/>
  <c r="M2410" i="26" s="1"/>
  <c r="L2410" i="26"/>
  <c r="I2410" i="26"/>
  <c r="J2410" i="26" s="1"/>
  <c r="C2410" i="26"/>
  <c r="O2409" i="26"/>
  <c r="P2409" i="26" s="1"/>
  <c r="M2409" i="26" s="1"/>
  <c r="N2409" i="26"/>
  <c r="L2409" i="26"/>
  <c r="I2409" i="26"/>
  <c r="J2409" i="26" s="1"/>
  <c r="C2409" i="26"/>
  <c r="N2408" i="26"/>
  <c r="O2408" i="26" s="1"/>
  <c r="L2408" i="26"/>
  <c r="I2408" i="26"/>
  <c r="J2408" i="26" s="1"/>
  <c r="C2408" i="26"/>
  <c r="O2407" i="26"/>
  <c r="N2407" i="26"/>
  <c r="L2407" i="26"/>
  <c r="I2407" i="26"/>
  <c r="J2407" i="26" s="1"/>
  <c r="C2407" i="26"/>
  <c r="N2406" i="26"/>
  <c r="O2406" i="26" s="1"/>
  <c r="P2406" i="26" s="1"/>
  <c r="M2406" i="26" s="1"/>
  <c r="L2406" i="26"/>
  <c r="I2406" i="26"/>
  <c r="J2406" i="26" s="1"/>
  <c r="C2406" i="26"/>
  <c r="P2405" i="26"/>
  <c r="M2405" i="26" s="1"/>
  <c r="O2405" i="26"/>
  <c r="N2405" i="26"/>
  <c r="L2405" i="26"/>
  <c r="I2405" i="26"/>
  <c r="J2405" i="26" s="1"/>
  <c r="C2405" i="26"/>
  <c r="N2404" i="26"/>
  <c r="O2404" i="26" s="1"/>
  <c r="P2404" i="26" s="1"/>
  <c r="M2404" i="26" s="1"/>
  <c r="L2404" i="26"/>
  <c r="I2404" i="26"/>
  <c r="J2404" i="26" s="1"/>
  <c r="C2404" i="26"/>
  <c r="N2403" i="26"/>
  <c r="O2403" i="26" s="1"/>
  <c r="P2403" i="26" s="1"/>
  <c r="M2403" i="26"/>
  <c r="L2403" i="26"/>
  <c r="I2403" i="26"/>
  <c r="J2403" i="26" s="1"/>
  <c r="C2403" i="26"/>
  <c r="N2402" i="26"/>
  <c r="O2402" i="26" s="1"/>
  <c r="P2402" i="26" s="1"/>
  <c r="M2402" i="26" s="1"/>
  <c r="L2402" i="26"/>
  <c r="I2402" i="26"/>
  <c r="J2402" i="26" s="1"/>
  <c r="C2402" i="26"/>
  <c r="O2401" i="26"/>
  <c r="P2401" i="26" s="1"/>
  <c r="M2401" i="26" s="1"/>
  <c r="N2401" i="26"/>
  <c r="L2401" i="26"/>
  <c r="I2401" i="26"/>
  <c r="J2401" i="26" s="1"/>
  <c r="C2401" i="26"/>
  <c r="N2400" i="26"/>
  <c r="O2400" i="26" s="1"/>
  <c r="L2400" i="26"/>
  <c r="I2400" i="26"/>
  <c r="J2400" i="26" s="1"/>
  <c r="C2400" i="26"/>
  <c r="O2399" i="26"/>
  <c r="N2399" i="26"/>
  <c r="L2399" i="26"/>
  <c r="I2399" i="26"/>
  <c r="J2399" i="26" s="1"/>
  <c r="C2399" i="26"/>
  <c r="N2398" i="26"/>
  <c r="O2398" i="26" s="1"/>
  <c r="P2398" i="26" s="1"/>
  <c r="M2398" i="26" s="1"/>
  <c r="L2398" i="26"/>
  <c r="I2398" i="26"/>
  <c r="J2398" i="26" s="1"/>
  <c r="C2398" i="26"/>
  <c r="P2397" i="26"/>
  <c r="M2397" i="26" s="1"/>
  <c r="O2397" i="26"/>
  <c r="N2397" i="26"/>
  <c r="L2397" i="26"/>
  <c r="I2397" i="26"/>
  <c r="J2397" i="26" s="1"/>
  <c r="C2397" i="26"/>
  <c r="N2396" i="26"/>
  <c r="O2396" i="26" s="1"/>
  <c r="P2396" i="26" s="1"/>
  <c r="M2396" i="26" s="1"/>
  <c r="L2396" i="26"/>
  <c r="I2396" i="26"/>
  <c r="J2396" i="26" s="1"/>
  <c r="C2396" i="26"/>
  <c r="N2395" i="26"/>
  <c r="O2395" i="26" s="1"/>
  <c r="P2395" i="26" s="1"/>
  <c r="M2395" i="26"/>
  <c r="L2395" i="26"/>
  <c r="I2395" i="26"/>
  <c r="J2395" i="26" s="1"/>
  <c r="C2395" i="26"/>
  <c r="N2394" i="26"/>
  <c r="O2394" i="26" s="1"/>
  <c r="P2394" i="26" s="1"/>
  <c r="M2394" i="26" s="1"/>
  <c r="L2394" i="26"/>
  <c r="I2394" i="26"/>
  <c r="J2394" i="26" s="1"/>
  <c r="C2394" i="26"/>
  <c r="O2393" i="26"/>
  <c r="P2393" i="26" s="1"/>
  <c r="M2393" i="26" s="1"/>
  <c r="N2393" i="26"/>
  <c r="L2393" i="26"/>
  <c r="I2393" i="26"/>
  <c r="J2393" i="26" s="1"/>
  <c r="C2393" i="26"/>
  <c r="N2392" i="26"/>
  <c r="O2392" i="26" s="1"/>
  <c r="L2392" i="26"/>
  <c r="I2392" i="26"/>
  <c r="J2392" i="26" s="1"/>
  <c r="C2392" i="26"/>
  <c r="O2391" i="26"/>
  <c r="N2391" i="26"/>
  <c r="L2391" i="26"/>
  <c r="I2391" i="26"/>
  <c r="J2391" i="26" s="1"/>
  <c r="C2391" i="26"/>
  <c r="N2390" i="26"/>
  <c r="O2390" i="26" s="1"/>
  <c r="P2390" i="26" s="1"/>
  <c r="M2390" i="26" s="1"/>
  <c r="L2390" i="26"/>
  <c r="I2390" i="26"/>
  <c r="J2390" i="26" s="1"/>
  <c r="C2390" i="26"/>
  <c r="P2389" i="26"/>
  <c r="M2389" i="26" s="1"/>
  <c r="O2389" i="26"/>
  <c r="N2389" i="26"/>
  <c r="L2389" i="26"/>
  <c r="I2389" i="26"/>
  <c r="J2389" i="26" s="1"/>
  <c r="C2389" i="26"/>
  <c r="N2388" i="26"/>
  <c r="O2388" i="26" s="1"/>
  <c r="P2388" i="26" s="1"/>
  <c r="M2388" i="26" s="1"/>
  <c r="L2388" i="26"/>
  <c r="I2388" i="26"/>
  <c r="J2388" i="26" s="1"/>
  <c r="C2388" i="26"/>
  <c r="N2387" i="26"/>
  <c r="O2387" i="26" s="1"/>
  <c r="P2387" i="26" s="1"/>
  <c r="M2387" i="26"/>
  <c r="L2387" i="26"/>
  <c r="I2387" i="26"/>
  <c r="J2387" i="26" s="1"/>
  <c r="C2387" i="26"/>
  <c r="N2386" i="26"/>
  <c r="O2386" i="26" s="1"/>
  <c r="P2386" i="26" s="1"/>
  <c r="M2386" i="26" s="1"/>
  <c r="L2386" i="26"/>
  <c r="I2386" i="26"/>
  <c r="J2386" i="26" s="1"/>
  <c r="C2386" i="26"/>
  <c r="O2385" i="26"/>
  <c r="P2385" i="26" s="1"/>
  <c r="M2385" i="26" s="1"/>
  <c r="N2385" i="26"/>
  <c r="L2385" i="26"/>
  <c r="I2385" i="26"/>
  <c r="J2385" i="26" s="1"/>
  <c r="C2385" i="26"/>
  <c r="N2384" i="26"/>
  <c r="O2384" i="26" s="1"/>
  <c r="L2384" i="26"/>
  <c r="I2384" i="26"/>
  <c r="J2384" i="26" s="1"/>
  <c r="C2384" i="26"/>
  <c r="O2383" i="26"/>
  <c r="N2383" i="26"/>
  <c r="L2383" i="26"/>
  <c r="I2383" i="26"/>
  <c r="J2383" i="26" s="1"/>
  <c r="C2383" i="26"/>
  <c r="P2382" i="26"/>
  <c r="M2382" i="26" s="1"/>
  <c r="N2382" i="26"/>
  <c r="O2382" i="26" s="1"/>
  <c r="L2382" i="26"/>
  <c r="I2382" i="26"/>
  <c r="J2382" i="26" s="1"/>
  <c r="C2382" i="26"/>
  <c r="O2381" i="26"/>
  <c r="P2381" i="26" s="1"/>
  <c r="M2381" i="26" s="1"/>
  <c r="N2381" i="26"/>
  <c r="L2381" i="26"/>
  <c r="I2381" i="26"/>
  <c r="J2381" i="26" s="1"/>
  <c r="C2381" i="26"/>
  <c r="N2380" i="26"/>
  <c r="O2380" i="26" s="1"/>
  <c r="P2380" i="26" s="1"/>
  <c r="M2380" i="26" s="1"/>
  <c r="L2380" i="26"/>
  <c r="I2380" i="26"/>
  <c r="J2380" i="26" s="1"/>
  <c r="C2380" i="26"/>
  <c r="N2379" i="26"/>
  <c r="O2379" i="26" s="1"/>
  <c r="P2379" i="26" s="1"/>
  <c r="M2379" i="26" s="1"/>
  <c r="L2379" i="26"/>
  <c r="I2379" i="26"/>
  <c r="J2379" i="26" s="1"/>
  <c r="C2379" i="26"/>
  <c r="N2378" i="26"/>
  <c r="O2378" i="26" s="1"/>
  <c r="P2378" i="26" s="1"/>
  <c r="M2378" i="26" s="1"/>
  <c r="L2378" i="26"/>
  <c r="I2378" i="26"/>
  <c r="J2378" i="26" s="1"/>
  <c r="C2378" i="26"/>
  <c r="O2377" i="26"/>
  <c r="P2377" i="26" s="1"/>
  <c r="M2377" i="26" s="1"/>
  <c r="N2377" i="26"/>
  <c r="L2377" i="26"/>
  <c r="I2377" i="26"/>
  <c r="J2377" i="26" s="1"/>
  <c r="C2377" i="26"/>
  <c r="P2376" i="26"/>
  <c r="M2376" i="26" s="1"/>
  <c r="N2376" i="26"/>
  <c r="O2376" i="26" s="1"/>
  <c r="L2376" i="26"/>
  <c r="I2376" i="26"/>
  <c r="J2376" i="26" s="1"/>
  <c r="C2376" i="26"/>
  <c r="P2375" i="26"/>
  <c r="M2375" i="26" s="1"/>
  <c r="N2375" i="26"/>
  <c r="O2375" i="26" s="1"/>
  <c r="L2375" i="26"/>
  <c r="J2375" i="26"/>
  <c r="I2375" i="26"/>
  <c r="C2375" i="26"/>
  <c r="P2374" i="26"/>
  <c r="M2374" i="26" s="1"/>
  <c r="N2374" i="26"/>
  <c r="O2374" i="26" s="1"/>
  <c r="L2374" i="26"/>
  <c r="I2374" i="26"/>
  <c r="J2374" i="26" s="1"/>
  <c r="C2374" i="26"/>
  <c r="P2373" i="26"/>
  <c r="M2373" i="26" s="1"/>
  <c r="N2373" i="26"/>
  <c r="O2373" i="26" s="1"/>
  <c r="L2373" i="26"/>
  <c r="I2373" i="26"/>
  <c r="J2373" i="26" s="1"/>
  <c r="C2373" i="26"/>
  <c r="P2372" i="26"/>
  <c r="M2372" i="26" s="1"/>
  <c r="N2372" i="26"/>
  <c r="O2372" i="26" s="1"/>
  <c r="L2372" i="26"/>
  <c r="I2372" i="26"/>
  <c r="J2372" i="26" s="1"/>
  <c r="C2372" i="26"/>
  <c r="P2371" i="26"/>
  <c r="M2371" i="26" s="1"/>
  <c r="N2371" i="26"/>
  <c r="O2371" i="26" s="1"/>
  <c r="L2371" i="26"/>
  <c r="J2371" i="26"/>
  <c r="I2371" i="26"/>
  <c r="C2371" i="26"/>
  <c r="N2370" i="26"/>
  <c r="O2370" i="26" s="1"/>
  <c r="L2370" i="26"/>
  <c r="I2370" i="26"/>
  <c r="J2370" i="26" s="1"/>
  <c r="C2370" i="26"/>
  <c r="P2370" i="26" s="1"/>
  <c r="M2370" i="26" s="1"/>
  <c r="N2369" i="26"/>
  <c r="O2369" i="26" s="1"/>
  <c r="P2369" i="26" s="1"/>
  <c r="M2369" i="26" s="1"/>
  <c r="L2369" i="26"/>
  <c r="I2369" i="26"/>
  <c r="J2369" i="26" s="1"/>
  <c r="C2369" i="26"/>
  <c r="P2368" i="26"/>
  <c r="M2368" i="26" s="1"/>
  <c r="N2368" i="26"/>
  <c r="O2368" i="26" s="1"/>
  <c r="L2368" i="26"/>
  <c r="I2368" i="26"/>
  <c r="J2368" i="26" s="1"/>
  <c r="C2368" i="26"/>
  <c r="P2367" i="26"/>
  <c r="M2367" i="26" s="1"/>
  <c r="N2367" i="26"/>
  <c r="O2367" i="26" s="1"/>
  <c r="L2367" i="26"/>
  <c r="J2367" i="26"/>
  <c r="I2367" i="26"/>
  <c r="C2367" i="26"/>
  <c r="N2366" i="26"/>
  <c r="O2366" i="26" s="1"/>
  <c r="L2366" i="26"/>
  <c r="I2366" i="26"/>
  <c r="J2366" i="26" s="1"/>
  <c r="C2366" i="26"/>
  <c r="P2366" i="26" s="1"/>
  <c r="M2366" i="26" s="1"/>
  <c r="N2365" i="26"/>
  <c r="O2365" i="26" s="1"/>
  <c r="P2365" i="26" s="1"/>
  <c r="M2365" i="26" s="1"/>
  <c r="L2365" i="26"/>
  <c r="I2365" i="26"/>
  <c r="J2365" i="26" s="1"/>
  <c r="C2365" i="26"/>
  <c r="P2364" i="26"/>
  <c r="M2364" i="26" s="1"/>
  <c r="N2364" i="26"/>
  <c r="O2364" i="26" s="1"/>
  <c r="L2364" i="26"/>
  <c r="I2364" i="26"/>
  <c r="J2364" i="26" s="1"/>
  <c r="C2364" i="26"/>
  <c r="P2363" i="26"/>
  <c r="M2363" i="26" s="1"/>
  <c r="N2363" i="26"/>
  <c r="O2363" i="26" s="1"/>
  <c r="L2363" i="26"/>
  <c r="J2363" i="26"/>
  <c r="I2363" i="26"/>
  <c r="C2363" i="26"/>
  <c r="N2362" i="26"/>
  <c r="O2362" i="26" s="1"/>
  <c r="L2362" i="26"/>
  <c r="I2362" i="26"/>
  <c r="J2362" i="26" s="1"/>
  <c r="C2362" i="26"/>
  <c r="P2362" i="26" s="1"/>
  <c r="M2362" i="26" s="1"/>
  <c r="N2361" i="26"/>
  <c r="O2361" i="26" s="1"/>
  <c r="P2361" i="26" s="1"/>
  <c r="M2361" i="26" s="1"/>
  <c r="L2361" i="26"/>
  <c r="I2361" i="26"/>
  <c r="J2361" i="26" s="1"/>
  <c r="C2361" i="26"/>
  <c r="P2360" i="26"/>
  <c r="M2360" i="26" s="1"/>
  <c r="N2360" i="26"/>
  <c r="O2360" i="26" s="1"/>
  <c r="L2360" i="26"/>
  <c r="J2360" i="26"/>
  <c r="I2360" i="26"/>
  <c r="C2360" i="26"/>
  <c r="P2359" i="26"/>
  <c r="M2359" i="26" s="1"/>
  <c r="N2359" i="26"/>
  <c r="O2359" i="26" s="1"/>
  <c r="L2359" i="26"/>
  <c r="J2359" i="26"/>
  <c r="I2359" i="26"/>
  <c r="C2359" i="26"/>
  <c r="N2358" i="26"/>
  <c r="O2358" i="26" s="1"/>
  <c r="P2358" i="26" s="1"/>
  <c r="M2358" i="26" s="1"/>
  <c r="L2358" i="26"/>
  <c r="I2358" i="26"/>
  <c r="J2358" i="26" s="1"/>
  <c r="C2358" i="26"/>
  <c r="N2357" i="26"/>
  <c r="O2357" i="26" s="1"/>
  <c r="P2357" i="26" s="1"/>
  <c r="M2357" i="26" s="1"/>
  <c r="L2357" i="26"/>
  <c r="I2357" i="26"/>
  <c r="J2357" i="26" s="1"/>
  <c r="C2357" i="26"/>
  <c r="P2356" i="26"/>
  <c r="M2356" i="26" s="1"/>
  <c r="N2356" i="26"/>
  <c r="O2356" i="26" s="1"/>
  <c r="L2356" i="26"/>
  <c r="J2356" i="26"/>
  <c r="I2356" i="26"/>
  <c r="C2356" i="26"/>
  <c r="P2355" i="26"/>
  <c r="M2355" i="26" s="1"/>
  <c r="N2355" i="26"/>
  <c r="O2355" i="26" s="1"/>
  <c r="L2355" i="26"/>
  <c r="J2355" i="26"/>
  <c r="I2355" i="26"/>
  <c r="C2355" i="26"/>
  <c r="N2354" i="26"/>
  <c r="O2354" i="26" s="1"/>
  <c r="P2354" i="26" s="1"/>
  <c r="M2354" i="26" s="1"/>
  <c r="L2354" i="26"/>
  <c r="I2354" i="26"/>
  <c r="J2354" i="26" s="1"/>
  <c r="C2354" i="26"/>
  <c r="N2353" i="26"/>
  <c r="O2353" i="26" s="1"/>
  <c r="P2353" i="26" s="1"/>
  <c r="M2353" i="26" s="1"/>
  <c r="L2353" i="26"/>
  <c r="I2353" i="26"/>
  <c r="J2353" i="26" s="1"/>
  <c r="C2353" i="26"/>
  <c r="P2352" i="26"/>
  <c r="M2352" i="26" s="1"/>
  <c r="N2352" i="26"/>
  <c r="O2352" i="26" s="1"/>
  <c r="L2352" i="26"/>
  <c r="J2352" i="26"/>
  <c r="I2352" i="26"/>
  <c r="C2352" i="26"/>
  <c r="P2351" i="26"/>
  <c r="M2351" i="26" s="1"/>
  <c r="N2351" i="26"/>
  <c r="O2351" i="26" s="1"/>
  <c r="L2351" i="26"/>
  <c r="J2351" i="26"/>
  <c r="I2351" i="26"/>
  <c r="C2351" i="26"/>
  <c r="N2350" i="26"/>
  <c r="O2350" i="26" s="1"/>
  <c r="P2350" i="26" s="1"/>
  <c r="M2350" i="26" s="1"/>
  <c r="L2350" i="26"/>
  <c r="J2350" i="26"/>
  <c r="I2350" i="26"/>
  <c r="C2350" i="26"/>
  <c r="N2349" i="26"/>
  <c r="O2349" i="26" s="1"/>
  <c r="P2349" i="26" s="1"/>
  <c r="M2349" i="26" s="1"/>
  <c r="L2349" i="26"/>
  <c r="I2349" i="26"/>
  <c r="J2349" i="26" s="1"/>
  <c r="C2349" i="26"/>
  <c r="O2348" i="26"/>
  <c r="P2348" i="26" s="1"/>
  <c r="M2348" i="26" s="1"/>
  <c r="N2348" i="26"/>
  <c r="L2348" i="26"/>
  <c r="J2348" i="26"/>
  <c r="I2348" i="26"/>
  <c r="C2348" i="26"/>
  <c r="N2347" i="26"/>
  <c r="O2347" i="26" s="1"/>
  <c r="P2347" i="26" s="1"/>
  <c r="M2347" i="26" s="1"/>
  <c r="L2347" i="26"/>
  <c r="I2347" i="26"/>
  <c r="J2347" i="26" s="1"/>
  <c r="C2347" i="26"/>
  <c r="P2346" i="26"/>
  <c r="M2346" i="26" s="1"/>
  <c r="O2346" i="26"/>
  <c r="N2346" i="26"/>
  <c r="L2346" i="26"/>
  <c r="I2346" i="26"/>
  <c r="J2346" i="26" s="1"/>
  <c r="C2346" i="26"/>
  <c r="O2345" i="26"/>
  <c r="P2345" i="26" s="1"/>
  <c r="M2345" i="26" s="1"/>
  <c r="N2345" i="26"/>
  <c r="L2345" i="26"/>
  <c r="J2345" i="26"/>
  <c r="I2345" i="26"/>
  <c r="C2345" i="26"/>
  <c r="N2344" i="26"/>
  <c r="O2344" i="26" s="1"/>
  <c r="P2344" i="26" s="1"/>
  <c r="M2344" i="26" s="1"/>
  <c r="L2344" i="26"/>
  <c r="I2344" i="26"/>
  <c r="J2344" i="26" s="1"/>
  <c r="C2344" i="26"/>
  <c r="O2343" i="26"/>
  <c r="P2343" i="26" s="1"/>
  <c r="M2343" i="26" s="1"/>
  <c r="N2343" i="26"/>
  <c r="L2343" i="26"/>
  <c r="J2343" i="26"/>
  <c r="I2343" i="26"/>
  <c r="C2343" i="26"/>
  <c r="N2342" i="26"/>
  <c r="O2342" i="26" s="1"/>
  <c r="P2342" i="26" s="1"/>
  <c r="M2342" i="26" s="1"/>
  <c r="L2342" i="26"/>
  <c r="J2342" i="26"/>
  <c r="I2342" i="26"/>
  <c r="C2342" i="26"/>
  <c r="N2341" i="26"/>
  <c r="O2341" i="26" s="1"/>
  <c r="P2341" i="26" s="1"/>
  <c r="M2341" i="26" s="1"/>
  <c r="L2341" i="26"/>
  <c r="I2341" i="26"/>
  <c r="J2341" i="26" s="1"/>
  <c r="C2341" i="26"/>
  <c r="O2340" i="26"/>
  <c r="P2340" i="26" s="1"/>
  <c r="M2340" i="26" s="1"/>
  <c r="N2340" i="26"/>
  <c r="L2340" i="26"/>
  <c r="J2340" i="26"/>
  <c r="I2340" i="26"/>
  <c r="C2340" i="26"/>
  <c r="N2339" i="26"/>
  <c r="O2339" i="26" s="1"/>
  <c r="P2339" i="26" s="1"/>
  <c r="M2339" i="26" s="1"/>
  <c r="L2339" i="26"/>
  <c r="I2339" i="26"/>
  <c r="J2339" i="26" s="1"/>
  <c r="C2339" i="26"/>
  <c r="P2338" i="26"/>
  <c r="M2338" i="26" s="1"/>
  <c r="O2338" i="26"/>
  <c r="N2338" i="26"/>
  <c r="L2338" i="26"/>
  <c r="I2338" i="26"/>
  <c r="J2338" i="26" s="1"/>
  <c r="C2338" i="26"/>
  <c r="O2337" i="26"/>
  <c r="P2337" i="26" s="1"/>
  <c r="M2337" i="26" s="1"/>
  <c r="N2337" i="26"/>
  <c r="L2337" i="26"/>
  <c r="J2337" i="26"/>
  <c r="I2337" i="26"/>
  <c r="C2337" i="26"/>
  <c r="N2336" i="26"/>
  <c r="O2336" i="26" s="1"/>
  <c r="P2336" i="26" s="1"/>
  <c r="M2336" i="26" s="1"/>
  <c r="L2336" i="26"/>
  <c r="I2336" i="26"/>
  <c r="J2336" i="26" s="1"/>
  <c r="C2336" i="26"/>
  <c r="O2335" i="26"/>
  <c r="P2335" i="26" s="1"/>
  <c r="M2335" i="26" s="1"/>
  <c r="N2335" i="26"/>
  <c r="L2335" i="26"/>
  <c r="J2335" i="26"/>
  <c r="I2335" i="26"/>
  <c r="C2335" i="26"/>
  <c r="N2334" i="26"/>
  <c r="O2334" i="26" s="1"/>
  <c r="P2334" i="26" s="1"/>
  <c r="M2334" i="26" s="1"/>
  <c r="L2334" i="26"/>
  <c r="J2334" i="26"/>
  <c r="I2334" i="26"/>
  <c r="C2334" i="26"/>
  <c r="N2333" i="26"/>
  <c r="O2333" i="26" s="1"/>
  <c r="P2333" i="26" s="1"/>
  <c r="M2333" i="26" s="1"/>
  <c r="L2333" i="26"/>
  <c r="I2333" i="26"/>
  <c r="J2333" i="26" s="1"/>
  <c r="C2333" i="26"/>
  <c r="O2332" i="26"/>
  <c r="P2332" i="26" s="1"/>
  <c r="M2332" i="26" s="1"/>
  <c r="N2332" i="26"/>
  <c r="L2332" i="26"/>
  <c r="J2332" i="26"/>
  <c r="I2332" i="26"/>
  <c r="C2332" i="26"/>
  <c r="N2331" i="26"/>
  <c r="O2331" i="26" s="1"/>
  <c r="P2331" i="26" s="1"/>
  <c r="M2331" i="26" s="1"/>
  <c r="L2331" i="26"/>
  <c r="I2331" i="26"/>
  <c r="J2331" i="26" s="1"/>
  <c r="C2331" i="26"/>
  <c r="P2330" i="26"/>
  <c r="M2330" i="26" s="1"/>
  <c r="O2330" i="26"/>
  <c r="N2330" i="26"/>
  <c r="L2330" i="26"/>
  <c r="I2330" i="26"/>
  <c r="J2330" i="26" s="1"/>
  <c r="C2330" i="26"/>
  <c r="O2329" i="26"/>
  <c r="P2329" i="26" s="1"/>
  <c r="M2329" i="26" s="1"/>
  <c r="N2329" i="26"/>
  <c r="L2329" i="26"/>
  <c r="J2329" i="26"/>
  <c r="I2329" i="26"/>
  <c r="C2329" i="26"/>
  <c r="N2328" i="26"/>
  <c r="O2328" i="26" s="1"/>
  <c r="P2328" i="26" s="1"/>
  <c r="M2328" i="26" s="1"/>
  <c r="L2328" i="26"/>
  <c r="I2328" i="26"/>
  <c r="J2328" i="26" s="1"/>
  <c r="C2328" i="26"/>
  <c r="O2327" i="26"/>
  <c r="P2327" i="26" s="1"/>
  <c r="M2327" i="26" s="1"/>
  <c r="N2327" i="26"/>
  <c r="L2327" i="26"/>
  <c r="J2327" i="26"/>
  <c r="I2327" i="26"/>
  <c r="C2327" i="26"/>
  <c r="N2326" i="26"/>
  <c r="O2326" i="26" s="1"/>
  <c r="P2326" i="26" s="1"/>
  <c r="M2326" i="26" s="1"/>
  <c r="L2326" i="26"/>
  <c r="J2326" i="26"/>
  <c r="I2326" i="26"/>
  <c r="C2326" i="26"/>
  <c r="N2325" i="26"/>
  <c r="O2325" i="26" s="1"/>
  <c r="P2325" i="26" s="1"/>
  <c r="M2325" i="26" s="1"/>
  <c r="L2325" i="26"/>
  <c r="I2325" i="26"/>
  <c r="J2325" i="26" s="1"/>
  <c r="C2325" i="26"/>
  <c r="O2324" i="26"/>
  <c r="P2324" i="26" s="1"/>
  <c r="M2324" i="26" s="1"/>
  <c r="N2324" i="26"/>
  <c r="L2324" i="26"/>
  <c r="J2324" i="26"/>
  <c r="I2324" i="26"/>
  <c r="C2324" i="26"/>
  <c r="N2323" i="26"/>
  <c r="O2323" i="26" s="1"/>
  <c r="P2323" i="26" s="1"/>
  <c r="M2323" i="26" s="1"/>
  <c r="L2323" i="26"/>
  <c r="I2323" i="26"/>
  <c r="J2323" i="26" s="1"/>
  <c r="C2323" i="26"/>
  <c r="P2322" i="26"/>
  <c r="M2322" i="26" s="1"/>
  <c r="O2322" i="26"/>
  <c r="N2322" i="26"/>
  <c r="L2322" i="26"/>
  <c r="I2322" i="26"/>
  <c r="J2322" i="26" s="1"/>
  <c r="C2322" i="26"/>
  <c r="O2321" i="26"/>
  <c r="P2321" i="26" s="1"/>
  <c r="M2321" i="26" s="1"/>
  <c r="N2321" i="26"/>
  <c r="L2321" i="26"/>
  <c r="I2321" i="26"/>
  <c r="J2321" i="26" s="1"/>
  <c r="C2321" i="26"/>
  <c r="O2320" i="26"/>
  <c r="P2320" i="26" s="1"/>
  <c r="M2320" i="26" s="1"/>
  <c r="N2320" i="26"/>
  <c r="L2320" i="26"/>
  <c r="I2320" i="26"/>
  <c r="J2320" i="26" s="1"/>
  <c r="C2320" i="26"/>
  <c r="O2319" i="26"/>
  <c r="P2319" i="26" s="1"/>
  <c r="M2319" i="26" s="1"/>
  <c r="N2319" i="26"/>
  <c r="L2319" i="26"/>
  <c r="I2319" i="26"/>
  <c r="J2319" i="26" s="1"/>
  <c r="C2319" i="26"/>
  <c r="O2318" i="26"/>
  <c r="P2318" i="26" s="1"/>
  <c r="M2318" i="26" s="1"/>
  <c r="N2318" i="26"/>
  <c r="L2318" i="26"/>
  <c r="I2318" i="26"/>
  <c r="J2318" i="26" s="1"/>
  <c r="C2318" i="26"/>
  <c r="O2317" i="26"/>
  <c r="P2317" i="26" s="1"/>
  <c r="M2317" i="26" s="1"/>
  <c r="N2317" i="26"/>
  <c r="L2317" i="26"/>
  <c r="I2317" i="26"/>
  <c r="J2317" i="26" s="1"/>
  <c r="C2317" i="26"/>
  <c r="O2316" i="26"/>
  <c r="P2316" i="26" s="1"/>
  <c r="M2316" i="26" s="1"/>
  <c r="N2316" i="26"/>
  <c r="L2316" i="26"/>
  <c r="I2316" i="26"/>
  <c r="J2316" i="26" s="1"/>
  <c r="C2316" i="26"/>
  <c r="O2315" i="26"/>
  <c r="P2315" i="26" s="1"/>
  <c r="M2315" i="26" s="1"/>
  <c r="N2315" i="26"/>
  <c r="L2315" i="26"/>
  <c r="I2315" i="26"/>
  <c r="J2315" i="26" s="1"/>
  <c r="C2315" i="26"/>
  <c r="O2314" i="26"/>
  <c r="P2314" i="26" s="1"/>
  <c r="M2314" i="26" s="1"/>
  <c r="N2314" i="26"/>
  <c r="L2314" i="26"/>
  <c r="I2314" i="26"/>
  <c r="J2314" i="26" s="1"/>
  <c r="C2314" i="26"/>
  <c r="O2313" i="26"/>
  <c r="P2313" i="26" s="1"/>
  <c r="M2313" i="26" s="1"/>
  <c r="N2313" i="26"/>
  <c r="L2313" i="26"/>
  <c r="I2313" i="26"/>
  <c r="J2313" i="26" s="1"/>
  <c r="C2313" i="26"/>
  <c r="O2312" i="26"/>
  <c r="P2312" i="26" s="1"/>
  <c r="M2312" i="26" s="1"/>
  <c r="N2312" i="26"/>
  <c r="L2312" i="26"/>
  <c r="I2312" i="26"/>
  <c r="J2312" i="26" s="1"/>
  <c r="C2312" i="26"/>
  <c r="O2311" i="26"/>
  <c r="P2311" i="26" s="1"/>
  <c r="M2311" i="26" s="1"/>
  <c r="N2311" i="26"/>
  <c r="L2311" i="26"/>
  <c r="I2311" i="26"/>
  <c r="J2311" i="26" s="1"/>
  <c r="C2311" i="26"/>
  <c r="O2310" i="26"/>
  <c r="P2310" i="26" s="1"/>
  <c r="M2310" i="26" s="1"/>
  <c r="N2310" i="26"/>
  <c r="L2310" i="26"/>
  <c r="I2310" i="26"/>
  <c r="J2310" i="26" s="1"/>
  <c r="C2310" i="26"/>
  <c r="O2309" i="26"/>
  <c r="P2309" i="26" s="1"/>
  <c r="M2309" i="26" s="1"/>
  <c r="N2309" i="26"/>
  <c r="L2309" i="26"/>
  <c r="I2309" i="26"/>
  <c r="J2309" i="26" s="1"/>
  <c r="C2309" i="26"/>
  <c r="O2308" i="26"/>
  <c r="P2308" i="26" s="1"/>
  <c r="M2308" i="26" s="1"/>
  <c r="N2308" i="26"/>
  <c r="L2308" i="26"/>
  <c r="I2308" i="26"/>
  <c r="J2308" i="26" s="1"/>
  <c r="C2308" i="26"/>
  <c r="O2307" i="26"/>
  <c r="P2307" i="26" s="1"/>
  <c r="M2307" i="26" s="1"/>
  <c r="N2307" i="26"/>
  <c r="L2307" i="26"/>
  <c r="I2307" i="26"/>
  <c r="J2307" i="26" s="1"/>
  <c r="C2307" i="26"/>
  <c r="O2306" i="26"/>
  <c r="P2306" i="26" s="1"/>
  <c r="M2306" i="26" s="1"/>
  <c r="N2306" i="26"/>
  <c r="L2306" i="26"/>
  <c r="I2306" i="26"/>
  <c r="J2306" i="26" s="1"/>
  <c r="C2306" i="26"/>
  <c r="O2305" i="26"/>
  <c r="P2305" i="26" s="1"/>
  <c r="M2305" i="26" s="1"/>
  <c r="N2305" i="26"/>
  <c r="L2305" i="26"/>
  <c r="I2305" i="26"/>
  <c r="J2305" i="26" s="1"/>
  <c r="C2305" i="26"/>
  <c r="O2304" i="26"/>
  <c r="P2304" i="26" s="1"/>
  <c r="M2304" i="26" s="1"/>
  <c r="N2304" i="26"/>
  <c r="L2304" i="26"/>
  <c r="I2304" i="26"/>
  <c r="J2304" i="26" s="1"/>
  <c r="C2304" i="26"/>
  <c r="O2303" i="26"/>
  <c r="P2303" i="26" s="1"/>
  <c r="M2303" i="26" s="1"/>
  <c r="N2303" i="26"/>
  <c r="L2303" i="26"/>
  <c r="I2303" i="26"/>
  <c r="J2303" i="26" s="1"/>
  <c r="C2303" i="26"/>
  <c r="O2302" i="26"/>
  <c r="P2302" i="26" s="1"/>
  <c r="M2302" i="26" s="1"/>
  <c r="N2302" i="26"/>
  <c r="L2302" i="26"/>
  <c r="I2302" i="26"/>
  <c r="J2302" i="26" s="1"/>
  <c r="C2302" i="26"/>
  <c r="O2301" i="26"/>
  <c r="P2301" i="26" s="1"/>
  <c r="M2301" i="26" s="1"/>
  <c r="N2301" i="26"/>
  <c r="L2301" i="26"/>
  <c r="I2301" i="26"/>
  <c r="J2301" i="26" s="1"/>
  <c r="C2301" i="26"/>
  <c r="O2300" i="26"/>
  <c r="P2300" i="26" s="1"/>
  <c r="M2300" i="26" s="1"/>
  <c r="N2300" i="26"/>
  <c r="L2300" i="26"/>
  <c r="I2300" i="26"/>
  <c r="J2300" i="26" s="1"/>
  <c r="C2300" i="26"/>
  <c r="O2299" i="26"/>
  <c r="P2299" i="26" s="1"/>
  <c r="M2299" i="26" s="1"/>
  <c r="N2299" i="26"/>
  <c r="L2299" i="26"/>
  <c r="I2299" i="26"/>
  <c r="J2299" i="26" s="1"/>
  <c r="C2299" i="26"/>
  <c r="O2298" i="26"/>
  <c r="P2298" i="26" s="1"/>
  <c r="M2298" i="26" s="1"/>
  <c r="N2298" i="26"/>
  <c r="L2298" i="26"/>
  <c r="I2298" i="26"/>
  <c r="J2298" i="26" s="1"/>
  <c r="C2298" i="26"/>
  <c r="O2297" i="26"/>
  <c r="P2297" i="26" s="1"/>
  <c r="M2297" i="26" s="1"/>
  <c r="N2297" i="26"/>
  <c r="L2297" i="26"/>
  <c r="I2297" i="26"/>
  <c r="J2297" i="26" s="1"/>
  <c r="C2297" i="26"/>
  <c r="O2296" i="26"/>
  <c r="P2296" i="26" s="1"/>
  <c r="M2296" i="26" s="1"/>
  <c r="N2296" i="26"/>
  <c r="L2296" i="26"/>
  <c r="I2296" i="26"/>
  <c r="J2296" i="26" s="1"/>
  <c r="C2296" i="26"/>
  <c r="O2295" i="26"/>
  <c r="P2295" i="26" s="1"/>
  <c r="M2295" i="26" s="1"/>
  <c r="N2295" i="26"/>
  <c r="L2295" i="26"/>
  <c r="I2295" i="26"/>
  <c r="J2295" i="26" s="1"/>
  <c r="C2295" i="26"/>
  <c r="O2294" i="26"/>
  <c r="P2294" i="26" s="1"/>
  <c r="M2294" i="26" s="1"/>
  <c r="N2294" i="26"/>
  <c r="L2294" i="26"/>
  <c r="I2294" i="26"/>
  <c r="J2294" i="26" s="1"/>
  <c r="C2294" i="26"/>
  <c r="O2293" i="26"/>
  <c r="P2293" i="26" s="1"/>
  <c r="M2293" i="26" s="1"/>
  <c r="N2293" i="26"/>
  <c r="L2293" i="26"/>
  <c r="I2293" i="26"/>
  <c r="J2293" i="26" s="1"/>
  <c r="C2293" i="26"/>
  <c r="O2292" i="26"/>
  <c r="P2292" i="26" s="1"/>
  <c r="M2292" i="26" s="1"/>
  <c r="N2292" i="26"/>
  <c r="L2292" i="26"/>
  <c r="J2292" i="26"/>
  <c r="C2292" i="26"/>
  <c r="N2291" i="26"/>
  <c r="O2291" i="26" s="1"/>
  <c r="P2291" i="26" s="1"/>
  <c r="M2291" i="26" s="1"/>
  <c r="L2291" i="26"/>
  <c r="J2291" i="26"/>
  <c r="I2291" i="26"/>
  <c r="C2291" i="26"/>
  <c r="N2290" i="26"/>
  <c r="O2290" i="26" s="1"/>
  <c r="P2290" i="26" s="1"/>
  <c r="M2290" i="26" s="1"/>
  <c r="L2290" i="26"/>
  <c r="J2290" i="26"/>
  <c r="I2290" i="26"/>
  <c r="C2290" i="26"/>
  <c r="N2289" i="26"/>
  <c r="O2289" i="26" s="1"/>
  <c r="P2289" i="26" s="1"/>
  <c r="M2289" i="26" s="1"/>
  <c r="L2289" i="26"/>
  <c r="J2289" i="26"/>
  <c r="I2289" i="26"/>
  <c r="C2289" i="26"/>
  <c r="N2288" i="26"/>
  <c r="O2288" i="26" s="1"/>
  <c r="P2288" i="26" s="1"/>
  <c r="M2288" i="26" s="1"/>
  <c r="L2288" i="26"/>
  <c r="J2288" i="26"/>
  <c r="I2288" i="26"/>
  <c r="C2288" i="26"/>
  <c r="N2287" i="26"/>
  <c r="O2287" i="26" s="1"/>
  <c r="P2287" i="26" s="1"/>
  <c r="M2287" i="26" s="1"/>
  <c r="L2287" i="26"/>
  <c r="J2287" i="26"/>
  <c r="I2287" i="26"/>
  <c r="C2287" i="26"/>
  <c r="N2286" i="26"/>
  <c r="O2286" i="26" s="1"/>
  <c r="P2286" i="26" s="1"/>
  <c r="M2286" i="26" s="1"/>
  <c r="L2286" i="26"/>
  <c r="J2286" i="26"/>
  <c r="I2286" i="26"/>
  <c r="C2286" i="26"/>
  <c r="N2285" i="26"/>
  <c r="O2285" i="26" s="1"/>
  <c r="P2285" i="26" s="1"/>
  <c r="M2285" i="26" s="1"/>
  <c r="L2285" i="26"/>
  <c r="J2285" i="26"/>
  <c r="I2285" i="26"/>
  <c r="C2285" i="26"/>
  <c r="N2284" i="26"/>
  <c r="O2284" i="26" s="1"/>
  <c r="P2284" i="26" s="1"/>
  <c r="M2284" i="26" s="1"/>
  <c r="L2284" i="26"/>
  <c r="J2284" i="26"/>
  <c r="I2284" i="26"/>
  <c r="C2284" i="26"/>
  <c r="N2283" i="26"/>
  <c r="O2283" i="26" s="1"/>
  <c r="P2283" i="26" s="1"/>
  <c r="M2283" i="26" s="1"/>
  <c r="L2283" i="26"/>
  <c r="J2283" i="26"/>
  <c r="I2283" i="26"/>
  <c r="C2283" i="26"/>
  <c r="N2282" i="26"/>
  <c r="O2282" i="26" s="1"/>
  <c r="P2282" i="26" s="1"/>
  <c r="M2282" i="26" s="1"/>
  <c r="L2282" i="26"/>
  <c r="J2282" i="26"/>
  <c r="I2282" i="26"/>
  <c r="C2282" i="26"/>
  <c r="N2281" i="26"/>
  <c r="O2281" i="26" s="1"/>
  <c r="P2281" i="26" s="1"/>
  <c r="M2281" i="26" s="1"/>
  <c r="L2281" i="26"/>
  <c r="J2281" i="26"/>
  <c r="I2281" i="26"/>
  <c r="C2281" i="26"/>
  <c r="N2280" i="26"/>
  <c r="O2280" i="26" s="1"/>
  <c r="P2280" i="26" s="1"/>
  <c r="M2280" i="26" s="1"/>
  <c r="L2280" i="26"/>
  <c r="J2280" i="26"/>
  <c r="I2280" i="26"/>
  <c r="C2280" i="26"/>
  <c r="N2279" i="26"/>
  <c r="O2279" i="26" s="1"/>
  <c r="P2279" i="26" s="1"/>
  <c r="M2279" i="26" s="1"/>
  <c r="L2279" i="26"/>
  <c r="J2279" i="26"/>
  <c r="I2279" i="26"/>
  <c r="C2279" i="26"/>
  <c r="N2278" i="26"/>
  <c r="O2278" i="26" s="1"/>
  <c r="P2278" i="26" s="1"/>
  <c r="M2278" i="26" s="1"/>
  <c r="L2278" i="26"/>
  <c r="J2278" i="26"/>
  <c r="I2278" i="26"/>
  <c r="C2278" i="26"/>
  <c r="N2277" i="26"/>
  <c r="O2277" i="26" s="1"/>
  <c r="P2277" i="26" s="1"/>
  <c r="M2277" i="26" s="1"/>
  <c r="L2277" i="26"/>
  <c r="J2277" i="26"/>
  <c r="I2277" i="26"/>
  <c r="C2277" i="26"/>
  <c r="N2276" i="26"/>
  <c r="O2276" i="26" s="1"/>
  <c r="P2276" i="26" s="1"/>
  <c r="M2276" i="26" s="1"/>
  <c r="L2276" i="26"/>
  <c r="J2276" i="26"/>
  <c r="I2276" i="26"/>
  <c r="C2276" i="26"/>
  <c r="N2275" i="26"/>
  <c r="O2275" i="26" s="1"/>
  <c r="P2275" i="26" s="1"/>
  <c r="M2275" i="26" s="1"/>
  <c r="L2275" i="26"/>
  <c r="J2275" i="26"/>
  <c r="I2275" i="26"/>
  <c r="C2275" i="26"/>
  <c r="N2274" i="26"/>
  <c r="O2274" i="26" s="1"/>
  <c r="P2274" i="26" s="1"/>
  <c r="M2274" i="26" s="1"/>
  <c r="L2274" i="26"/>
  <c r="J2274" i="26"/>
  <c r="I2274" i="26"/>
  <c r="C2274" i="26"/>
  <c r="N2273" i="26"/>
  <c r="O2273" i="26" s="1"/>
  <c r="P2273" i="26" s="1"/>
  <c r="M2273" i="26" s="1"/>
  <c r="L2273" i="26"/>
  <c r="J2273" i="26"/>
  <c r="I2273" i="26"/>
  <c r="C2273" i="26"/>
  <c r="N2272" i="26"/>
  <c r="O2272" i="26" s="1"/>
  <c r="P2272" i="26" s="1"/>
  <c r="M2272" i="26" s="1"/>
  <c r="L2272" i="26"/>
  <c r="J2272" i="26"/>
  <c r="I2272" i="26"/>
  <c r="C2272" i="26"/>
  <c r="N2271" i="26"/>
  <c r="O2271" i="26" s="1"/>
  <c r="P2271" i="26" s="1"/>
  <c r="M2271" i="26" s="1"/>
  <c r="L2271" i="26"/>
  <c r="J2271" i="26"/>
  <c r="I2271" i="26"/>
  <c r="C2271" i="26"/>
  <c r="N2270" i="26"/>
  <c r="O2270" i="26" s="1"/>
  <c r="P2270" i="26" s="1"/>
  <c r="M2270" i="26" s="1"/>
  <c r="L2270" i="26"/>
  <c r="J2270" i="26"/>
  <c r="I2270" i="26"/>
  <c r="C2270" i="26"/>
  <c r="N2269" i="26"/>
  <c r="O2269" i="26" s="1"/>
  <c r="P2269" i="26" s="1"/>
  <c r="M2269" i="26" s="1"/>
  <c r="L2269" i="26"/>
  <c r="J2269" i="26"/>
  <c r="I2269" i="26"/>
  <c r="C2269" i="26"/>
  <c r="N2268" i="26"/>
  <c r="O2268" i="26" s="1"/>
  <c r="L2268" i="26"/>
  <c r="J2268" i="26"/>
  <c r="I2268" i="26"/>
  <c r="C2268" i="26"/>
  <c r="N2267" i="26"/>
  <c r="O2267" i="26" s="1"/>
  <c r="P2267" i="26" s="1"/>
  <c r="M2267" i="26" s="1"/>
  <c r="L2267" i="26"/>
  <c r="J2267" i="26"/>
  <c r="I2267" i="26"/>
  <c r="C2267" i="26"/>
  <c r="N2266" i="26"/>
  <c r="O2266" i="26" s="1"/>
  <c r="L2266" i="26"/>
  <c r="J2266" i="26"/>
  <c r="I2266" i="26"/>
  <c r="C2266" i="26"/>
  <c r="N2265" i="26"/>
  <c r="O2265" i="26" s="1"/>
  <c r="P2265" i="26" s="1"/>
  <c r="M2265" i="26" s="1"/>
  <c r="L2265" i="26"/>
  <c r="J2265" i="26"/>
  <c r="I2265" i="26"/>
  <c r="C2265" i="26"/>
  <c r="N2264" i="26"/>
  <c r="O2264" i="26" s="1"/>
  <c r="P2264" i="26" s="1"/>
  <c r="M2264" i="26" s="1"/>
  <c r="L2264" i="26"/>
  <c r="J2264" i="26"/>
  <c r="I2264" i="26"/>
  <c r="C2264" i="26"/>
  <c r="N2263" i="26"/>
  <c r="O2263" i="26" s="1"/>
  <c r="L2263" i="26"/>
  <c r="J2263" i="26"/>
  <c r="I2263" i="26"/>
  <c r="C2263" i="26"/>
  <c r="N2262" i="26"/>
  <c r="O2262" i="26" s="1"/>
  <c r="P2262" i="26" s="1"/>
  <c r="M2262" i="26" s="1"/>
  <c r="L2262" i="26"/>
  <c r="J2262" i="26"/>
  <c r="I2262" i="26"/>
  <c r="C2262" i="26"/>
  <c r="N2261" i="26"/>
  <c r="O2261" i="26" s="1"/>
  <c r="L2261" i="26"/>
  <c r="J2261" i="26"/>
  <c r="I2261" i="26"/>
  <c r="C2261" i="26"/>
  <c r="N2260" i="26"/>
  <c r="O2260" i="26" s="1"/>
  <c r="L2260" i="26"/>
  <c r="J2260" i="26"/>
  <c r="I2260" i="26"/>
  <c r="C2260" i="26"/>
  <c r="N2259" i="26"/>
  <c r="O2259" i="26" s="1"/>
  <c r="P2259" i="26" s="1"/>
  <c r="M2259" i="26" s="1"/>
  <c r="L2259" i="26"/>
  <c r="J2259" i="26"/>
  <c r="I2259" i="26"/>
  <c r="C2259" i="26"/>
  <c r="N2258" i="26"/>
  <c r="O2258" i="26" s="1"/>
  <c r="L2258" i="26"/>
  <c r="J2258" i="26"/>
  <c r="I2258" i="26"/>
  <c r="C2258" i="26"/>
  <c r="N2257" i="26"/>
  <c r="O2257" i="26" s="1"/>
  <c r="P2257" i="26" s="1"/>
  <c r="M2257" i="26" s="1"/>
  <c r="L2257" i="26"/>
  <c r="J2257" i="26"/>
  <c r="I2257" i="26"/>
  <c r="C2257" i="26"/>
  <c r="N2256" i="26"/>
  <c r="O2256" i="26" s="1"/>
  <c r="P2256" i="26" s="1"/>
  <c r="M2256" i="26" s="1"/>
  <c r="L2256" i="26"/>
  <c r="J2256" i="26"/>
  <c r="I2256" i="26"/>
  <c r="C2256" i="26"/>
  <c r="N2255" i="26"/>
  <c r="O2255" i="26" s="1"/>
  <c r="L2255" i="26"/>
  <c r="J2255" i="26"/>
  <c r="I2255" i="26"/>
  <c r="C2255" i="26"/>
  <c r="N2254" i="26"/>
  <c r="O2254" i="26" s="1"/>
  <c r="P2254" i="26" s="1"/>
  <c r="M2254" i="26" s="1"/>
  <c r="L2254" i="26"/>
  <c r="J2254" i="26"/>
  <c r="I2254" i="26"/>
  <c r="C2254" i="26"/>
  <c r="N2253" i="26"/>
  <c r="O2253" i="26" s="1"/>
  <c r="L2253" i="26"/>
  <c r="J2253" i="26"/>
  <c r="I2253" i="26"/>
  <c r="C2253" i="26"/>
  <c r="N2252" i="26"/>
  <c r="O2252" i="26" s="1"/>
  <c r="L2252" i="26"/>
  <c r="J2252" i="26"/>
  <c r="I2252" i="26"/>
  <c r="C2252" i="26"/>
  <c r="N2251" i="26"/>
  <c r="O2251" i="26" s="1"/>
  <c r="P2251" i="26" s="1"/>
  <c r="M2251" i="26" s="1"/>
  <c r="L2251" i="26"/>
  <c r="J2251" i="26"/>
  <c r="I2251" i="26"/>
  <c r="C2251" i="26"/>
  <c r="N2250" i="26"/>
  <c r="O2250" i="26" s="1"/>
  <c r="L2250" i="26"/>
  <c r="J2250" i="26"/>
  <c r="I2250" i="26"/>
  <c r="C2250" i="26"/>
  <c r="N2249" i="26"/>
  <c r="O2249" i="26" s="1"/>
  <c r="P2249" i="26" s="1"/>
  <c r="M2249" i="26" s="1"/>
  <c r="L2249" i="26"/>
  <c r="J2249" i="26"/>
  <c r="I2249" i="26"/>
  <c r="C2249" i="26"/>
  <c r="N2248" i="26"/>
  <c r="O2248" i="26" s="1"/>
  <c r="P2248" i="26" s="1"/>
  <c r="M2248" i="26" s="1"/>
  <c r="L2248" i="26"/>
  <c r="J2248" i="26"/>
  <c r="I2248" i="26"/>
  <c r="C2248" i="26"/>
  <c r="N2247" i="26"/>
  <c r="O2247" i="26" s="1"/>
  <c r="L2247" i="26"/>
  <c r="J2247" i="26"/>
  <c r="I2247" i="26"/>
  <c r="C2247" i="26"/>
  <c r="N2246" i="26"/>
  <c r="O2246" i="26" s="1"/>
  <c r="L2246" i="26"/>
  <c r="J2246" i="26"/>
  <c r="I2246" i="26"/>
  <c r="C2246" i="26"/>
  <c r="N2245" i="26"/>
  <c r="O2245" i="26" s="1"/>
  <c r="L2245" i="26"/>
  <c r="J2245" i="26"/>
  <c r="I2245" i="26"/>
  <c r="C2245" i="26"/>
  <c r="N2244" i="26"/>
  <c r="O2244" i="26" s="1"/>
  <c r="L2244" i="26"/>
  <c r="J2244" i="26"/>
  <c r="I2244" i="26"/>
  <c r="C2244" i="26"/>
  <c r="N2243" i="26"/>
  <c r="O2243" i="26" s="1"/>
  <c r="P2243" i="26" s="1"/>
  <c r="M2243" i="26" s="1"/>
  <c r="L2243" i="26"/>
  <c r="J2243" i="26"/>
  <c r="I2243" i="26"/>
  <c r="C2243" i="26"/>
  <c r="N2242" i="26"/>
  <c r="O2242" i="26" s="1"/>
  <c r="L2242" i="26"/>
  <c r="J2242" i="26"/>
  <c r="I2242" i="26"/>
  <c r="C2242" i="26"/>
  <c r="N2241" i="26"/>
  <c r="O2241" i="26" s="1"/>
  <c r="P2241" i="26" s="1"/>
  <c r="M2241" i="26" s="1"/>
  <c r="L2241" i="26"/>
  <c r="J2241" i="26"/>
  <c r="I2241" i="26"/>
  <c r="C2241" i="26"/>
  <c r="N2240" i="26"/>
  <c r="O2240" i="26" s="1"/>
  <c r="P2240" i="26" s="1"/>
  <c r="M2240" i="26" s="1"/>
  <c r="L2240" i="26"/>
  <c r="J2240" i="26"/>
  <c r="I2240" i="26"/>
  <c r="C2240" i="26"/>
  <c r="N2239" i="26"/>
  <c r="O2239" i="26" s="1"/>
  <c r="L2239" i="26"/>
  <c r="J2239" i="26"/>
  <c r="I2239" i="26"/>
  <c r="C2239" i="26"/>
  <c r="N2238" i="26"/>
  <c r="O2238" i="26" s="1"/>
  <c r="L2238" i="26"/>
  <c r="J2238" i="26"/>
  <c r="I2238" i="26"/>
  <c r="C2238" i="26"/>
  <c r="N2237" i="26"/>
  <c r="O2237" i="26" s="1"/>
  <c r="L2237" i="26"/>
  <c r="J2237" i="26"/>
  <c r="I2237" i="26"/>
  <c r="C2237" i="26"/>
  <c r="N2236" i="26"/>
  <c r="O2236" i="26" s="1"/>
  <c r="L2236" i="26"/>
  <c r="J2236" i="26"/>
  <c r="I2236" i="26"/>
  <c r="C2236" i="26"/>
  <c r="N2235" i="26"/>
  <c r="O2235" i="26" s="1"/>
  <c r="P2235" i="26" s="1"/>
  <c r="M2235" i="26" s="1"/>
  <c r="L2235" i="26"/>
  <c r="J2235" i="26"/>
  <c r="I2235" i="26"/>
  <c r="C2235" i="26"/>
  <c r="N2234" i="26"/>
  <c r="O2234" i="26" s="1"/>
  <c r="L2234" i="26"/>
  <c r="J2234" i="26"/>
  <c r="I2234" i="26"/>
  <c r="C2234" i="26"/>
  <c r="N2233" i="26"/>
  <c r="O2233" i="26" s="1"/>
  <c r="P2233" i="26" s="1"/>
  <c r="M2233" i="26" s="1"/>
  <c r="L2233" i="26"/>
  <c r="J2233" i="26"/>
  <c r="I2233" i="26"/>
  <c r="C2233" i="26"/>
  <c r="N2232" i="26"/>
  <c r="O2232" i="26" s="1"/>
  <c r="P2232" i="26" s="1"/>
  <c r="M2232" i="26" s="1"/>
  <c r="L2232" i="26"/>
  <c r="J2232" i="26"/>
  <c r="I2232" i="26"/>
  <c r="C2232" i="26"/>
  <c r="N2231" i="26"/>
  <c r="O2231" i="26" s="1"/>
  <c r="L2231" i="26"/>
  <c r="J2231" i="26"/>
  <c r="I2231" i="26"/>
  <c r="C2231" i="26"/>
  <c r="N2230" i="26"/>
  <c r="O2230" i="26" s="1"/>
  <c r="L2230" i="26"/>
  <c r="J2230" i="26"/>
  <c r="I2230" i="26"/>
  <c r="C2230" i="26"/>
  <c r="N2229" i="26"/>
  <c r="O2229" i="26" s="1"/>
  <c r="L2229" i="26"/>
  <c r="J2229" i="26"/>
  <c r="I2229" i="26"/>
  <c r="C2229" i="26"/>
  <c r="N2228" i="26"/>
  <c r="O2228" i="26" s="1"/>
  <c r="L2228" i="26"/>
  <c r="J2228" i="26"/>
  <c r="I2228" i="26"/>
  <c r="C2228" i="26"/>
  <c r="N2227" i="26"/>
  <c r="O2227" i="26" s="1"/>
  <c r="P2227" i="26" s="1"/>
  <c r="M2227" i="26" s="1"/>
  <c r="L2227" i="26"/>
  <c r="J2227" i="26"/>
  <c r="I2227" i="26"/>
  <c r="C2227" i="26"/>
  <c r="N2226" i="26"/>
  <c r="O2226" i="26" s="1"/>
  <c r="L2226" i="26"/>
  <c r="J2226" i="26"/>
  <c r="I2226" i="26"/>
  <c r="C2226" i="26"/>
  <c r="N2225" i="26"/>
  <c r="O2225" i="26" s="1"/>
  <c r="P2225" i="26" s="1"/>
  <c r="M2225" i="26" s="1"/>
  <c r="L2225" i="26"/>
  <c r="J2225" i="26"/>
  <c r="I2225" i="26"/>
  <c r="C2225" i="26"/>
  <c r="N2224" i="26"/>
  <c r="O2224" i="26" s="1"/>
  <c r="P2224" i="26" s="1"/>
  <c r="M2224" i="26" s="1"/>
  <c r="L2224" i="26"/>
  <c r="J2224" i="26"/>
  <c r="I2224" i="26"/>
  <c r="C2224" i="26"/>
  <c r="N2223" i="26"/>
  <c r="O2223" i="26" s="1"/>
  <c r="L2223" i="26"/>
  <c r="J2223" i="26"/>
  <c r="I2223" i="26"/>
  <c r="C2223" i="26"/>
  <c r="N2222" i="26"/>
  <c r="O2222" i="26" s="1"/>
  <c r="L2222" i="26"/>
  <c r="J2222" i="26"/>
  <c r="I2222" i="26"/>
  <c r="C2222" i="26"/>
  <c r="N2221" i="26"/>
  <c r="O2221" i="26" s="1"/>
  <c r="L2221" i="26"/>
  <c r="J2221" i="26"/>
  <c r="I2221" i="26"/>
  <c r="C2221" i="26"/>
  <c r="N2220" i="26"/>
  <c r="O2220" i="26" s="1"/>
  <c r="L2220" i="26"/>
  <c r="J2220" i="26"/>
  <c r="I2220" i="26"/>
  <c r="C2220" i="26"/>
  <c r="N2219" i="26"/>
  <c r="O2219" i="26" s="1"/>
  <c r="P2219" i="26" s="1"/>
  <c r="M2219" i="26" s="1"/>
  <c r="L2219" i="26"/>
  <c r="J2219" i="26"/>
  <c r="I2219" i="26"/>
  <c r="C2219" i="26"/>
  <c r="N2218" i="26"/>
  <c r="O2218" i="26" s="1"/>
  <c r="L2218" i="26"/>
  <c r="J2218" i="26"/>
  <c r="I2218" i="26"/>
  <c r="C2218" i="26"/>
  <c r="N2217" i="26"/>
  <c r="O2217" i="26" s="1"/>
  <c r="P2217" i="26" s="1"/>
  <c r="M2217" i="26" s="1"/>
  <c r="L2217" i="26"/>
  <c r="J2217" i="26"/>
  <c r="I2217" i="26"/>
  <c r="C2217" i="26"/>
  <c r="N2216" i="26"/>
  <c r="O2216" i="26" s="1"/>
  <c r="P2216" i="26" s="1"/>
  <c r="M2216" i="26" s="1"/>
  <c r="L2216" i="26"/>
  <c r="J2216" i="26"/>
  <c r="I2216" i="26"/>
  <c r="C2216" i="26"/>
  <c r="N2215" i="26"/>
  <c r="O2215" i="26" s="1"/>
  <c r="L2215" i="26"/>
  <c r="J2215" i="26"/>
  <c r="I2215" i="26"/>
  <c r="C2215" i="26"/>
  <c r="N2214" i="26"/>
  <c r="O2214" i="26" s="1"/>
  <c r="L2214" i="26"/>
  <c r="J2214" i="26"/>
  <c r="I2214" i="26"/>
  <c r="C2214" i="26"/>
  <c r="N2213" i="26"/>
  <c r="O2213" i="26" s="1"/>
  <c r="L2213" i="26"/>
  <c r="J2213" i="26"/>
  <c r="I2213" i="26"/>
  <c r="C2213" i="26"/>
  <c r="N2212" i="26"/>
  <c r="O2212" i="26" s="1"/>
  <c r="L2212" i="26"/>
  <c r="J2212" i="26"/>
  <c r="I2212" i="26"/>
  <c r="C2212" i="26"/>
  <c r="N2211" i="26"/>
  <c r="O2211" i="26" s="1"/>
  <c r="P2211" i="26" s="1"/>
  <c r="M2211" i="26" s="1"/>
  <c r="L2211" i="26"/>
  <c r="J2211" i="26"/>
  <c r="I2211" i="26"/>
  <c r="C2211" i="26"/>
  <c r="N2210" i="26"/>
  <c r="O2210" i="26" s="1"/>
  <c r="L2210" i="26"/>
  <c r="J2210" i="26"/>
  <c r="I2210" i="26"/>
  <c r="C2210" i="26"/>
  <c r="N2209" i="26"/>
  <c r="O2209" i="26" s="1"/>
  <c r="P2209" i="26" s="1"/>
  <c r="M2209" i="26" s="1"/>
  <c r="L2209" i="26"/>
  <c r="J2209" i="26"/>
  <c r="I2209" i="26"/>
  <c r="C2209" i="26"/>
  <c r="N2208" i="26"/>
  <c r="O2208" i="26" s="1"/>
  <c r="P2208" i="26" s="1"/>
  <c r="M2208" i="26" s="1"/>
  <c r="L2208" i="26"/>
  <c r="J2208" i="26"/>
  <c r="I2208" i="26"/>
  <c r="C2208" i="26"/>
  <c r="N2207" i="26"/>
  <c r="O2207" i="26" s="1"/>
  <c r="L2207" i="26"/>
  <c r="J2207" i="26"/>
  <c r="I2207" i="26"/>
  <c r="C2207" i="26"/>
  <c r="N2206" i="26"/>
  <c r="O2206" i="26" s="1"/>
  <c r="L2206" i="26"/>
  <c r="J2206" i="26"/>
  <c r="I2206" i="26"/>
  <c r="C2206" i="26"/>
  <c r="N2205" i="26"/>
  <c r="O2205" i="26" s="1"/>
  <c r="L2205" i="26"/>
  <c r="J2205" i="26"/>
  <c r="I2205" i="26"/>
  <c r="C2205" i="26"/>
  <c r="N2204" i="26"/>
  <c r="O2204" i="26" s="1"/>
  <c r="L2204" i="26"/>
  <c r="J2204" i="26"/>
  <c r="I2204" i="26"/>
  <c r="C2204" i="26"/>
  <c r="N2203" i="26"/>
  <c r="O2203" i="26" s="1"/>
  <c r="P2203" i="26" s="1"/>
  <c r="M2203" i="26" s="1"/>
  <c r="L2203" i="26"/>
  <c r="J2203" i="26"/>
  <c r="I2203" i="26"/>
  <c r="C2203" i="26"/>
  <c r="N2202" i="26"/>
  <c r="O2202" i="26" s="1"/>
  <c r="L2202" i="26"/>
  <c r="J2202" i="26"/>
  <c r="I2202" i="26"/>
  <c r="C2202" i="26"/>
  <c r="N2201" i="26"/>
  <c r="O2201" i="26" s="1"/>
  <c r="P2201" i="26" s="1"/>
  <c r="M2201" i="26" s="1"/>
  <c r="L2201" i="26"/>
  <c r="J2201" i="26"/>
  <c r="I2201" i="26"/>
  <c r="C2201" i="26"/>
  <c r="N2200" i="26"/>
  <c r="O2200" i="26" s="1"/>
  <c r="P2200" i="26" s="1"/>
  <c r="M2200" i="26" s="1"/>
  <c r="L2200" i="26"/>
  <c r="J2200" i="26"/>
  <c r="I2200" i="26"/>
  <c r="C2200" i="26"/>
  <c r="N2199" i="26"/>
  <c r="O2199" i="26" s="1"/>
  <c r="L2199" i="26"/>
  <c r="J2199" i="26"/>
  <c r="I2199" i="26"/>
  <c r="C2199" i="26"/>
  <c r="N2198" i="26"/>
  <c r="O2198" i="26" s="1"/>
  <c r="L2198" i="26"/>
  <c r="J2198" i="26"/>
  <c r="I2198" i="26"/>
  <c r="C2198" i="26"/>
  <c r="N2197" i="26"/>
  <c r="O2197" i="26" s="1"/>
  <c r="L2197" i="26"/>
  <c r="J2197" i="26"/>
  <c r="I2197" i="26"/>
  <c r="C2197" i="26"/>
  <c r="N2196" i="26"/>
  <c r="O2196" i="26" s="1"/>
  <c r="L2196" i="26"/>
  <c r="J2196" i="26"/>
  <c r="I2196" i="26"/>
  <c r="C2196" i="26"/>
  <c r="N2195" i="26"/>
  <c r="O2195" i="26" s="1"/>
  <c r="P2195" i="26" s="1"/>
  <c r="M2195" i="26" s="1"/>
  <c r="L2195" i="26"/>
  <c r="J2195" i="26"/>
  <c r="I2195" i="26"/>
  <c r="C2195" i="26"/>
  <c r="N2194" i="26"/>
  <c r="O2194" i="26" s="1"/>
  <c r="L2194" i="26"/>
  <c r="J2194" i="26"/>
  <c r="I2194" i="26"/>
  <c r="C2194" i="26"/>
  <c r="N2193" i="26"/>
  <c r="O2193" i="26" s="1"/>
  <c r="P2193" i="26" s="1"/>
  <c r="M2193" i="26" s="1"/>
  <c r="L2193" i="26"/>
  <c r="J2193" i="26"/>
  <c r="I2193" i="26"/>
  <c r="C2193" i="26"/>
  <c r="N2192" i="26"/>
  <c r="O2192" i="26" s="1"/>
  <c r="P2192" i="26" s="1"/>
  <c r="M2192" i="26" s="1"/>
  <c r="L2192" i="26"/>
  <c r="J2192" i="26"/>
  <c r="I2192" i="26"/>
  <c r="C2192" i="26"/>
  <c r="N2191" i="26"/>
  <c r="O2191" i="26" s="1"/>
  <c r="L2191" i="26"/>
  <c r="J2191" i="26"/>
  <c r="I2191" i="26"/>
  <c r="C2191" i="26"/>
  <c r="N2190" i="26"/>
  <c r="O2190" i="26" s="1"/>
  <c r="L2190" i="26"/>
  <c r="J2190" i="26"/>
  <c r="I2190" i="26"/>
  <c r="C2190" i="26"/>
  <c r="N2189" i="26"/>
  <c r="O2189" i="26" s="1"/>
  <c r="L2189" i="26"/>
  <c r="J2189" i="26"/>
  <c r="I2189" i="26"/>
  <c r="C2189" i="26"/>
  <c r="N2188" i="26"/>
  <c r="O2188" i="26" s="1"/>
  <c r="L2188" i="26"/>
  <c r="J2188" i="26"/>
  <c r="I2188" i="26"/>
  <c r="C2188" i="26"/>
  <c r="N2187" i="26"/>
  <c r="O2187" i="26" s="1"/>
  <c r="P2187" i="26" s="1"/>
  <c r="M2187" i="26" s="1"/>
  <c r="L2187" i="26"/>
  <c r="J2187" i="26"/>
  <c r="I2187" i="26"/>
  <c r="C2187" i="26"/>
  <c r="N2186" i="26"/>
  <c r="O2186" i="26" s="1"/>
  <c r="L2186" i="26"/>
  <c r="I2186" i="26"/>
  <c r="J2186" i="26" s="1"/>
  <c r="C2186" i="26"/>
  <c r="N2185" i="26"/>
  <c r="O2185" i="26" s="1"/>
  <c r="P2185" i="26" s="1"/>
  <c r="M2185" i="26" s="1"/>
  <c r="L2185" i="26"/>
  <c r="J2185" i="26"/>
  <c r="I2185" i="26"/>
  <c r="C2185" i="26"/>
  <c r="N2184" i="26"/>
  <c r="O2184" i="26" s="1"/>
  <c r="P2184" i="26" s="1"/>
  <c r="M2184" i="26" s="1"/>
  <c r="L2184" i="26"/>
  <c r="I2184" i="26"/>
  <c r="J2184" i="26" s="1"/>
  <c r="C2184" i="26"/>
  <c r="N2183" i="26"/>
  <c r="O2183" i="26" s="1"/>
  <c r="P2183" i="26" s="1"/>
  <c r="M2183" i="26" s="1"/>
  <c r="L2183" i="26"/>
  <c r="I2183" i="26"/>
  <c r="J2183" i="26" s="1"/>
  <c r="C2183" i="26"/>
  <c r="N2182" i="26"/>
  <c r="O2182" i="26" s="1"/>
  <c r="P2182" i="26" s="1"/>
  <c r="M2182" i="26" s="1"/>
  <c r="L2182" i="26"/>
  <c r="I2182" i="26"/>
  <c r="J2182" i="26" s="1"/>
  <c r="C2182" i="26"/>
  <c r="N2181" i="26"/>
  <c r="O2181" i="26" s="1"/>
  <c r="P2181" i="26" s="1"/>
  <c r="M2181" i="26" s="1"/>
  <c r="L2181" i="26"/>
  <c r="I2181" i="26"/>
  <c r="J2181" i="26" s="1"/>
  <c r="C2181" i="26"/>
  <c r="N2180" i="26"/>
  <c r="O2180" i="26" s="1"/>
  <c r="P2180" i="26" s="1"/>
  <c r="M2180" i="26" s="1"/>
  <c r="L2180" i="26"/>
  <c r="I2180" i="26"/>
  <c r="J2180" i="26" s="1"/>
  <c r="C2180" i="26"/>
  <c r="N2179" i="26"/>
  <c r="O2179" i="26" s="1"/>
  <c r="P2179" i="26" s="1"/>
  <c r="M2179" i="26" s="1"/>
  <c r="L2179" i="26"/>
  <c r="I2179" i="26"/>
  <c r="J2179" i="26" s="1"/>
  <c r="C2179" i="26"/>
  <c r="N2178" i="26"/>
  <c r="O2178" i="26" s="1"/>
  <c r="P2178" i="26" s="1"/>
  <c r="M2178" i="26" s="1"/>
  <c r="L2178" i="26"/>
  <c r="I2178" i="26"/>
  <c r="J2178" i="26" s="1"/>
  <c r="C2178" i="26"/>
  <c r="N2177" i="26"/>
  <c r="O2177" i="26" s="1"/>
  <c r="P2177" i="26" s="1"/>
  <c r="M2177" i="26" s="1"/>
  <c r="L2177" i="26"/>
  <c r="I2177" i="26"/>
  <c r="J2177" i="26" s="1"/>
  <c r="C2177" i="26"/>
  <c r="N2176" i="26"/>
  <c r="O2176" i="26" s="1"/>
  <c r="P2176" i="26" s="1"/>
  <c r="M2176" i="26" s="1"/>
  <c r="L2176" i="26"/>
  <c r="I2176" i="26"/>
  <c r="J2176" i="26" s="1"/>
  <c r="C2176" i="26"/>
  <c r="N2175" i="26"/>
  <c r="O2175" i="26" s="1"/>
  <c r="P2175" i="26" s="1"/>
  <c r="M2175" i="26" s="1"/>
  <c r="L2175" i="26"/>
  <c r="I2175" i="26"/>
  <c r="J2175" i="26" s="1"/>
  <c r="C2175" i="26"/>
  <c r="N2174" i="26"/>
  <c r="O2174" i="26" s="1"/>
  <c r="L2174" i="26"/>
  <c r="I2174" i="26"/>
  <c r="J2174" i="26" s="1"/>
  <c r="C2174" i="26"/>
  <c r="N2173" i="26"/>
  <c r="O2173" i="26" s="1"/>
  <c r="P2173" i="26" s="1"/>
  <c r="M2173" i="26" s="1"/>
  <c r="L2173" i="26"/>
  <c r="I2173" i="26"/>
  <c r="J2173" i="26" s="1"/>
  <c r="C2173" i="26"/>
  <c r="N2172" i="26"/>
  <c r="O2172" i="26" s="1"/>
  <c r="L2172" i="26"/>
  <c r="I2172" i="26"/>
  <c r="J2172" i="26" s="1"/>
  <c r="C2172" i="26"/>
  <c r="N2171" i="26"/>
  <c r="O2171" i="26" s="1"/>
  <c r="P2171" i="26" s="1"/>
  <c r="M2171" i="26" s="1"/>
  <c r="L2171" i="26"/>
  <c r="I2171" i="26"/>
  <c r="J2171" i="26" s="1"/>
  <c r="C2171" i="26"/>
  <c r="N2170" i="26"/>
  <c r="O2170" i="26" s="1"/>
  <c r="L2170" i="26"/>
  <c r="I2170" i="26"/>
  <c r="J2170" i="26" s="1"/>
  <c r="C2170" i="26"/>
  <c r="N2169" i="26"/>
  <c r="O2169" i="26" s="1"/>
  <c r="P2169" i="26" s="1"/>
  <c r="M2169" i="26" s="1"/>
  <c r="L2169" i="26"/>
  <c r="I2169" i="26"/>
  <c r="J2169" i="26" s="1"/>
  <c r="C2169" i="26"/>
  <c r="N2168" i="26"/>
  <c r="O2168" i="26" s="1"/>
  <c r="L2168" i="26"/>
  <c r="I2168" i="26"/>
  <c r="J2168" i="26" s="1"/>
  <c r="C2168" i="26"/>
  <c r="N2167" i="26"/>
  <c r="O2167" i="26" s="1"/>
  <c r="P2167" i="26" s="1"/>
  <c r="M2167" i="26" s="1"/>
  <c r="L2167" i="26"/>
  <c r="I2167" i="26"/>
  <c r="J2167" i="26" s="1"/>
  <c r="C2167" i="26"/>
  <c r="N2166" i="26"/>
  <c r="O2166" i="26" s="1"/>
  <c r="L2166" i="26"/>
  <c r="I2166" i="26"/>
  <c r="J2166" i="26" s="1"/>
  <c r="C2166" i="26"/>
  <c r="N2165" i="26"/>
  <c r="O2165" i="26" s="1"/>
  <c r="P2165" i="26" s="1"/>
  <c r="M2165" i="26" s="1"/>
  <c r="L2165" i="26"/>
  <c r="I2165" i="26"/>
  <c r="J2165" i="26" s="1"/>
  <c r="C2165" i="26"/>
  <c r="N2164" i="26"/>
  <c r="O2164" i="26" s="1"/>
  <c r="L2164" i="26"/>
  <c r="I2164" i="26"/>
  <c r="J2164" i="26" s="1"/>
  <c r="C2164" i="26"/>
  <c r="N2163" i="26"/>
  <c r="O2163" i="26" s="1"/>
  <c r="P2163" i="26" s="1"/>
  <c r="M2163" i="26" s="1"/>
  <c r="L2163" i="26"/>
  <c r="I2163" i="26"/>
  <c r="J2163" i="26" s="1"/>
  <c r="C2163" i="26"/>
  <c r="N2162" i="26"/>
  <c r="O2162" i="26" s="1"/>
  <c r="L2162" i="26"/>
  <c r="I2162" i="26"/>
  <c r="J2162" i="26" s="1"/>
  <c r="C2162" i="26"/>
  <c r="N2161" i="26"/>
  <c r="O2161" i="26" s="1"/>
  <c r="P2161" i="26" s="1"/>
  <c r="M2161" i="26" s="1"/>
  <c r="L2161" i="26"/>
  <c r="I2161" i="26"/>
  <c r="J2161" i="26" s="1"/>
  <c r="C2161" i="26"/>
  <c r="N2160" i="26"/>
  <c r="O2160" i="26" s="1"/>
  <c r="L2160" i="26"/>
  <c r="I2160" i="26"/>
  <c r="J2160" i="26" s="1"/>
  <c r="C2160" i="26"/>
  <c r="N2159" i="26"/>
  <c r="O2159" i="26" s="1"/>
  <c r="P2159" i="26" s="1"/>
  <c r="M2159" i="26" s="1"/>
  <c r="L2159" i="26"/>
  <c r="I2159" i="26"/>
  <c r="J2159" i="26" s="1"/>
  <c r="C2159" i="26"/>
  <c r="N2158" i="26"/>
  <c r="O2158" i="26" s="1"/>
  <c r="L2158" i="26"/>
  <c r="I2158" i="26"/>
  <c r="J2158" i="26" s="1"/>
  <c r="C2158" i="26"/>
  <c r="N2157" i="26"/>
  <c r="O2157" i="26" s="1"/>
  <c r="P2157" i="26" s="1"/>
  <c r="M2157" i="26" s="1"/>
  <c r="L2157" i="26"/>
  <c r="I2157" i="26"/>
  <c r="J2157" i="26" s="1"/>
  <c r="C2157" i="26"/>
  <c r="N2156" i="26"/>
  <c r="O2156" i="26" s="1"/>
  <c r="L2156" i="26"/>
  <c r="I2156" i="26"/>
  <c r="J2156" i="26" s="1"/>
  <c r="C2156" i="26"/>
  <c r="N2155" i="26"/>
  <c r="O2155" i="26" s="1"/>
  <c r="P2155" i="26" s="1"/>
  <c r="M2155" i="26" s="1"/>
  <c r="L2155" i="26"/>
  <c r="I2155" i="26"/>
  <c r="J2155" i="26" s="1"/>
  <c r="C2155" i="26"/>
  <c r="N2154" i="26"/>
  <c r="O2154" i="26" s="1"/>
  <c r="L2154" i="26"/>
  <c r="I2154" i="26"/>
  <c r="J2154" i="26" s="1"/>
  <c r="C2154" i="26"/>
  <c r="N2153" i="26"/>
  <c r="O2153" i="26" s="1"/>
  <c r="P2153" i="26" s="1"/>
  <c r="M2153" i="26" s="1"/>
  <c r="L2153" i="26"/>
  <c r="I2153" i="26"/>
  <c r="J2153" i="26" s="1"/>
  <c r="C2153" i="26"/>
  <c r="N2152" i="26"/>
  <c r="O2152" i="26" s="1"/>
  <c r="L2152" i="26"/>
  <c r="I2152" i="26"/>
  <c r="J2152" i="26" s="1"/>
  <c r="C2152" i="26"/>
  <c r="N2151" i="26"/>
  <c r="O2151" i="26" s="1"/>
  <c r="P2151" i="26" s="1"/>
  <c r="M2151" i="26" s="1"/>
  <c r="L2151" i="26"/>
  <c r="I2151" i="26"/>
  <c r="J2151" i="26" s="1"/>
  <c r="C2151" i="26"/>
  <c r="N2150" i="26"/>
  <c r="O2150" i="26" s="1"/>
  <c r="L2150" i="26"/>
  <c r="I2150" i="26"/>
  <c r="J2150" i="26" s="1"/>
  <c r="C2150" i="26"/>
  <c r="N2149" i="26"/>
  <c r="O2149" i="26" s="1"/>
  <c r="P2149" i="26" s="1"/>
  <c r="M2149" i="26" s="1"/>
  <c r="L2149" i="26"/>
  <c r="I2149" i="26"/>
  <c r="J2149" i="26" s="1"/>
  <c r="C2149" i="26"/>
  <c r="N2148" i="26"/>
  <c r="O2148" i="26" s="1"/>
  <c r="L2148" i="26"/>
  <c r="I2148" i="26"/>
  <c r="J2148" i="26" s="1"/>
  <c r="C2148" i="26"/>
  <c r="N2147" i="26"/>
  <c r="O2147" i="26" s="1"/>
  <c r="P2147" i="26" s="1"/>
  <c r="M2147" i="26" s="1"/>
  <c r="L2147" i="26"/>
  <c r="I2147" i="26"/>
  <c r="J2147" i="26" s="1"/>
  <c r="C2147" i="26"/>
  <c r="N2146" i="26"/>
  <c r="O2146" i="26" s="1"/>
  <c r="L2146" i="26"/>
  <c r="I2146" i="26"/>
  <c r="J2146" i="26" s="1"/>
  <c r="C2146" i="26"/>
  <c r="N2145" i="26"/>
  <c r="O2145" i="26" s="1"/>
  <c r="P2145" i="26" s="1"/>
  <c r="M2145" i="26" s="1"/>
  <c r="L2145" i="26"/>
  <c r="I2145" i="26"/>
  <c r="J2145" i="26" s="1"/>
  <c r="C2145" i="26"/>
  <c r="N2144" i="26"/>
  <c r="O2144" i="26" s="1"/>
  <c r="L2144" i="26"/>
  <c r="I2144" i="26"/>
  <c r="J2144" i="26" s="1"/>
  <c r="C2144" i="26"/>
  <c r="N2143" i="26"/>
  <c r="O2143" i="26" s="1"/>
  <c r="P2143" i="26" s="1"/>
  <c r="M2143" i="26" s="1"/>
  <c r="L2143" i="26"/>
  <c r="I2143" i="26"/>
  <c r="J2143" i="26" s="1"/>
  <c r="C2143" i="26"/>
  <c r="N2142" i="26"/>
  <c r="O2142" i="26" s="1"/>
  <c r="L2142" i="26"/>
  <c r="I2142" i="26"/>
  <c r="J2142" i="26" s="1"/>
  <c r="C2142" i="26"/>
  <c r="N2141" i="26"/>
  <c r="O2141" i="26" s="1"/>
  <c r="P2141" i="26" s="1"/>
  <c r="M2141" i="26" s="1"/>
  <c r="L2141" i="26"/>
  <c r="I2141" i="26"/>
  <c r="J2141" i="26" s="1"/>
  <c r="C2141" i="26"/>
  <c r="N2140" i="26"/>
  <c r="O2140" i="26" s="1"/>
  <c r="L2140" i="26"/>
  <c r="I2140" i="26"/>
  <c r="J2140" i="26" s="1"/>
  <c r="C2140" i="26"/>
  <c r="N2139" i="26"/>
  <c r="O2139" i="26" s="1"/>
  <c r="P2139" i="26" s="1"/>
  <c r="M2139" i="26" s="1"/>
  <c r="L2139" i="26"/>
  <c r="I2139" i="26"/>
  <c r="J2139" i="26" s="1"/>
  <c r="C2139" i="26"/>
  <c r="N2138" i="26"/>
  <c r="O2138" i="26" s="1"/>
  <c r="L2138" i="26"/>
  <c r="I2138" i="26"/>
  <c r="J2138" i="26" s="1"/>
  <c r="C2138" i="26"/>
  <c r="N2137" i="26"/>
  <c r="O2137" i="26" s="1"/>
  <c r="P2137" i="26" s="1"/>
  <c r="M2137" i="26" s="1"/>
  <c r="L2137" i="26"/>
  <c r="I2137" i="26"/>
  <c r="J2137" i="26" s="1"/>
  <c r="C2137" i="26"/>
  <c r="N2136" i="26"/>
  <c r="O2136" i="26" s="1"/>
  <c r="L2136" i="26"/>
  <c r="I2136" i="26"/>
  <c r="J2136" i="26" s="1"/>
  <c r="C2136" i="26"/>
  <c r="N2135" i="26"/>
  <c r="O2135" i="26" s="1"/>
  <c r="P2135" i="26" s="1"/>
  <c r="M2135" i="26" s="1"/>
  <c r="L2135" i="26"/>
  <c r="I2135" i="26"/>
  <c r="J2135" i="26" s="1"/>
  <c r="C2135" i="26"/>
  <c r="N2134" i="26"/>
  <c r="O2134" i="26" s="1"/>
  <c r="L2134" i="26"/>
  <c r="I2134" i="26"/>
  <c r="J2134" i="26" s="1"/>
  <c r="C2134" i="26"/>
  <c r="N2133" i="26"/>
  <c r="O2133" i="26" s="1"/>
  <c r="P2133" i="26" s="1"/>
  <c r="M2133" i="26" s="1"/>
  <c r="L2133" i="26"/>
  <c r="I2133" i="26"/>
  <c r="J2133" i="26" s="1"/>
  <c r="C2133" i="26"/>
  <c r="N2132" i="26"/>
  <c r="O2132" i="26" s="1"/>
  <c r="L2132" i="26"/>
  <c r="I2132" i="26"/>
  <c r="J2132" i="26" s="1"/>
  <c r="C2132" i="26"/>
  <c r="N2131" i="26"/>
  <c r="O2131" i="26" s="1"/>
  <c r="P2131" i="26" s="1"/>
  <c r="M2131" i="26" s="1"/>
  <c r="L2131" i="26"/>
  <c r="I2131" i="26"/>
  <c r="J2131" i="26" s="1"/>
  <c r="C2131" i="26"/>
  <c r="N2130" i="26"/>
  <c r="O2130" i="26" s="1"/>
  <c r="L2130" i="26"/>
  <c r="I2130" i="26"/>
  <c r="J2130" i="26" s="1"/>
  <c r="C2130" i="26"/>
  <c r="N2129" i="26"/>
  <c r="O2129" i="26" s="1"/>
  <c r="P2129" i="26" s="1"/>
  <c r="M2129" i="26" s="1"/>
  <c r="L2129" i="26"/>
  <c r="I2129" i="26"/>
  <c r="J2129" i="26" s="1"/>
  <c r="C2129" i="26"/>
  <c r="N2128" i="26"/>
  <c r="O2128" i="26" s="1"/>
  <c r="L2128" i="26"/>
  <c r="I2128" i="26"/>
  <c r="J2128" i="26" s="1"/>
  <c r="C2128" i="26"/>
  <c r="N2127" i="26"/>
  <c r="O2127" i="26" s="1"/>
  <c r="P2127" i="26" s="1"/>
  <c r="M2127" i="26" s="1"/>
  <c r="L2127" i="26"/>
  <c r="I2127" i="26"/>
  <c r="J2127" i="26" s="1"/>
  <c r="C2127" i="26"/>
  <c r="N2126" i="26"/>
  <c r="O2126" i="26" s="1"/>
  <c r="L2126" i="26"/>
  <c r="I2126" i="26"/>
  <c r="J2126" i="26" s="1"/>
  <c r="C2126" i="26"/>
  <c r="N2125" i="26"/>
  <c r="O2125" i="26" s="1"/>
  <c r="P2125" i="26" s="1"/>
  <c r="M2125" i="26" s="1"/>
  <c r="L2125" i="26"/>
  <c r="I2125" i="26"/>
  <c r="J2125" i="26" s="1"/>
  <c r="C2125" i="26"/>
  <c r="N2124" i="26"/>
  <c r="O2124" i="26" s="1"/>
  <c r="L2124" i="26"/>
  <c r="I2124" i="26"/>
  <c r="J2124" i="26" s="1"/>
  <c r="C2124" i="26"/>
  <c r="N2123" i="26"/>
  <c r="O2123" i="26" s="1"/>
  <c r="P2123" i="26" s="1"/>
  <c r="M2123" i="26" s="1"/>
  <c r="L2123" i="26"/>
  <c r="I2123" i="26"/>
  <c r="J2123" i="26" s="1"/>
  <c r="C2123" i="26"/>
  <c r="N2122" i="26"/>
  <c r="O2122" i="26" s="1"/>
  <c r="L2122" i="26"/>
  <c r="I2122" i="26"/>
  <c r="J2122" i="26" s="1"/>
  <c r="C2122" i="26"/>
  <c r="N2121" i="26"/>
  <c r="O2121" i="26" s="1"/>
  <c r="P2121" i="26" s="1"/>
  <c r="M2121" i="26" s="1"/>
  <c r="L2121" i="26"/>
  <c r="I2121" i="26"/>
  <c r="J2121" i="26" s="1"/>
  <c r="C2121" i="26"/>
  <c r="N2120" i="26"/>
  <c r="O2120" i="26" s="1"/>
  <c r="L2120" i="26"/>
  <c r="I2120" i="26"/>
  <c r="J2120" i="26" s="1"/>
  <c r="C2120" i="26"/>
  <c r="N2119" i="26"/>
  <c r="O2119" i="26" s="1"/>
  <c r="P2119" i="26" s="1"/>
  <c r="M2119" i="26" s="1"/>
  <c r="L2119" i="26"/>
  <c r="I2119" i="26"/>
  <c r="J2119" i="26" s="1"/>
  <c r="C2119" i="26"/>
  <c r="N2118" i="26"/>
  <c r="O2118" i="26" s="1"/>
  <c r="L2118" i="26"/>
  <c r="I2118" i="26"/>
  <c r="J2118" i="26" s="1"/>
  <c r="C2118" i="26"/>
  <c r="N2117" i="26"/>
  <c r="O2117" i="26" s="1"/>
  <c r="P2117" i="26" s="1"/>
  <c r="M2117" i="26" s="1"/>
  <c r="L2117" i="26"/>
  <c r="I2117" i="26"/>
  <c r="J2117" i="26" s="1"/>
  <c r="C2117" i="26"/>
  <c r="N2116" i="26"/>
  <c r="O2116" i="26" s="1"/>
  <c r="L2116" i="26"/>
  <c r="I2116" i="26"/>
  <c r="J2116" i="26" s="1"/>
  <c r="C2116" i="26"/>
  <c r="N2115" i="26"/>
  <c r="O2115" i="26" s="1"/>
  <c r="P2115" i="26" s="1"/>
  <c r="M2115" i="26" s="1"/>
  <c r="L2115" i="26"/>
  <c r="I2115" i="26"/>
  <c r="J2115" i="26" s="1"/>
  <c r="C2115" i="26"/>
  <c r="N2114" i="26"/>
  <c r="O2114" i="26" s="1"/>
  <c r="L2114" i="26"/>
  <c r="I2114" i="26"/>
  <c r="J2114" i="26" s="1"/>
  <c r="C2114" i="26"/>
  <c r="N2113" i="26"/>
  <c r="O2113" i="26" s="1"/>
  <c r="P2113" i="26" s="1"/>
  <c r="M2113" i="26" s="1"/>
  <c r="L2113" i="26"/>
  <c r="I2113" i="26"/>
  <c r="J2113" i="26" s="1"/>
  <c r="C2113" i="26"/>
  <c r="N2112" i="26"/>
  <c r="O2112" i="26" s="1"/>
  <c r="L2112" i="26"/>
  <c r="I2112" i="26"/>
  <c r="J2112" i="26" s="1"/>
  <c r="C2112" i="26"/>
  <c r="N2111" i="26"/>
  <c r="O2111" i="26" s="1"/>
  <c r="P2111" i="26" s="1"/>
  <c r="M2111" i="26" s="1"/>
  <c r="L2111" i="26"/>
  <c r="I2111" i="26"/>
  <c r="J2111" i="26" s="1"/>
  <c r="C2111" i="26"/>
  <c r="N2110" i="26"/>
  <c r="O2110" i="26" s="1"/>
  <c r="L2110" i="26"/>
  <c r="I2110" i="26"/>
  <c r="J2110" i="26" s="1"/>
  <c r="C2110" i="26"/>
  <c r="O2109" i="26"/>
  <c r="N2109" i="26"/>
  <c r="L2109" i="26"/>
  <c r="I2109" i="26"/>
  <c r="J2109" i="26" s="1"/>
  <c r="C2109" i="26"/>
  <c r="P2109" i="26" s="1"/>
  <c r="M2109" i="26" s="1"/>
  <c r="O2108" i="26"/>
  <c r="P2108" i="26" s="1"/>
  <c r="M2108" i="26" s="1"/>
  <c r="N2108" i="26"/>
  <c r="L2108" i="26"/>
  <c r="I2108" i="26"/>
  <c r="J2108" i="26" s="1"/>
  <c r="C2108" i="26"/>
  <c r="P2107" i="26"/>
  <c r="M2107" i="26" s="1"/>
  <c r="O2107" i="26"/>
  <c r="N2107" i="26"/>
  <c r="L2107" i="26"/>
  <c r="I2107" i="26"/>
  <c r="J2107" i="26" s="1"/>
  <c r="C2107" i="26"/>
  <c r="O2106" i="26"/>
  <c r="P2106" i="26" s="1"/>
  <c r="M2106" i="26" s="1"/>
  <c r="N2106" i="26"/>
  <c r="L2106" i="26"/>
  <c r="I2106" i="26"/>
  <c r="J2106" i="26" s="1"/>
  <c r="C2106" i="26"/>
  <c r="O2105" i="26"/>
  <c r="N2105" i="26"/>
  <c r="L2105" i="26"/>
  <c r="I2105" i="26"/>
  <c r="J2105" i="26" s="1"/>
  <c r="C2105" i="26"/>
  <c r="P2105" i="26" s="1"/>
  <c r="M2105" i="26" s="1"/>
  <c r="P2104" i="26"/>
  <c r="O2104" i="26"/>
  <c r="N2104" i="26"/>
  <c r="M2104" i="26"/>
  <c r="L2104" i="26"/>
  <c r="I2104" i="26"/>
  <c r="J2104" i="26" s="1"/>
  <c r="C2104" i="26"/>
  <c r="O2103" i="26"/>
  <c r="P2103" i="26" s="1"/>
  <c r="M2103" i="26" s="1"/>
  <c r="N2103" i="26"/>
  <c r="L2103" i="26"/>
  <c r="I2103" i="26"/>
  <c r="J2103" i="26" s="1"/>
  <c r="C2103" i="26"/>
  <c r="O2102" i="26"/>
  <c r="P2102" i="26" s="1"/>
  <c r="M2102" i="26" s="1"/>
  <c r="N2102" i="26"/>
  <c r="L2102" i="26"/>
  <c r="I2102" i="26"/>
  <c r="J2102" i="26" s="1"/>
  <c r="C2102" i="26"/>
  <c r="O2101" i="26"/>
  <c r="N2101" i="26"/>
  <c r="L2101" i="26"/>
  <c r="I2101" i="26"/>
  <c r="J2101" i="26" s="1"/>
  <c r="C2101" i="26"/>
  <c r="P2101" i="26" s="1"/>
  <c r="M2101" i="26" s="1"/>
  <c r="O2100" i="26"/>
  <c r="P2100" i="26" s="1"/>
  <c r="M2100" i="26" s="1"/>
  <c r="N2100" i="26"/>
  <c r="L2100" i="26"/>
  <c r="I2100" i="26"/>
  <c r="J2100" i="26" s="1"/>
  <c r="C2100" i="26"/>
  <c r="P2099" i="26"/>
  <c r="M2099" i="26" s="1"/>
  <c r="O2099" i="26"/>
  <c r="N2099" i="26"/>
  <c r="L2099" i="26"/>
  <c r="I2099" i="26"/>
  <c r="J2099" i="26" s="1"/>
  <c r="C2099" i="26"/>
  <c r="O2098" i="26"/>
  <c r="P2098" i="26" s="1"/>
  <c r="M2098" i="26" s="1"/>
  <c r="N2098" i="26"/>
  <c r="L2098" i="26"/>
  <c r="I2098" i="26"/>
  <c r="J2098" i="26" s="1"/>
  <c r="C2098" i="26"/>
  <c r="O2097" i="26"/>
  <c r="N2097" i="26"/>
  <c r="L2097" i="26"/>
  <c r="I2097" i="26"/>
  <c r="J2097" i="26" s="1"/>
  <c r="C2097" i="26"/>
  <c r="P2097" i="26" s="1"/>
  <c r="M2097" i="26" s="1"/>
  <c r="P2096" i="26"/>
  <c r="O2096" i="26"/>
  <c r="N2096" i="26"/>
  <c r="M2096" i="26"/>
  <c r="L2096" i="26"/>
  <c r="I2096" i="26"/>
  <c r="J2096" i="26" s="1"/>
  <c r="C2096" i="26"/>
  <c r="O2095" i="26"/>
  <c r="P2095" i="26" s="1"/>
  <c r="M2095" i="26" s="1"/>
  <c r="N2095" i="26"/>
  <c r="L2095" i="26"/>
  <c r="I2095" i="26"/>
  <c r="J2095" i="26" s="1"/>
  <c r="C2095" i="26"/>
  <c r="O2094" i="26"/>
  <c r="P2094" i="26" s="1"/>
  <c r="M2094" i="26" s="1"/>
  <c r="N2094" i="26"/>
  <c r="L2094" i="26"/>
  <c r="I2094" i="26"/>
  <c r="J2094" i="26" s="1"/>
  <c r="C2094" i="26"/>
  <c r="O2093" i="26"/>
  <c r="N2093" i="26"/>
  <c r="L2093" i="26"/>
  <c r="I2093" i="26"/>
  <c r="J2093" i="26" s="1"/>
  <c r="C2093" i="26"/>
  <c r="P2093" i="26" s="1"/>
  <c r="M2093" i="26" s="1"/>
  <c r="O2092" i="26"/>
  <c r="P2092" i="26" s="1"/>
  <c r="M2092" i="26" s="1"/>
  <c r="N2092" i="26"/>
  <c r="L2092" i="26"/>
  <c r="I2092" i="26"/>
  <c r="J2092" i="26" s="1"/>
  <c r="C2092" i="26"/>
  <c r="P2091" i="26"/>
  <c r="M2091" i="26" s="1"/>
  <c r="O2091" i="26"/>
  <c r="N2091" i="26"/>
  <c r="L2091" i="26"/>
  <c r="I2091" i="26"/>
  <c r="J2091" i="26" s="1"/>
  <c r="C2091" i="26"/>
  <c r="O2090" i="26"/>
  <c r="P2090" i="26" s="1"/>
  <c r="M2090" i="26" s="1"/>
  <c r="N2090" i="26"/>
  <c r="L2090" i="26"/>
  <c r="I2090" i="26"/>
  <c r="J2090" i="26" s="1"/>
  <c r="C2090" i="26"/>
  <c r="O2089" i="26"/>
  <c r="N2089" i="26"/>
  <c r="L2089" i="26"/>
  <c r="I2089" i="26"/>
  <c r="J2089" i="26" s="1"/>
  <c r="C2089" i="26"/>
  <c r="P2089" i="26" s="1"/>
  <c r="M2089" i="26" s="1"/>
  <c r="O2088" i="26"/>
  <c r="N2088" i="26"/>
  <c r="L2088" i="26"/>
  <c r="I2088" i="26"/>
  <c r="J2088" i="26" s="1"/>
  <c r="C2088" i="26"/>
  <c r="P2088" i="26" s="1"/>
  <c r="M2088" i="26" s="1"/>
  <c r="O2087" i="26"/>
  <c r="P2087" i="26" s="1"/>
  <c r="M2087" i="26" s="1"/>
  <c r="N2087" i="26"/>
  <c r="L2087" i="26"/>
  <c r="I2087" i="26"/>
  <c r="J2087" i="26" s="1"/>
  <c r="C2087" i="26"/>
  <c r="P2086" i="26"/>
  <c r="M2086" i="26" s="1"/>
  <c r="O2086" i="26"/>
  <c r="N2086" i="26"/>
  <c r="L2086" i="26"/>
  <c r="I2086" i="26"/>
  <c r="J2086" i="26" s="1"/>
  <c r="C2086" i="26"/>
  <c r="O2085" i="26"/>
  <c r="P2085" i="26" s="1"/>
  <c r="M2085" i="26" s="1"/>
  <c r="N2085" i="26"/>
  <c r="L2085" i="26"/>
  <c r="I2085" i="26"/>
  <c r="J2085" i="26" s="1"/>
  <c r="C2085" i="26"/>
  <c r="O2084" i="26"/>
  <c r="P2084" i="26" s="1"/>
  <c r="M2084" i="26" s="1"/>
  <c r="N2084" i="26"/>
  <c r="L2084" i="26"/>
  <c r="I2084" i="26"/>
  <c r="J2084" i="26" s="1"/>
  <c r="C2084" i="26"/>
  <c r="P2083" i="26"/>
  <c r="M2083" i="26" s="1"/>
  <c r="O2083" i="26"/>
  <c r="N2083" i="26"/>
  <c r="L2083" i="26"/>
  <c r="I2083" i="26"/>
  <c r="J2083" i="26" s="1"/>
  <c r="C2083" i="26"/>
  <c r="O2082" i="26"/>
  <c r="P2082" i="26" s="1"/>
  <c r="M2082" i="26" s="1"/>
  <c r="N2082" i="26"/>
  <c r="L2082" i="26"/>
  <c r="I2082" i="26"/>
  <c r="J2082" i="26" s="1"/>
  <c r="C2082" i="26"/>
  <c r="O2081" i="26"/>
  <c r="N2081" i="26"/>
  <c r="L2081" i="26"/>
  <c r="I2081" i="26"/>
  <c r="J2081" i="26" s="1"/>
  <c r="C2081" i="26"/>
  <c r="P2081" i="26" s="1"/>
  <c r="M2081" i="26" s="1"/>
  <c r="O2080" i="26"/>
  <c r="N2080" i="26"/>
  <c r="L2080" i="26"/>
  <c r="I2080" i="26"/>
  <c r="J2080" i="26" s="1"/>
  <c r="C2080" i="26"/>
  <c r="P2080" i="26" s="1"/>
  <c r="M2080" i="26" s="1"/>
  <c r="O2079" i="26"/>
  <c r="P2079" i="26" s="1"/>
  <c r="M2079" i="26" s="1"/>
  <c r="N2079" i="26"/>
  <c r="L2079" i="26"/>
  <c r="I2079" i="26"/>
  <c r="J2079" i="26" s="1"/>
  <c r="C2079" i="26"/>
  <c r="P2078" i="26"/>
  <c r="M2078" i="26" s="1"/>
  <c r="O2078" i="26"/>
  <c r="N2078" i="26"/>
  <c r="L2078" i="26"/>
  <c r="I2078" i="26"/>
  <c r="J2078" i="26" s="1"/>
  <c r="C2078" i="26"/>
  <c r="O2077" i="26"/>
  <c r="P2077" i="26" s="1"/>
  <c r="M2077" i="26" s="1"/>
  <c r="N2077" i="26"/>
  <c r="L2077" i="26"/>
  <c r="I2077" i="26"/>
  <c r="J2077" i="26" s="1"/>
  <c r="C2077" i="26"/>
  <c r="O2076" i="26"/>
  <c r="P2076" i="26" s="1"/>
  <c r="M2076" i="26" s="1"/>
  <c r="N2076" i="26"/>
  <c r="L2076" i="26"/>
  <c r="I2076" i="26"/>
  <c r="J2076" i="26" s="1"/>
  <c r="C2076" i="26"/>
  <c r="P2075" i="26"/>
  <c r="M2075" i="26" s="1"/>
  <c r="O2075" i="26"/>
  <c r="N2075" i="26"/>
  <c r="L2075" i="26"/>
  <c r="I2075" i="26"/>
  <c r="J2075" i="26" s="1"/>
  <c r="C2075" i="26"/>
  <c r="O2074" i="26"/>
  <c r="P2074" i="26" s="1"/>
  <c r="M2074" i="26" s="1"/>
  <c r="N2074" i="26"/>
  <c r="L2074" i="26"/>
  <c r="I2074" i="26"/>
  <c r="J2074" i="26" s="1"/>
  <c r="C2074" i="26"/>
  <c r="P2073" i="26"/>
  <c r="M2073" i="26" s="1"/>
  <c r="O2073" i="26"/>
  <c r="N2073" i="26"/>
  <c r="L2073" i="26"/>
  <c r="I2073" i="26"/>
  <c r="J2073" i="26" s="1"/>
  <c r="C2073" i="26"/>
  <c r="O2072" i="26"/>
  <c r="P2072" i="26" s="1"/>
  <c r="M2072" i="26" s="1"/>
  <c r="N2072" i="26"/>
  <c r="L2072" i="26"/>
  <c r="I2072" i="26"/>
  <c r="J2072" i="26" s="1"/>
  <c r="C2072" i="26"/>
  <c r="O2071" i="26"/>
  <c r="N2071" i="26"/>
  <c r="L2071" i="26"/>
  <c r="I2071" i="26"/>
  <c r="J2071" i="26" s="1"/>
  <c r="C2071" i="26"/>
  <c r="P2071" i="26" s="1"/>
  <c r="M2071" i="26" s="1"/>
  <c r="P2070" i="26"/>
  <c r="M2070" i="26" s="1"/>
  <c r="O2070" i="26"/>
  <c r="N2070" i="26"/>
  <c r="L2070" i="26"/>
  <c r="I2070" i="26"/>
  <c r="J2070" i="26" s="1"/>
  <c r="C2070" i="26"/>
  <c r="O2069" i="26"/>
  <c r="P2069" i="26" s="1"/>
  <c r="M2069" i="26" s="1"/>
  <c r="N2069" i="26"/>
  <c r="L2069" i="26"/>
  <c r="I2069" i="26"/>
  <c r="J2069" i="26" s="1"/>
  <c r="C2069" i="26"/>
  <c r="O2068" i="26"/>
  <c r="P2068" i="26" s="1"/>
  <c r="M2068" i="26" s="1"/>
  <c r="N2068" i="26"/>
  <c r="L2068" i="26"/>
  <c r="I2068" i="26"/>
  <c r="J2068" i="26" s="1"/>
  <c r="C2068" i="26"/>
  <c r="P2067" i="26"/>
  <c r="M2067" i="26" s="1"/>
  <c r="O2067" i="26"/>
  <c r="N2067" i="26"/>
  <c r="L2067" i="26"/>
  <c r="I2067" i="26"/>
  <c r="J2067" i="26" s="1"/>
  <c r="C2067" i="26"/>
  <c r="O2066" i="26"/>
  <c r="P2066" i="26" s="1"/>
  <c r="M2066" i="26" s="1"/>
  <c r="N2066" i="26"/>
  <c r="L2066" i="26"/>
  <c r="I2066" i="26"/>
  <c r="J2066" i="26" s="1"/>
  <c r="C2066" i="26"/>
  <c r="O2065" i="26"/>
  <c r="N2065" i="26"/>
  <c r="L2065" i="26"/>
  <c r="I2065" i="26"/>
  <c r="J2065" i="26" s="1"/>
  <c r="C2065" i="26"/>
  <c r="P2065" i="26" s="1"/>
  <c r="M2065" i="26" s="1"/>
  <c r="O2064" i="26"/>
  <c r="P2064" i="26" s="1"/>
  <c r="M2064" i="26" s="1"/>
  <c r="N2064" i="26"/>
  <c r="L2064" i="26"/>
  <c r="I2064" i="26"/>
  <c r="J2064" i="26" s="1"/>
  <c r="C2064" i="26"/>
  <c r="N2063" i="26"/>
  <c r="O2063" i="26" s="1"/>
  <c r="P2063" i="26" s="1"/>
  <c r="M2063" i="26" s="1"/>
  <c r="L2063" i="26"/>
  <c r="I2063" i="26"/>
  <c r="J2063" i="26" s="1"/>
  <c r="C2063" i="26"/>
  <c r="P2062" i="26"/>
  <c r="M2062" i="26" s="1"/>
  <c r="O2062" i="26"/>
  <c r="N2062" i="26"/>
  <c r="L2062" i="26"/>
  <c r="I2062" i="26"/>
  <c r="J2062" i="26" s="1"/>
  <c r="C2062" i="26"/>
  <c r="O2061" i="26"/>
  <c r="P2061" i="26" s="1"/>
  <c r="M2061" i="26" s="1"/>
  <c r="N2061" i="26"/>
  <c r="L2061" i="26"/>
  <c r="I2061" i="26"/>
  <c r="J2061" i="26" s="1"/>
  <c r="C2061" i="26"/>
  <c r="N2060" i="26"/>
  <c r="O2060" i="26" s="1"/>
  <c r="P2060" i="26" s="1"/>
  <c r="M2060" i="26" s="1"/>
  <c r="L2060" i="26"/>
  <c r="I2060" i="26"/>
  <c r="J2060" i="26" s="1"/>
  <c r="C2060" i="26"/>
  <c r="N2059" i="26"/>
  <c r="O2059" i="26" s="1"/>
  <c r="P2059" i="26" s="1"/>
  <c r="M2059" i="26" s="1"/>
  <c r="L2059" i="26"/>
  <c r="I2059" i="26"/>
  <c r="J2059" i="26" s="1"/>
  <c r="C2059" i="26"/>
  <c r="O2058" i="26"/>
  <c r="P2058" i="26" s="1"/>
  <c r="M2058" i="26" s="1"/>
  <c r="N2058" i="26"/>
  <c r="L2058" i="26"/>
  <c r="I2058" i="26"/>
  <c r="J2058" i="26" s="1"/>
  <c r="C2058" i="26"/>
  <c r="N2057" i="26"/>
  <c r="O2057" i="26" s="1"/>
  <c r="P2057" i="26" s="1"/>
  <c r="M2057" i="26" s="1"/>
  <c r="L2057" i="26"/>
  <c r="I2057" i="26"/>
  <c r="J2057" i="26" s="1"/>
  <c r="C2057" i="26"/>
  <c r="O2056" i="26"/>
  <c r="P2056" i="26" s="1"/>
  <c r="M2056" i="26" s="1"/>
  <c r="N2056" i="26"/>
  <c r="L2056" i="26"/>
  <c r="I2056" i="26"/>
  <c r="J2056" i="26" s="1"/>
  <c r="C2056" i="26"/>
  <c r="N2055" i="26"/>
  <c r="O2055" i="26" s="1"/>
  <c r="P2055" i="26" s="1"/>
  <c r="M2055" i="26" s="1"/>
  <c r="L2055" i="26"/>
  <c r="I2055" i="26"/>
  <c r="J2055" i="26" s="1"/>
  <c r="C2055" i="26"/>
  <c r="P2054" i="26"/>
  <c r="M2054" i="26" s="1"/>
  <c r="O2054" i="26"/>
  <c r="N2054" i="26"/>
  <c r="L2054" i="26"/>
  <c r="I2054" i="26"/>
  <c r="J2054" i="26" s="1"/>
  <c r="C2054" i="26"/>
  <c r="O2053" i="26"/>
  <c r="P2053" i="26" s="1"/>
  <c r="M2053" i="26" s="1"/>
  <c r="N2053" i="26"/>
  <c r="L2053" i="26"/>
  <c r="I2053" i="26"/>
  <c r="J2053" i="26" s="1"/>
  <c r="C2053" i="26"/>
  <c r="N2052" i="26"/>
  <c r="O2052" i="26" s="1"/>
  <c r="P2052" i="26" s="1"/>
  <c r="M2052" i="26" s="1"/>
  <c r="L2052" i="26"/>
  <c r="I2052" i="26"/>
  <c r="J2052" i="26" s="1"/>
  <c r="C2052" i="26"/>
  <c r="N2051" i="26"/>
  <c r="O2051" i="26" s="1"/>
  <c r="P2051" i="26" s="1"/>
  <c r="M2051" i="26" s="1"/>
  <c r="L2051" i="26"/>
  <c r="I2051" i="26"/>
  <c r="J2051" i="26" s="1"/>
  <c r="C2051" i="26"/>
  <c r="O2050" i="26"/>
  <c r="P2050" i="26" s="1"/>
  <c r="M2050" i="26" s="1"/>
  <c r="N2050" i="26"/>
  <c r="L2050" i="26"/>
  <c r="I2050" i="26"/>
  <c r="J2050" i="26" s="1"/>
  <c r="C2050" i="26"/>
  <c r="N2049" i="26"/>
  <c r="O2049" i="26" s="1"/>
  <c r="P2049" i="26" s="1"/>
  <c r="M2049" i="26" s="1"/>
  <c r="L2049" i="26"/>
  <c r="I2049" i="26"/>
  <c r="J2049" i="26" s="1"/>
  <c r="C2049" i="26"/>
  <c r="O2048" i="26"/>
  <c r="P2048" i="26" s="1"/>
  <c r="M2048" i="26" s="1"/>
  <c r="N2048" i="26"/>
  <c r="L2048" i="26"/>
  <c r="I2048" i="26"/>
  <c r="J2048" i="26" s="1"/>
  <c r="C2048" i="26"/>
  <c r="N2047" i="26"/>
  <c r="O2047" i="26" s="1"/>
  <c r="P2047" i="26" s="1"/>
  <c r="M2047" i="26" s="1"/>
  <c r="L2047" i="26"/>
  <c r="I2047" i="26"/>
  <c r="J2047" i="26" s="1"/>
  <c r="C2047" i="26"/>
  <c r="P2046" i="26"/>
  <c r="M2046" i="26" s="1"/>
  <c r="O2046" i="26"/>
  <c r="N2046" i="26"/>
  <c r="L2046" i="26"/>
  <c r="I2046" i="26"/>
  <c r="J2046" i="26" s="1"/>
  <c r="C2046" i="26"/>
  <c r="O2045" i="26"/>
  <c r="P2045" i="26" s="1"/>
  <c r="M2045" i="26" s="1"/>
  <c r="N2045" i="26"/>
  <c r="L2045" i="26"/>
  <c r="I2045" i="26"/>
  <c r="J2045" i="26" s="1"/>
  <c r="C2045" i="26"/>
  <c r="N2044" i="26"/>
  <c r="O2044" i="26" s="1"/>
  <c r="P2044" i="26" s="1"/>
  <c r="M2044" i="26" s="1"/>
  <c r="L2044" i="26"/>
  <c r="I2044" i="26"/>
  <c r="J2044" i="26" s="1"/>
  <c r="C2044" i="26"/>
  <c r="N2043" i="26"/>
  <c r="O2043" i="26" s="1"/>
  <c r="P2043" i="26" s="1"/>
  <c r="M2043" i="26" s="1"/>
  <c r="L2043" i="26"/>
  <c r="I2043" i="26"/>
  <c r="J2043" i="26" s="1"/>
  <c r="C2043" i="26"/>
  <c r="O2042" i="26"/>
  <c r="P2042" i="26" s="1"/>
  <c r="M2042" i="26" s="1"/>
  <c r="N2042" i="26"/>
  <c r="L2042" i="26"/>
  <c r="I2042" i="26"/>
  <c r="J2042" i="26" s="1"/>
  <c r="C2042" i="26"/>
  <c r="N2041" i="26"/>
  <c r="O2041" i="26" s="1"/>
  <c r="P2041" i="26" s="1"/>
  <c r="M2041" i="26" s="1"/>
  <c r="L2041" i="26"/>
  <c r="I2041" i="26"/>
  <c r="J2041" i="26" s="1"/>
  <c r="C2041" i="26"/>
  <c r="O2040" i="26"/>
  <c r="P2040" i="26" s="1"/>
  <c r="M2040" i="26" s="1"/>
  <c r="N2040" i="26"/>
  <c r="L2040" i="26"/>
  <c r="I2040" i="26"/>
  <c r="J2040" i="26" s="1"/>
  <c r="C2040" i="26"/>
  <c r="N2039" i="26"/>
  <c r="O2039" i="26" s="1"/>
  <c r="P2039" i="26" s="1"/>
  <c r="M2039" i="26" s="1"/>
  <c r="L2039" i="26"/>
  <c r="I2039" i="26"/>
  <c r="J2039" i="26" s="1"/>
  <c r="C2039" i="26"/>
  <c r="P2038" i="26"/>
  <c r="M2038" i="26" s="1"/>
  <c r="O2038" i="26"/>
  <c r="N2038" i="26"/>
  <c r="L2038" i="26"/>
  <c r="I2038" i="26"/>
  <c r="J2038" i="26" s="1"/>
  <c r="C2038" i="26"/>
  <c r="O2037" i="26"/>
  <c r="P2037" i="26" s="1"/>
  <c r="M2037" i="26" s="1"/>
  <c r="N2037" i="26"/>
  <c r="L2037" i="26"/>
  <c r="I2037" i="26"/>
  <c r="J2037" i="26" s="1"/>
  <c r="C2037" i="26"/>
  <c r="N2036" i="26"/>
  <c r="O2036" i="26" s="1"/>
  <c r="P2036" i="26" s="1"/>
  <c r="M2036" i="26" s="1"/>
  <c r="L2036" i="26"/>
  <c r="I2036" i="26"/>
  <c r="J2036" i="26" s="1"/>
  <c r="C2036" i="26"/>
  <c r="N2035" i="26"/>
  <c r="O2035" i="26" s="1"/>
  <c r="P2035" i="26" s="1"/>
  <c r="M2035" i="26" s="1"/>
  <c r="L2035" i="26"/>
  <c r="I2035" i="26"/>
  <c r="J2035" i="26" s="1"/>
  <c r="C2035" i="26"/>
  <c r="O2034" i="26"/>
  <c r="P2034" i="26" s="1"/>
  <c r="M2034" i="26" s="1"/>
  <c r="N2034" i="26"/>
  <c r="L2034" i="26"/>
  <c r="I2034" i="26"/>
  <c r="J2034" i="26" s="1"/>
  <c r="C2034" i="26"/>
  <c r="N2033" i="26"/>
  <c r="O2033" i="26" s="1"/>
  <c r="P2033" i="26" s="1"/>
  <c r="M2033" i="26" s="1"/>
  <c r="L2033" i="26"/>
  <c r="I2033" i="26"/>
  <c r="J2033" i="26" s="1"/>
  <c r="C2033" i="26"/>
  <c r="O2032" i="26"/>
  <c r="P2032" i="26" s="1"/>
  <c r="M2032" i="26" s="1"/>
  <c r="N2032" i="26"/>
  <c r="L2032" i="26"/>
  <c r="I2032" i="26"/>
  <c r="J2032" i="26" s="1"/>
  <c r="C2032" i="26"/>
  <c r="N2031" i="26"/>
  <c r="O2031" i="26" s="1"/>
  <c r="P2031" i="26" s="1"/>
  <c r="M2031" i="26" s="1"/>
  <c r="L2031" i="26"/>
  <c r="I2031" i="26"/>
  <c r="J2031" i="26" s="1"/>
  <c r="C2031" i="26"/>
  <c r="P2030" i="26"/>
  <c r="M2030" i="26" s="1"/>
  <c r="O2030" i="26"/>
  <c r="N2030" i="26"/>
  <c r="L2030" i="26"/>
  <c r="I2030" i="26"/>
  <c r="J2030" i="26" s="1"/>
  <c r="C2030" i="26"/>
  <c r="O2029" i="26"/>
  <c r="P2029" i="26" s="1"/>
  <c r="M2029" i="26" s="1"/>
  <c r="N2029" i="26"/>
  <c r="L2029" i="26"/>
  <c r="I2029" i="26"/>
  <c r="J2029" i="26" s="1"/>
  <c r="C2029" i="26"/>
  <c r="N2028" i="26"/>
  <c r="O2028" i="26" s="1"/>
  <c r="P2028" i="26" s="1"/>
  <c r="M2028" i="26" s="1"/>
  <c r="L2028" i="26"/>
  <c r="I2028" i="26"/>
  <c r="J2028" i="26" s="1"/>
  <c r="C2028" i="26"/>
  <c r="N2027" i="26"/>
  <c r="O2027" i="26" s="1"/>
  <c r="P2027" i="26" s="1"/>
  <c r="M2027" i="26" s="1"/>
  <c r="L2027" i="26"/>
  <c r="I2027" i="26"/>
  <c r="J2027" i="26" s="1"/>
  <c r="C2027" i="26"/>
  <c r="O2026" i="26"/>
  <c r="P2026" i="26" s="1"/>
  <c r="M2026" i="26" s="1"/>
  <c r="N2026" i="26"/>
  <c r="L2026" i="26"/>
  <c r="I2026" i="26"/>
  <c r="J2026" i="26" s="1"/>
  <c r="C2026" i="26"/>
  <c r="N2025" i="26"/>
  <c r="O2025" i="26" s="1"/>
  <c r="P2025" i="26" s="1"/>
  <c r="M2025" i="26" s="1"/>
  <c r="L2025" i="26"/>
  <c r="I2025" i="26"/>
  <c r="J2025" i="26" s="1"/>
  <c r="C2025" i="26"/>
  <c r="O2024" i="26"/>
  <c r="P2024" i="26" s="1"/>
  <c r="M2024" i="26" s="1"/>
  <c r="N2024" i="26"/>
  <c r="L2024" i="26"/>
  <c r="I2024" i="26"/>
  <c r="J2024" i="26" s="1"/>
  <c r="C2024" i="26"/>
  <c r="O2023" i="26"/>
  <c r="P2023" i="26" s="1"/>
  <c r="M2023" i="26" s="1"/>
  <c r="N2023" i="26"/>
  <c r="L2023" i="26"/>
  <c r="I2023" i="26"/>
  <c r="J2023" i="26" s="1"/>
  <c r="C2023" i="26"/>
  <c r="O2022" i="26"/>
  <c r="P2022" i="26" s="1"/>
  <c r="M2022" i="26" s="1"/>
  <c r="N2022" i="26"/>
  <c r="L2022" i="26"/>
  <c r="I2022" i="26"/>
  <c r="J2022" i="26" s="1"/>
  <c r="C2022" i="26"/>
  <c r="O2021" i="26"/>
  <c r="P2021" i="26" s="1"/>
  <c r="M2021" i="26" s="1"/>
  <c r="N2021" i="26"/>
  <c r="L2021" i="26"/>
  <c r="I2021" i="26"/>
  <c r="J2021" i="26" s="1"/>
  <c r="C2021" i="26"/>
  <c r="O2020" i="26"/>
  <c r="P2020" i="26" s="1"/>
  <c r="M2020" i="26" s="1"/>
  <c r="N2020" i="26"/>
  <c r="L2020" i="26"/>
  <c r="I2020" i="26"/>
  <c r="J2020" i="26" s="1"/>
  <c r="C2020" i="26"/>
  <c r="O2019" i="26"/>
  <c r="P2019" i="26" s="1"/>
  <c r="M2019" i="26" s="1"/>
  <c r="N2019" i="26"/>
  <c r="L2019" i="26"/>
  <c r="I2019" i="26"/>
  <c r="J2019" i="26" s="1"/>
  <c r="C2019" i="26"/>
  <c r="O2018" i="26"/>
  <c r="P2018" i="26" s="1"/>
  <c r="M2018" i="26" s="1"/>
  <c r="N2018" i="26"/>
  <c r="L2018" i="26"/>
  <c r="I2018" i="26"/>
  <c r="J2018" i="26" s="1"/>
  <c r="C2018" i="26"/>
  <c r="O2017" i="26"/>
  <c r="P2017" i="26" s="1"/>
  <c r="M2017" i="26" s="1"/>
  <c r="N2017" i="26"/>
  <c r="L2017" i="26"/>
  <c r="I2017" i="26"/>
  <c r="J2017" i="26" s="1"/>
  <c r="C2017" i="26"/>
  <c r="O2016" i="26"/>
  <c r="P2016" i="26" s="1"/>
  <c r="M2016" i="26" s="1"/>
  <c r="N2016" i="26"/>
  <c r="L2016" i="26"/>
  <c r="I2016" i="26"/>
  <c r="J2016" i="26" s="1"/>
  <c r="C2016" i="26"/>
  <c r="O2015" i="26"/>
  <c r="P2015" i="26" s="1"/>
  <c r="M2015" i="26" s="1"/>
  <c r="N2015" i="26"/>
  <c r="L2015" i="26"/>
  <c r="I2015" i="26"/>
  <c r="J2015" i="26" s="1"/>
  <c r="C2015" i="26"/>
  <c r="O2014" i="26"/>
  <c r="P2014" i="26" s="1"/>
  <c r="M2014" i="26" s="1"/>
  <c r="N2014" i="26"/>
  <c r="L2014" i="26"/>
  <c r="I2014" i="26"/>
  <c r="J2014" i="26" s="1"/>
  <c r="C2014" i="26"/>
  <c r="O2013" i="26"/>
  <c r="P2013" i="26" s="1"/>
  <c r="M2013" i="26" s="1"/>
  <c r="N2013" i="26"/>
  <c r="L2013" i="26"/>
  <c r="I2013" i="26"/>
  <c r="J2013" i="26" s="1"/>
  <c r="C2013" i="26"/>
  <c r="O2012" i="26"/>
  <c r="P2012" i="26" s="1"/>
  <c r="M2012" i="26" s="1"/>
  <c r="N2012" i="26"/>
  <c r="L2012" i="26"/>
  <c r="I2012" i="26"/>
  <c r="J2012" i="26" s="1"/>
  <c r="C2012" i="26"/>
  <c r="O2011" i="26"/>
  <c r="P2011" i="26" s="1"/>
  <c r="M2011" i="26" s="1"/>
  <c r="N2011" i="26"/>
  <c r="L2011" i="26"/>
  <c r="I2011" i="26"/>
  <c r="J2011" i="26" s="1"/>
  <c r="C2011" i="26"/>
  <c r="N2010" i="26"/>
  <c r="O2010" i="26" s="1"/>
  <c r="P2010" i="26" s="1"/>
  <c r="M2010" i="26" s="1"/>
  <c r="L2010" i="26"/>
  <c r="I2010" i="26"/>
  <c r="J2010" i="26" s="1"/>
  <c r="C2010" i="26"/>
  <c r="N2009" i="26"/>
  <c r="O2009" i="26" s="1"/>
  <c r="P2009" i="26" s="1"/>
  <c r="M2009" i="26" s="1"/>
  <c r="L2009" i="26"/>
  <c r="I2009" i="26"/>
  <c r="J2009" i="26" s="1"/>
  <c r="C2009" i="26"/>
  <c r="N2008" i="26"/>
  <c r="O2008" i="26" s="1"/>
  <c r="P2008" i="26" s="1"/>
  <c r="M2008" i="26" s="1"/>
  <c r="L2008" i="26"/>
  <c r="I2008" i="26"/>
  <c r="J2008" i="26" s="1"/>
  <c r="C2008" i="26"/>
  <c r="N2007" i="26"/>
  <c r="O2007" i="26" s="1"/>
  <c r="P2007" i="26" s="1"/>
  <c r="M2007" i="26" s="1"/>
  <c r="L2007" i="26"/>
  <c r="I2007" i="26"/>
  <c r="J2007" i="26" s="1"/>
  <c r="C2007" i="26"/>
  <c r="N2006" i="26"/>
  <c r="O2006" i="26" s="1"/>
  <c r="P2006" i="26" s="1"/>
  <c r="M2006" i="26" s="1"/>
  <c r="L2006" i="26"/>
  <c r="I2006" i="26"/>
  <c r="J2006" i="26" s="1"/>
  <c r="C2006" i="26"/>
  <c r="N2005" i="26"/>
  <c r="O2005" i="26" s="1"/>
  <c r="P2005" i="26" s="1"/>
  <c r="M2005" i="26" s="1"/>
  <c r="L2005" i="26"/>
  <c r="I2005" i="26"/>
  <c r="J2005" i="26" s="1"/>
  <c r="C2005" i="26"/>
  <c r="N2004" i="26"/>
  <c r="O2004" i="26" s="1"/>
  <c r="P2004" i="26" s="1"/>
  <c r="M2004" i="26" s="1"/>
  <c r="L2004" i="26"/>
  <c r="I2004" i="26"/>
  <c r="J2004" i="26" s="1"/>
  <c r="C2004" i="26"/>
  <c r="N2003" i="26"/>
  <c r="O2003" i="26" s="1"/>
  <c r="P2003" i="26" s="1"/>
  <c r="M2003" i="26" s="1"/>
  <c r="L2003" i="26"/>
  <c r="J2003" i="26"/>
  <c r="C2003" i="26"/>
  <c r="N2002" i="26"/>
  <c r="O2002" i="26" s="1"/>
  <c r="P2002" i="26" s="1"/>
  <c r="M2002" i="26" s="1"/>
  <c r="L2002" i="26"/>
  <c r="I2002" i="26"/>
  <c r="J2002" i="26" s="1"/>
  <c r="C2002" i="26"/>
  <c r="N2001" i="26"/>
  <c r="O2001" i="26" s="1"/>
  <c r="P2001" i="26" s="1"/>
  <c r="M2001" i="26" s="1"/>
  <c r="L2001" i="26"/>
  <c r="I2001" i="26"/>
  <c r="J2001" i="26" s="1"/>
  <c r="C2001" i="26"/>
  <c r="N2000" i="26"/>
  <c r="O2000" i="26" s="1"/>
  <c r="P2000" i="26" s="1"/>
  <c r="M2000" i="26" s="1"/>
  <c r="L2000" i="26"/>
  <c r="I2000" i="26"/>
  <c r="J2000" i="26" s="1"/>
  <c r="C2000" i="26"/>
  <c r="N1999" i="26"/>
  <c r="O1999" i="26" s="1"/>
  <c r="P1999" i="26" s="1"/>
  <c r="M1999" i="26" s="1"/>
  <c r="L1999" i="26"/>
  <c r="I1999" i="26"/>
  <c r="J1999" i="26" s="1"/>
  <c r="C1999" i="26"/>
  <c r="N1998" i="26"/>
  <c r="O1998" i="26" s="1"/>
  <c r="P1998" i="26" s="1"/>
  <c r="M1998" i="26" s="1"/>
  <c r="L1998" i="26"/>
  <c r="I1998" i="26"/>
  <c r="J1998" i="26" s="1"/>
  <c r="C1998" i="26"/>
  <c r="N1997" i="26"/>
  <c r="O1997" i="26" s="1"/>
  <c r="P1997" i="26" s="1"/>
  <c r="M1997" i="26" s="1"/>
  <c r="L1997" i="26"/>
  <c r="I1997" i="26"/>
  <c r="J1997" i="26" s="1"/>
  <c r="C1997" i="26"/>
  <c r="N1996" i="26"/>
  <c r="O1996" i="26" s="1"/>
  <c r="P1996" i="26" s="1"/>
  <c r="M1996" i="26" s="1"/>
  <c r="L1996" i="26"/>
  <c r="I1996" i="26"/>
  <c r="J1996" i="26" s="1"/>
  <c r="C1996" i="26"/>
  <c r="N1995" i="26"/>
  <c r="O1995" i="26" s="1"/>
  <c r="P1995" i="26" s="1"/>
  <c r="M1995" i="26" s="1"/>
  <c r="L1995" i="26"/>
  <c r="I1995" i="26"/>
  <c r="J1995" i="26" s="1"/>
  <c r="C1995" i="26"/>
  <c r="N1994" i="26"/>
  <c r="O1994" i="26" s="1"/>
  <c r="P1994" i="26" s="1"/>
  <c r="M1994" i="26" s="1"/>
  <c r="L1994" i="26"/>
  <c r="I1994" i="26"/>
  <c r="J1994" i="26" s="1"/>
  <c r="C1994" i="26"/>
  <c r="N1993" i="26"/>
  <c r="O1993" i="26" s="1"/>
  <c r="P1993" i="26" s="1"/>
  <c r="M1993" i="26" s="1"/>
  <c r="L1993" i="26"/>
  <c r="I1993" i="26"/>
  <c r="J1993" i="26" s="1"/>
  <c r="C1993" i="26"/>
  <c r="N1992" i="26"/>
  <c r="O1992" i="26" s="1"/>
  <c r="P1992" i="26" s="1"/>
  <c r="M1992" i="26" s="1"/>
  <c r="L1992" i="26"/>
  <c r="I1992" i="26"/>
  <c r="J1992" i="26" s="1"/>
  <c r="C1992" i="26"/>
  <c r="N1991" i="26"/>
  <c r="O1991" i="26" s="1"/>
  <c r="P1991" i="26" s="1"/>
  <c r="M1991" i="26" s="1"/>
  <c r="L1991" i="26"/>
  <c r="I1991" i="26"/>
  <c r="J1991" i="26" s="1"/>
  <c r="C1991" i="26"/>
  <c r="N1990" i="26"/>
  <c r="O1990" i="26" s="1"/>
  <c r="P1990" i="26" s="1"/>
  <c r="M1990" i="26" s="1"/>
  <c r="L1990" i="26"/>
  <c r="I1990" i="26"/>
  <c r="J1990" i="26" s="1"/>
  <c r="C1990" i="26"/>
  <c r="N1989" i="26"/>
  <c r="O1989" i="26" s="1"/>
  <c r="P1989" i="26" s="1"/>
  <c r="M1989" i="26" s="1"/>
  <c r="L1989" i="26"/>
  <c r="I1989" i="26"/>
  <c r="J1989" i="26" s="1"/>
  <c r="C1989" i="26"/>
  <c r="N1988" i="26"/>
  <c r="O1988" i="26" s="1"/>
  <c r="P1988" i="26" s="1"/>
  <c r="M1988" i="26" s="1"/>
  <c r="L1988" i="26"/>
  <c r="I1988" i="26"/>
  <c r="J1988" i="26" s="1"/>
  <c r="C1988" i="26"/>
  <c r="N1987" i="26"/>
  <c r="O1987" i="26" s="1"/>
  <c r="P1987" i="26" s="1"/>
  <c r="M1987" i="26" s="1"/>
  <c r="L1987" i="26"/>
  <c r="I1987" i="26"/>
  <c r="J1987" i="26" s="1"/>
  <c r="C1987" i="26"/>
  <c r="N1986" i="26"/>
  <c r="O1986" i="26" s="1"/>
  <c r="P1986" i="26" s="1"/>
  <c r="M1986" i="26" s="1"/>
  <c r="L1986" i="26"/>
  <c r="I1986" i="26"/>
  <c r="J1986" i="26" s="1"/>
  <c r="C1986" i="26"/>
  <c r="N1985" i="26"/>
  <c r="O1985" i="26" s="1"/>
  <c r="P1985" i="26" s="1"/>
  <c r="M1985" i="26" s="1"/>
  <c r="L1985" i="26"/>
  <c r="I1985" i="26"/>
  <c r="J1985" i="26" s="1"/>
  <c r="C1985" i="26"/>
  <c r="N1984" i="26"/>
  <c r="O1984" i="26" s="1"/>
  <c r="P1984" i="26" s="1"/>
  <c r="M1984" i="26" s="1"/>
  <c r="L1984" i="26"/>
  <c r="I1984" i="26"/>
  <c r="J1984" i="26" s="1"/>
  <c r="C1984" i="26"/>
  <c r="N1983" i="26"/>
  <c r="O1983" i="26" s="1"/>
  <c r="P1983" i="26" s="1"/>
  <c r="M1983" i="26" s="1"/>
  <c r="L1983" i="26"/>
  <c r="I1983" i="26"/>
  <c r="J1983" i="26" s="1"/>
  <c r="C1983" i="26"/>
  <c r="N1982" i="26"/>
  <c r="O1982" i="26" s="1"/>
  <c r="P1982" i="26" s="1"/>
  <c r="M1982" i="26" s="1"/>
  <c r="L1982" i="26"/>
  <c r="I1982" i="26"/>
  <c r="J1982" i="26" s="1"/>
  <c r="C1982" i="26"/>
  <c r="N1981" i="26"/>
  <c r="O1981" i="26" s="1"/>
  <c r="P1981" i="26" s="1"/>
  <c r="M1981" i="26" s="1"/>
  <c r="L1981" i="26"/>
  <c r="I1981" i="26"/>
  <c r="J1981" i="26" s="1"/>
  <c r="C1981" i="26"/>
  <c r="N1980" i="26"/>
  <c r="O1980" i="26" s="1"/>
  <c r="P1980" i="26" s="1"/>
  <c r="M1980" i="26" s="1"/>
  <c r="L1980" i="26"/>
  <c r="I1980" i="26"/>
  <c r="J1980" i="26" s="1"/>
  <c r="C1980" i="26"/>
  <c r="O1979" i="26"/>
  <c r="N1979" i="26"/>
  <c r="L1979" i="26"/>
  <c r="J1979" i="26"/>
  <c r="I1979" i="26"/>
  <c r="C1979" i="26"/>
  <c r="O1978" i="26"/>
  <c r="N1978" i="26"/>
  <c r="L1978" i="26"/>
  <c r="J1978" i="26"/>
  <c r="I1978" i="26"/>
  <c r="C1978" i="26"/>
  <c r="O1977" i="26"/>
  <c r="N1977" i="26"/>
  <c r="L1977" i="26"/>
  <c r="J1977" i="26"/>
  <c r="I1977" i="26"/>
  <c r="C1977" i="26"/>
  <c r="O1976" i="26"/>
  <c r="N1976" i="26"/>
  <c r="L1976" i="26"/>
  <c r="J1976" i="26"/>
  <c r="I1976" i="26"/>
  <c r="C1976" i="26"/>
  <c r="O1975" i="26"/>
  <c r="N1975" i="26"/>
  <c r="L1975" i="26"/>
  <c r="J1975" i="26"/>
  <c r="I1975" i="26"/>
  <c r="C1975" i="26"/>
  <c r="O1974" i="26"/>
  <c r="N1974" i="26"/>
  <c r="L1974" i="26"/>
  <c r="J1974" i="26"/>
  <c r="I1974" i="26"/>
  <c r="C1974" i="26"/>
  <c r="O1973" i="26"/>
  <c r="N1973" i="26"/>
  <c r="L1973" i="26"/>
  <c r="J1973" i="26"/>
  <c r="I1973" i="26"/>
  <c r="C1973" i="26"/>
  <c r="O1972" i="26"/>
  <c r="N1972" i="26"/>
  <c r="L1972" i="26"/>
  <c r="J1972" i="26"/>
  <c r="I1972" i="26"/>
  <c r="C1972" i="26"/>
  <c r="O1971" i="26"/>
  <c r="N1971" i="26"/>
  <c r="L1971" i="26"/>
  <c r="J1971" i="26"/>
  <c r="I1971" i="26"/>
  <c r="C1971" i="26"/>
  <c r="O1970" i="26"/>
  <c r="N1970" i="26"/>
  <c r="L1970" i="26"/>
  <c r="J1970" i="26"/>
  <c r="I1970" i="26"/>
  <c r="C1970" i="26"/>
  <c r="O1969" i="26"/>
  <c r="N1969" i="26"/>
  <c r="L1969" i="26"/>
  <c r="J1969" i="26"/>
  <c r="I1969" i="26"/>
  <c r="C1969" i="26"/>
  <c r="O1968" i="26"/>
  <c r="N1968" i="26"/>
  <c r="L1968" i="26"/>
  <c r="J1968" i="26"/>
  <c r="I1968" i="26"/>
  <c r="C1968" i="26"/>
  <c r="O1967" i="26"/>
  <c r="N1967" i="26"/>
  <c r="L1967" i="26"/>
  <c r="J1967" i="26"/>
  <c r="I1967" i="26"/>
  <c r="C1967" i="26"/>
  <c r="O1966" i="26"/>
  <c r="N1966" i="26"/>
  <c r="L1966" i="26"/>
  <c r="J1966" i="26"/>
  <c r="I1966" i="26"/>
  <c r="C1966" i="26"/>
  <c r="O1965" i="26"/>
  <c r="N1965" i="26"/>
  <c r="L1965" i="26"/>
  <c r="J1965" i="26"/>
  <c r="I1965" i="26"/>
  <c r="C1965" i="26"/>
  <c r="O1964" i="26"/>
  <c r="N1964" i="26"/>
  <c r="L1964" i="26"/>
  <c r="J1964" i="26"/>
  <c r="I1964" i="26"/>
  <c r="C1964" i="26"/>
  <c r="O1963" i="26"/>
  <c r="N1963" i="26"/>
  <c r="L1963" i="26"/>
  <c r="J1963" i="26"/>
  <c r="I1963" i="26"/>
  <c r="C1963" i="26"/>
  <c r="O1962" i="26"/>
  <c r="N1962" i="26"/>
  <c r="L1962" i="26"/>
  <c r="J1962" i="26"/>
  <c r="I1962" i="26"/>
  <c r="C1962" i="26"/>
  <c r="O1961" i="26"/>
  <c r="N1961" i="26"/>
  <c r="L1961" i="26"/>
  <c r="J1961" i="26"/>
  <c r="I1961" i="26"/>
  <c r="C1961" i="26"/>
  <c r="O1960" i="26"/>
  <c r="N1960" i="26"/>
  <c r="L1960" i="26"/>
  <c r="J1960" i="26"/>
  <c r="I1960" i="26"/>
  <c r="C1960" i="26"/>
  <c r="O1959" i="26"/>
  <c r="N1959" i="26"/>
  <c r="L1959" i="26"/>
  <c r="J1959" i="26"/>
  <c r="I1959" i="26"/>
  <c r="C1959" i="26"/>
  <c r="O1958" i="26"/>
  <c r="N1958" i="26"/>
  <c r="L1958" i="26"/>
  <c r="J1958" i="26"/>
  <c r="I1958" i="26"/>
  <c r="C1958" i="26"/>
  <c r="O1957" i="26"/>
  <c r="N1957" i="26"/>
  <c r="L1957" i="26"/>
  <c r="J1957" i="26"/>
  <c r="I1957" i="26"/>
  <c r="C1957" i="26"/>
  <c r="O1956" i="26"/>
  <c r="N1956" i="26"/>
  <c r="L1956" i="26"/>
  <c r="J1956" i="26"/>
  <c r="I1956" i="26"/>
  <c r="C1956" i="26"/>
  <c r="O1955" i="26"/>
  <c r="N1955" i="26"/>
  <c r="L1955" i="26"/>
  <c r="J1955" i="26"/>
  <c r="I1955" i="26"/>
  <c r="C1955" i="26"/>
  <c r="O1954" i="26"/>
  <c r="N1954" i="26"/>
  <c r="L1954" i="26"/>
  <c r="J1954" i="26"/>
  <c r="I1954" i="26"/>
  <c r="C1954" i="26"/>
  <c r="O1953" i="26"/>
  <c r="N1953" i="26"/>
  <c r="L1953" i="26"/>
  <c r="J1953" i="26"/>
  <c r="I1953" i="26"/>
  <c r="C1953" i="26"/>
  <c r="O1952" i="26"/>
  <c r="N1952" i="26"/>
  <c r="L1952" i="26"/>
  <c r="J1952" i="26"/>
  <c r="I1952" i="26"/>
  <c r="C1952" i="26"/>
  <c r="O1951" i="26"/>
  <c r="N1951" i="26"/>
  <c r="L1951" i="26"/>
  <c r="J1951" i="26"/>
  <c r="I1951" i="26"/>
  <c r="C1951" i="26"/>
  <c r="O1950" i="26"/>
  <c r="N1950" i="26"/>
  <c r="L1950" i="26"/>
  <c r="J1950" i="26"/>
  <c r="I1950" i="26"/>
  <c r="C1950" i="26"/>
  <c r="O1949" i="26"/>
  <c r="N1949" i="26"/>
  <c r="L1949" i="26"/>
  <c r="J1949" i="26"/>
  <c r="I1949" i="26"/>
  <c r="C1949" i="26"/>
  <c r="O1948" i="26"/>
  <c r="N1948" i="26"/>
  <c r="L1948" i="26"/>
  <c r="J1948" i="26"/>
  <c r="I1948" i="26"/>
  <c r="C1948" i="26"/>
  <c r="O1947" i="26"/>
  <c r="N1947" i="26"/>
  <c r="L1947" i="26"/>
  <c r="J1947" i="26"/>
  <c r="I1947" i="26"/>
  <c r="C1947" i="26"/>
  <c r="O1946" i="26"/>
  <c r="N1946" i="26"/>
  <c r="L1946" i="26"/>
  <c r="J1946" i="26"/>
  <c r="I1946" i="26"/>
  <c r="C1946" i="26"/>
  <c r="O1945" i="26"/>
  <c r="N1945" i="26"/>
  <c r="L1945" i="26"/>
  <c r="J1945" i="26"/>
  <c r="I1945" i="26"/>
  <c r="C1945" i="26"/>
  <c r="O1944" i="26"/>
  <c r="N1944" i="26"/>
  <c r="L1944" i="26"/>
  <c r="J1944" i="26"/>
  <c r="I1944" i="26"/>
  <c r="C1944" i="26"/>
  <c r="O1943" i="26"/>
  <c r="N1943" i="26"/>
  <c r="L1943" i="26"/>
  <c r="J1943" i="26"/>
  <c r="I1943" i="26"/>
  <c r="C1943" i="26"/>
  <c r="O1942" i="26"/>
  <c r="N1942" i="26"/>
  <c r="L1942" i="26"/>
  <c r="J1942" i="26"/>
  <c r="I1942" i="26"/>
  <c r="C1942" i="26"/>
  <c r="O1941" i="26"/>
  <c r="N1941" i="26"/>
  <c r="L1941" i="26"/>
  <c r="J1941" i="26"/>
  <c r="I1941" i="26"/>
  <c r="C1941" i="26"/>
  <c r="O1940" i="26"/>
  <c r="N1940" i="26"/>
  <c r="L1940" i="26"/>
  <c r="J1940" i="26"/>
  <c r="I1940" i="26"/>
  <c r="C1940" i="26"/>
  <c r="O1939" i="26"/>
  <c r="N1939" i="26"/>
  <c r="L1939" i="26"/>
  <c r="J1939" i="26"/>
  <c r="I1939" i="26"/>
  <c r="C1939" i="26"/>
  <c r="O1938" i="26"/>
  <c r="N1938" i="26"/>
  <c r="L1938" i="26"/>
  <c r="J1938" i="26"/>
  <c r="I1938" i="26"/>
  <c r="C1938" i="26"/>
  <c r="O1937" i="26"/>
  <c r="N1937" i="26"/>
  <c r="L1937" i="26"/>
  <c r="J1937" i="26"/>
  <c r="I1937" i="26"/>
  <c r="C1937" i="26"/>
  <c r="O1936" i="26"/>
  <c r="N1936" i="26"/>
  <c r="L1936" i="26"/>
  <c r="J1936" i="26"/>
  <c r="I1936" i="26"/>
  <c r="C1936" i="26"/>
  <c r="O1935" i="26"/>
  <c r="N1935" i="26"/>
  <c r="L1935" i="26"/>
  <c r="J1935" i="26"/>
  <c r="I1935" i="26"/>
  <c r="C1935" i="26"/>
  <c r="O1934" i="26"/>
  <c r="N1934" i="26"/>
  <c r="L1934" i="26"/>
  <c r="J1934" i="26"/>
  <c r="I1934" i="26"/>
  <c r="C1934" i="26"/>
  <c r="O1933" i="26"/>
  <c r="N1933" i="26"/>
  <c r="L1933" i="26"/>
  <c r="J1933" i="26"/>
  <c r="I1933" i="26"/>
  <c r="C1933" i="26"/>
  <c r="O1932" i="26"/>
  <c r="N1932" i="26"/>
  <c r="L1932" i="26"/>
  <c r="J1932" i="26"/>
  <c r="I1932" i="26"/>
  <c r="C1932" i="26"/>
  <c r="N1931" i="26"/>
  <c r="O1931" i="26" s="1"/>
  <c r="L1931" i="26"/>
  <c r="J1931" i="26"/>
  <c r="I1931" i="26"/>
  <c r="C1931" i="26"/>
  <c r="O1930" i="26"/>
  <c r="P1930" i="26" s="1"/>
  <c r="M1930" i="26" s="1"/>
  <c r="N1930" i="26"/>
  <c r="L1930" i="26"/>
  <c r="J1930" i="26"/>
  <c r="I1930" i="26"/>
  <c r="C1930" i="26"/>
  <c r="N1929" i="26"/>
  <c r="O1929" i="26" s="1"/>
  <c r="P1929" i="26" s="1"/>
  <c r="M1929" i="26" s="1"/>
  <c r="L1929" i="26"/>
  <c r="I1929" i="26"/>
  <c r="J1929" i="26" s="1"/>
  <c r="C1929" i="26"/>
  <c r="N1928" i="26"/>
  <c r="O1928" i="26" s="1"/>
  <c r="P1928" i="26" s="1"/>
  <c r="M1928" i="26" s="1"/>
  <c r="L1928" i="26"/>
  <c r="I1928" i="26"/>
  <c r="J1928" i="26" s="1"/>
  <c r="C1928" i="26"/>
  <c r="N1927" i="26"/>
  <c r="O1927" i="26" s="1"/>
  <c r="P1927" i="26" s="1"/>
  <c r="M1927" i="26" s="1"/>
  <c r="L1927" i="26"/>
  <c r="I1927" i="26"/>
  <c r="J1927" i="26" s="1"/>
  <c r="C1927" i="26"/>
  <c r="N1926" i="26"/>
  <c r="O1926" i="26" s="1"/>
  <c r="P1926" i="26" s="1"/>
  <c r="M1926" i="26" s="1"/>
  <c r="L1926" i="26"/>
  <c r="I1926" i="26"/>
  <c r="J1926" i="26" s="1"/>
  <c r="C1926" i="26"/>
  <c r="N1925" i="26"/>
  <c r="O1925" i="26" s="1"/>
  <c r="P1925" i="26" s="1"/>
  <c r="M1925" i="26" s="1"/>
  <c r="L1925" i="26"/>
  <c r="I1925" i="26"/>
  <c r="J1925" i="26" s="1"/>
  <c r="C1925" i="26"/>
  <c r="N1924" i="26"/>
  <c r="O1924" i="26" s="1"/>
  <c r="P1924" i="26" s="1"/>
  <c r="M1924" i="26" s="1"/>
  <c r="L1924" i="26"/>
  <c r="I1924" i="26"/>
  <c r="J1924" i="26" s="1"/>
  <c r="C1924" i="26"/>
  <c r="N1923" i="26"/>
  <c r="O1923" i="26" s="1"/>
  <c r="P1923" i="26" s="1"/>
  <c r="M1923" i="26" s="1"/>
  <c r="L1923" i="26"/>
  <c r="I1923" i="26"/>
  <c r="J1923" i="26" s="1"/>
  <c r="C1923" i="26"/>
  <c r="N1922" i="26"/>
  <c r="O1922" i="26" s="1"/>
  <c r="P1922" i="26" s="1"/>
  <c r="M1922" i="26" s="1"/>
  <c r="L1922" i="26"/>
  <c r="I1922" i="26"/>
  <c r="J1922" i="26" s="1"/>
  <c r="C1922" i="26"/>
  <c r="N1921" i="26"/>
  <c r="O1921" i="26" s="1"/>
  <c r="P1921" i="26" s="1"/>
  <c r="M1921" i="26" s="1"/>
  <c r="L1921" i="26"/>
  <c r="I1921" i="26"/>
  <c r="J1921" i="26" s="1"/>
  <c r="C1921" i="26"/>
  <c r="N1920" i="26"/>
  <c r="O1920" i="26" s="1"/>
  <c r="P1920" i="26" s="1"/>
  <c r="M1920" i="26" s="1"/>
  <c r="L1920" i="26"/>
  <c r="I1920" i="26"/>
  <c r="J1920" i="26" s="1"/>
  <c r="C1920" i="26"/>
  <c r="N1919" i="26"/>
  <c r="O1919" i="26" s="1"/>
  <c r="P1919" i="26" s="1"/>
  <c r="M1919" i="26" s="1"/>
  <c r="L1919" i="26"/>
  <c r="I1919" i="26"/>
  <c r="J1919" i="26" s="1"/>
  <c r="C1919" i="26"/>
  <c r="N1918" i="26"/>
  <c r="O1918" i="26" s="1"/>
  <c r="P1918" i="26" s="1"/>
  <c r="M1918" i="26" s="1"/>
  <c r="L1918" i="26"/>
  <c r="I1918" i="26"/>
  <c r="J1918" i="26" s="1"/>
  <c r="C1918" i="26"/>
  <c r="N1917" i="26"/>
  <c r="O1917" i="26" s="1"/>
  <c r="P1917" i="26" s="1"/>
  <c r="M1917" i="26" s="1"/>
  <c r="L1917" i="26"/>
  <c r="I1917" i="26"/>
  <c r="J1917" i="26" s="1"/>
  <c r="C1917" i="26"/>
  <c r="N1916" i="26"/>
  <c r="O1916" i="26" s="1"/>
  <c r="P1916" i="26" s="1"/>
  <c r="M1916" i="26" s="1"/>
  <c r="L1916" i="26"/>
  <c r="I1916" i="26"/>
  <c r="J1916" i="26" s="1"/>
  <c r="C1916" i="26"/>
  <c r="N1915" i="26"/>
  <c r="O1915" i="26" s="1"/>
  <c r="P1915" i="26" s="1"/>
  <c r="M1915" i="26" s="1"/>
  <c r="L1915" i="26"/>
  <c r="I1915" i="26"/>
  <c r="J1915" i="26" s="1"/>
  <c r="C1915" i="26"/>
  <c r="N1914" i="26"/>
  <c r="O1914" i="26" s="1"/>
  <c r="P1914" i="26" s="1"/>
  <c r="M1914" i="26" s="1"/>
  <c r="L1914" i="26"/>
  <c r="I1914" i="26"/>
  <c r="J1914" i="26" s="1"/>
  <c r="C1914" i="26"/>
  <c r="N1913" i="26"/>
  <c r="O1913" i="26" s="1"/>
  <c r="P1913" i="26" s="1"/>
  <c r="M1913" i="26" s="1"/>
  <c r="L1913" i="26"/>
  <c r="I1913" i="26"/>
  <c r="J1913" i="26" s="1"/>
  <c r="C1913" i="26"/>
  <c r="N1912" i="26"/>
  <c r="O1912" i="26" s="1"/>
  <c r="P1912" i="26" s="1"/>
  <c r="M1912" i="26" s="1"/>
  <c r="L1912" i="26"/>
  <c r="I1912" i="26"/>
  <c r="J1912" i="26" s="1"/>
  <c r="C1912" i="26"/>
  <c r="N1911" i="26"/>
  <c r="O1911" i="26" s="1"/>
  <c r="P1911" i="26" s="1"/>
  <c r="M1911" i="26" s="1"/>
  <c r="L1911" i="26"/>
  <c r="I1911" i="26"/>
  <c r="J1911" i="26" s="1"/>
  <c r="C1911" i="26"/>
  <c r="N1910" i="26"/>
  <c r="O1910" i="26" s="1"/>
  <c r="P1910" i="26" s="1"/>
  <c r="M1910" i="26" s="1"/>
  <c r="L1910" i="26"/>
  <c r="I1910" i="26"/>
  <c r="J1910" i="26" s="1"/>
  <c r="C1910" i="26"/>
  <c r="N1909" i="26"/>
  <c r="O1909" i="26" s="1"/>
  <c r="P1909" i="26" s="1"/>
  <c r="M1909" i="26" s="1"/>
  <c r="L1909" i="26"/>
  <c r="I1909" i="26"/>
  <c r="J1909" i="26" s="1"/>
  <c r="C1909" i="26"/>
  <c r="N1908" i="26"/>
  <c r="O1908" i="26" s="1"/>
  <c r="P1908" i="26" s="1"/>
  <c r="M1908" i="26" s="1"/>
  <c r="L1908" i="26"/>
  <c r="I1908" i="26"/>
  <c r="J1908" i="26" s="1"/>
  <c r="C1908" i="26"/>
  <c r="N1907" i="26"/>
  <c r="O1907" i="26" s="1"/>
  <c r="P1907" i="26" s="1"/>
  <c r="M1907" i="26" s="1"/>
  <c r="L1907" i="26"/>
  <c r="I1907" i="26"/>
  <c r="J1907" i="26" s="1"/>
  <c r="C1907" i="26"/>
  <c r="N1906" i="26"/>
  <c r="O1906" i="26" s="1"/>
  <c r="P1906" i="26" s="1"/>
  <c r="M1906" i="26" s="1"/>
  <c r="L1906" i="26"/>
  <c r="I1906" i="26"/>
  <c r="J1906" i="26" s="1"/>
  <c r="C1906" i="26"/>
  <c r="N1905" i="26"/>
  <c r="O1905" i="26" s="1"/>
  <c r="P1905" i="26" s="1"/>
  <c r="M1905" i="26" s="1"/>
  <c r="L1905" i="26"/>
  <c r="I1905" i="26"/>
  <c r="J1905" i="26" s="1"/>
  <c r="C1905" i="26"/>
  <c r="N1904" i="26"/>
  <c r="O1904" i="26" s="1"/>
  <c r="P1904" i="26" s="1"/>
  <c r="M1904" i="26" s="1"/>
  <c r="L1904" i="26"/>
  <c r="I1904" i="26"/>
  <c r="J1904" i="26" s="1"/>
  <c r="C1904" i="26"/>
  <c r="N1903" i="26"/>
  <c r="O1903" i="26" s="1"/>
  <c r="P1903" i="26" s="1"/>
  <c r="M1903" i="26" s="1"/>
  <c r="L1903" i="26"/>
  <c r="I1903" i="26"/>
  <c r="J1903" i="26" s="1"/>
  <c r="C1903" i="26"/>
  <c r="N1902" i="26"/>
  <c r="O1902" i="26" s="1"/>
  <c r="P1902" i="26" s="1"/>
  <c r="M1902" i="26" s="1"/>
  <c r="L1902" i="26"/>
  <c r="I1902" i="26"/>
  <c r="J1902" i="26" s="1"/>
  <c r="C1902" i="26"/>
  <c r="N1901" i="26"/>
  <c r="O1901" i="26" s="1"/>
  <c r="P1901" i="26" s="1"/>
  <c r="M1901" i="26" s="1"/>
  <c r="L1901" i="26"/>
  <c r="I1901" i="26"/>
  <c r="J1901" i="26" s="1"/>
  <c r="C1901" i="26"/>
  <c r="N1900" i="26"/>
  <c r="O1900" i="26" s="1"/>
  <c r="P1900" i="26" s="1"/>
  <c r="M1900" i="26" s="1"/>
  <c r="L1900" i="26"/>
  <c r="I1900" i="26"/>
  <c r="J1900" i="26" s="1"/>
  <c r="C1900" i="26"/>
  <c r="N1899" i="26"/>
  <c r="O1899" i="26" s="1"/>
  <c r="L1899" i="26"/>
  <c r="I1899" i="26"/>
  <c r="J1899" i="26" s="1"/>
  <c r="C1899" i="26"/>
  <c r="N1898" i="26"/>
  <c r="O1898" i="26" s="1"/>
  <c r="P1898" i="26" s="1"/>
  <c r="M1898" i="26" s="1"/>
  <c r="L1898" i="26"/>
  <c r="I1898" i="26"/>
  <c r="J1898" i="26" s="1"/>
  <c r="C1898" i="26"/>
  <c r="N1897" i="26"/>
  <c r="O1897" i="26" s="1"/>
  <c r="L1897" i="26"/>
  <c r="I1897" i="26"/>
  <c r="J1897" i="26" s="1"/>
  <c r="C1897" i="26"/>
  <c r="N1896" i="26"/>
  <c r="O1896" i="26" s="1"/>
  <c r="P1896" i="26" s="1"/>
  <c r="M1896" i="26" s="1"/>
  <c r="L1896" i="26"/>
  <c r="I1896" i="26"/>
  <c r="J1896" i="26" s="1"/>
  <c r="C1896" i="26"/>
  <c r="N1895" i="26"/>
  <c r="O1895" i="26" s="1"/>
  <c r="L1895" i="26"/>
  <c r="I1895" i="26"/>
  <c r="J1895" i="26" s="1"/>
  <c r="C1895" i="26"/>
  <c r="P1894" i="26"/>
  <c r="M1894" i="26" s="1"/>
  <c r="N1894" i="26"/>
  <c r="O1894" i="26" s="1"/>
  <c r="L1894" i="26"/>
  <c r="I1894" i="26"/>
  <c r="J1894" i="26" s="1"/>
  <c r="C1894" i="26"/>
  <c r="P1893" i="26"/>
  <c r="N1893" i="26"/>
  <c r="O1893" i="26" s="1"/>
  <c r="M1893" i="26"/>
  <c r="L1893" i="26"/>
  <c r="I1893" i="26"/>
  <c r="J1893" i="26" s="1"/>
  <c r="C1893" i="26"/>
  <c r="N1892" i="26"/>
  <c r="O1892" i="26" s="1"/>
  <c r="P1892" i="26" s="1"/>
  <c r="M1892" i="26" s="1"/>
  <c r="L1892" i="26"/>
  <c r="J1892" i="26"/>
  <c r="I1892" i="26"/>
  <c r="C1892" i="26"/>
  <c r="O1891" i="26"/>
  <c r="P1891" i="26" s="1"/>
  <c r="N1891" i="26"/>
  <c r="M1891" i="26"/>
  <c r="L1891" i="26"/>
  <c r="J1891" i="26"/>
  <c r="I1891" i="26"/>
  <c r="C1891" i="26"/>
  <c r="O1890" i="26"/>
  <c r="P1890" i="26" s="1"/>
  <c r="M1890" i="26" s="1"/>
  <c r="N1890" i="26"/>
  <c r="L1890" i="26"/>
  <c r="I1890" i="26"/>
  <c r="J1890" i="26" s="1"/>
  <c r="C1890" i="26"/>
  <c r="N1889" i="26"/>
  <c r="O1889" i="26" s="1"/>
  <c r="L1889" i="26"/>
  <c r="J1889" i="26"/>
  <c r="I1889" i="26"/>
  <c r="C1889" i="26"/>
  <c r="O1888" i="26"/>
  <c r="N1888" i="26"/>
  <c r="L1888" i="26"/>
  <c r="I1888" i="26"/>
  <c r="J1888" i="26" s="1"/>
  <c r="C1888" i="26"/>
  <c r="O1887" i="26"/>
  <c r="P1887" i="26" s="1"/>
  <c r="M1887" i="26" s="1"/>
  <c r="N1887" i="26"/>
  <c r="L1887" i="26"/>
  <c r="J1887" i="26"/>
  <c r="I1887" i="26"/>
  <c r="C1887" i="26"/>
  <c r="N1886" i="26"/>
  <c r="O1886" i="26" s="1"/>
  <c r="P1886" i="26" s="1"/>
  <c r="M1886" i="26" s="1"/>
  <c r="L1886" i="26"/>
  <c r="J1886" i="26"/>
  <c r="I1886" i="26"/>
  <c r="C1886" i="26"/>
  <c r="O1885" i="26"/>
  <c r="P1885" i="26" s="1"/>
  <c r="N1885" i="26"/>
  <c r="M1885" i="26"/>
  <c r="L1885" i="26"/>
  <c r="I1885" i="26"/>
  <c r="J1885" i="26" s="1"/>
  <c r="C1885" i="26"/>
  <c r="N1884" i="26"/>
  <c r="O1884" i="26" s="1"/>
  <c r="P1884" i="26" s="1"/>
  <c r="M1884" i="26" s="1"/>
  <c r="L1884" i="26"/>
  <c r="J1884" i="26"/>
  <c r="I1884" i="26"/>
  <c r="C1884" i="26"/>
  <c r="O1883" i="26"/>
  <c r="P1883" i="26" s="1"/>
  <c r="N1883" i="26"/>
  <c r="M1883" i="26"/>
  <c r="L1883" i="26"/>
  <c r="J1883" i="26"/>
  <c r="I1883" i="26"/>
  <c r="C1883" i="26"/>
  <c r="O1882" i="26"/>
  <c r="P1882" i="26" s="1"/>
  <c r="M1882" i="26" s="1"/>
  <c r="N1882" i="26"/>
  <c r="L1882" i="26"/>
  <c r="I1882" i="26"/>
  <c r="J1882" i="26" s="1"/>
  <c r="C1882" i="26"/>
  <c r="N1881" i="26"/>
  <c r="O1881" i="26" s="1"/>
  <c r="P1881" i="26" s="1"/>
  <c r="M1881" i="26" s="1"/>
  <c r="L1881" i="26"/>
  <c r="J1881" i="26"/>
  <c r="I1881" i="26"/>
  <c r="C1881" i="26"/>
  <c r="O1880" i="26"/>
  <c r="N1880" i="26"/>
  <c r="L1880" i="26"/>
  <c r="I1880" i="26"/>
  <c r="J1880" i="26" s="1"/>
  <c r="C1880" i="26"/>
  <c r="O1879" i="26"/>
  <c r="N1879" i="26"/>
  <c r="L1879" i="26"/>
  <c r="J1879" i="26"/>
  <c r="I1879" i="26"/>
  <c r="C1879" i="26"/>
  <c r="N1878" i="26"/>
  <c r="O1878" i="26" s="1"/>
  <c r="P1878" i="26" s="1"/>
  <c r="M1878" i="26" s="1"/>
  <c r="L1878" i="26"/>
  <c r="J1878" i="26"/>
  <c r="I1878" i="26"/>
  <c r="C1878" i="26"/>
  <c r="O1877" i="26"/>
  <c r="P1877" i="26" s="1"/>
  <c r="N1877" i="26"/>
  <c r="M1877" i="26"/>
  <c r="L1877" i="26"/>
  <c r="I1877" i="26"/>
  <c r="J1877" i="26" s="1"/>
  <c r="C1877" i="26"/>
  <c r="N1876" i="26"/>
  <c r="O1876" i="26" s="1"/>
  <c r="P1876" i="26" s="1"/>
  <c r="M1876" i="26" s="1"/>
  <c r="L1876" i="26"/>
  <c r="J1876" i="26"/>
  <c r="I1876" i="26"/>
  <c r="C1876" i="26"/>
  <c r="O1875" i="26"/>
  <c r="P1875" i="26" s="1"/>
  <c r="N1875" i="26"/>
  <c r="M1875" i="26"/>
  <c r="L1875" i="26"/>
  <c r="J1875" i="26"/>
  <c r="I1875" i="26"/>
  <c r="C1875" i="26"/>
  <c r="O1874" i="26"/>
  <c r="P1874" i="26" s="1"/>
  <c r="M1874" i="26" s="1"/>
  <c r="N1874" i="26"/>
  <c r="L1874" i="26"/>
  <c r="I1874" i="26"/>
  <c r="J1874" i="26" s="1"/>
  <c r="C1874" i="26"/>
  <c r="N1873" i="26"/>
  <c r="O1873" i="26" s="1"/>
  <c r="L1873" i="26"/>
  <c r="J1873" i="26"/>
  <c r="I1873" i="26"/>
  <c r="C1873" i="26"/>
  <c r="O1872" i="26"/>
  <c r="N1872" i="26"/>
  <c r="L1872" i="26"/>
  <c r="I1872" i="26"/>
  <c r="J1872" i="26" s="1"/>
  <c r="C1872" i="26"/>
  <c r="O1871" i="26"/>
  <c r="P1871" i="26" s="1"/>
  <c r="M1871" i="26" s="1"/>
  <c r="N1871" i="26"/>
  <c r="L1871" i="26"/>
  <c r="J1871" i="26"/>
  <c r="I1871" i="26"/>
  <c r="C1871" i="26"/>
  <c r="N1870" i="26"/>
  <c r="O1870" i="26" s="1"/>
  <c r="P1870" i="26" s="1"/>
  <c r="M1870" i="26" s="1"/>
  <c r="L1870" i="26"/>
  <c r="J1870" i="26"/>
  <c r="I1870" i="26"/>
  <c r="C1870" i="26"/>
  <c r="O1869" i="26"/>
  <c r="P1869" i="26" s="1"/>
  <c r="N1869" i="26"/>
  <c r="M1869" i="26"/>
  <c r="L1869" i="26"/>
  <c r="I1869" i="26"/>
  <c r="J1869" i="26" s="1"/>
  <c r="C1869" i="26"/>
  <c r="N1868" i="26"/>
  <c r="O1868" i="26" s="1"/>
  <c r="P1868" i="26" s="1"/>
  <c r="M1868" i="26" s="1"/>
  <c r="L1868" i="26"/>
  <c r="J1868" i="26"/>
  <c r="I1868" i="26"/>
  <c r="C1868" i="26"/>
  <c r="O1867" i="26"/>
  <c r="P1867" i="26" s="1"/>
  <c r="N1867" i="26"/>
  <c r="M1867" i="26"/>
  <c r="L1867" i="26"/>
  <c r="J1867" i="26"/>
  <c r="I1867" i="26"/>
  <c r="C1867" i="26"/>
  <c r="N1866" i="26"/>
  <c r="O1866" i="26" s="1"/>
  <c r="P1866" i="26" s="1"/>
  <c r="M1866" i="26" s="1"/>
  <c r="L1866" i="26"/>
  <c r="I1866" i="26"/>
  <c r="J1866" i="26" s="1"/>
  <c r="C1866" i="26"/>
  <c r="N1865" i="26"/>
  <c r="O1865" i="26" s="1"/>
  <c r="L1865" i="26"/>
  <c r="J1865" i="26"/>
  <c r="I1865" i="26"/>
  <c r="C1865" i="26"/>
  <c r="N1864" i="26"/>
  <c r="O1864" i="26" s="1"/>
  <c r="P1864" i="26" s="1"/>
  <c r="M1864" i="26" s="1"/>
  <c r="L1864" i="26"/>
  <c r="I1864" i="26"/>
  <c r="J1864" i="26" s="1"/>
  <c r="C1864" i="26"/>
  <c r="O1863" i="26"/>
  <c r="N1863" i="26"/>
  <c r="L1863" i="26"/>
  <c r="J1863" i="26"/>
  <c r="I1863" i="26"/>
  <c r="C1863" i="26"/>
  <c r="N1862" i="26"/>
  <c r="O1862" i="26" s="1"/>
  <c r="P1862" i="26" s="1"/>
  <c r="M1862" i="26" s="1"/>
  <c r="L1862" i="26"/>
  <c r="I1862" i="26"/>
  <c r="J1862" i="26" s="1"/>
  <c r="C1862" i="26"/>
  <c r="O1861" i="26"/>
  <c r="N1861" i="26"/>
  <c r="L1861" i="26"/>
  <c r="I1861" i="26"/>
  <c r="J1861" i="26" s="1"/>
  <c r="C1861" i="26"/>
  <c r="N1860" i="26"/>
  <c r="O1860" i="26" s="1"/>
  <c r="P1860" i="26" s="1"/>
  <c r="M1860" i="26" s="1"/>
  <c r="L1860" i="26"/>
  <c r="I1860" i="26"/>
  <c r="J1860" i="26" s="1"/>
  <c r="C1860" i="26"/>
  <c r="O1859" i="26"/>
  <c r="P1859" i="26" s="1"/>
  <c r="N1859" i="26"/>
  <c r="M1859" i="26"/>
  <c r="L1859" i="26"/>
  <c r="J1859" i="26"/>
  <c r="I1859" i="26"/>
  <c r="C1859" i="26"/>
  <c r="N1858" i="26"/>
  <c r="O1858" i="26" s="1"/>
  <c r="P1858" i="26" s="1"/>
  <c r="M1858" i="26" s="1"/>
  <c r="L1858" i="26"/>
  <c r="I1858" i="26"/>
  <c r="J1858" i="26" s="1"/>
  <c r="C1858" i="26"/>
  <c r="N1857" i="26"/>
  <c r="O1857" i="26" s="1"/>
  <c r="P1857" i="26" s="1"/>
  <c r="M1857" i="26" s="1"/>
  <c r="L1857" i="26"/>
  <c r="J1857" i="26"/>
  <c r="I1857" i="26"/>
  <c r="C1857" i="26"/>
  <c r="N1856" i="26"/>
  <c r="O1856" i="26" s="1"/>
  <c r="P1856" i="26" s="1"/>
  <c r="M1856" i="26" s="1"/>
  <c r="L1856" i="26"/>
  <c r="I1856" i="26"/>
  <c r="J1856" i="26" s="1"/>
  <c r="C1856" i="26"/>
  <c r="O1855" i="26"/>
  <c r="N1855" i="26"/>
  <c r="L1855" i="26"/>
  <c r="J1855" i="26"/>
  <c r="I1855" i="26"/>
  <c r="C1855" i="26"/>
  <c r="N1854" i="26"/>
  <c r="O1854" i="26" s="1"/>
  <c r="P1854" i="26" s="1"/>
  <c r="M1854" i="26" s="1"/>
  <c r="L1854" i="26"/>
  <c r="I1854" i="26"/>
  <c r="J1854" i="26" s="1"/>
  <c r="C1854" i="26"/>
  <c r="O1853" i="26"/>
  <c r="N1853" i="26"/>
  <c r="L1853" i="26"/>
  <c r="I1853" i="26"/>
  <c r="J1853" i="26" s="1"/>
  <c r="C1853" i="26"/>
  <c r="N1852" i="26"/>
  <c r="O1852" i="26" s="1"/>
  <c r="P1852" i="26" s="1"/>
  <c r="M1852" i="26" s="1"/>
  <c r="L1852" i="26"/>
  <c r="I1852" i="26"/>
  <c r="J1852" i="26" s="1"/>
  <c r="C1852" i="26"/>
  <c r="O1851" i="26"/>
  <c r="P1851" i="26" s="1"/>
  <c r="N1851" i="26"/>
  <c r="M1851" i="26"/>
  <c r="L1851" i="26"/>
  <c r="J1851" i="26"/>
  <c r="I1851" i="26"/>
  <c r="C1851" i="26"/>
  <c r="N1850" i="26"/>
  <c r="O1850" i="26" s="1"/>
  <c r="P1850" i="26" s="1"/>
  <c r="M1850" i="26" s="1"/>
  <c r="L1850" i="26"/>
  <c r="I1850" i="26"/>
  <c r="J1850" i="26" s="1"/>
  <c r="C1850" i="26"/>
  <c r="N1849" i="26"/>
  <c r="O1849" i="26" s="1"/>
  <c r="L1849" i="26"/>
  <c r="J1849" i="26"/>
  <c r="I1849" i="26"/>
  <c r="C1849" i="26"/>
  <c r="N1848" i="26"/>
  <c r="O1848" i="26" s="1"/>
  <c r="P1848" i="26" s="1"/>
  <c r="M1848" i="26" s="1"/>
  <c r="L1848" i="26"/>
  <c r="I1848" i="26"/>
  <c r="J1848" i="26" s="1"/>
  <c r="C1848" i="26"/>
  <c r="O1847" i="26"/>
  <c r="N1847" i="26"/>
  <c r="L1847" i="26"/>
  <c r="J1847" i="26"/>
  <c r="I1847" i="26"/>
  <c r="C1847" i="26"/>
  <c r="N1846" i="26"/>
  <c r="O1846" i="26" s="1"/>
  <c r="P1846" i="26" s="1"/>
  <c r="M1846" i="26" s="1"/>
  <c r="L1846" i="26"/>
  <c r="I1846" i="26"/>
  <c r="J1846" i="26" s="1"/>
  <c r="C1846" i="26"/>
  <c r="O1845" i="26"/>
  <c r="P1845" i="26" s="1"/>
  <c r="N1845" i="26"/>
  <c r="M1845" i="26"/>
  <c r="L1845" i="26"/>
  <c r="I1845" i="26"/>
  <c r="J1845" i="26" s="1"/>
  <c r="C1845" i="26"/>
  <c r="N1844" i="26"/>
  <c r="O1844" i="26" s="1"/>
  <c r="P1844" i="26" s="1"/>
  <c r="M1844" i="26" s="1"/>
  <c r="L1844" i="26"/>
  <c r="I1844" i="26"/>
  <c r="J1844" i="26" s="1"/>
  <c r="C1844" i="26"/>
  <c r="O1843" i="26"/>
  <c r="P1843" i="26" s="1"/>
  <c r="N1843" i="26"/>
  <c r="M1843" i="26"/>
  <c r="L1843" i="26"/>
  <c r="J1843" i="26"/>
  <c r="I1843" i="26"/>
  <c r="C1843" i="26"/>
  <c r="N1842" i="26"/>
  <c r="O1842" i="26" s="1"/>
  <c r="P1842" i="26" s="1"/>
  <c r="M1842" i="26" s="1"/>
  <c r="L1842" i="26"/>
  <c r="I1842" i="26"/>
  <c r="J1842" i="26" s="1"/>
  <c r="C1842" i="26"/>
  <c r="N1841" i="26"/>
  <c r="O1841" i="26" s="1"/>
  <c r="L1841" i="26"/>
  <c r="J1841" i="26"/>
  <c r="I1841" i="26"/>
  <c r="C1841" i="26"/>
  <c r="N1840" i="26"/>
  <c r="O1840" i="26" s="1"/>
  <c r="P1840" i="26" s="1"/>
  <c r="M1840" i="26" s="1"/>
  <c r="L1840" i="26"/>
  <c r="I1840" i="26"/>
  <c r="J1840" i="26" s="1"/>
  <c r="C1840" i="26"/>
  <c r="O1839" i="26"/>
  <c r="N1839" i="26"/>
  <c r="L1839" i="26"/>
  <c r="J1839" i="26"/>
  <c r="I1839" i="26"/>
  <c r="C1839" i="26"/>
  <c r="N1838" i="26"/>
  <c r="O1838" i="26" s="1"/>
  <c r="P1838" i="26" s="1"/>
  <c r="M1838" i="26" s="1"/>
  <c r="L1838" i="26"/>
  <c r="I1838" i="26"/>
  <c r="J1838" i="26" s="1"/>
  <c r="C1838" i="26"/>
  <c r="O1837" i="26"/>
  <c r="P1837" i="26" s="1"/>
  <c r="N1837" i="26"/>
  <c r="M1837" i="26"/>
  <c r="L1837" i="26"/>
  <c r="I1837" i="26"/>
  <c r="J1837" i="26" s="1"/>
  <c r="C1837" i="26"/>
  <c r="N1836" i="26"/>
  <c r="O1836" i="26" s="1"/>
  <c r="P1836" i="26" s="1"/>
  <c r="M1836" i="26" s="1"/>
  <c r="L1836" i="26"/>
  <c r="I1836" i="26"/>
  <c r="J1836" i="26" s="1"/>
  <c r="C1836" i="26"/>
  <c r="O1835" i="26"/>
  <c r="P1835" i="26" s="1"/>
  <c r="M1835" i="26" s="1"/>
  <c r="N1835" i="26"/>
  <c r="L1835" i="26"/>
  <c r="J1835" i="26"/>
  <c r="I1835" i="26"/>
  <c r="C1835" i="26"/>
  <c r="N1834" i="26"/>
  <c r="O1834" i="26" s="1"/>
  <c r="P1834" i="26" s="1"/>
  <c r="M1834" i="26" s="1"/>
  <c r="L1834" i="26"/>
  <c r="I1834" i="26"/>
  <c r="J1834" i="26" s="1"/>
  <c r="C1834" i="26"/>
  <c r="N1833" i="26"/>
  <c r="O1833" i="26" s="1"/>
  <c r="L1833" i="26"/>
  <c r="J1833" i="26"/>
  <c r="I1833" i="26"/>
  <c r="C1833" i="26"/>
  <c r="N1832" i="26"/>
  <c r="O1832" i="26" s="1"/>
  <c r="P1832" i="26" s="1"/>
  <c r="M1832" i="26" s="1"/>
  <c r="L1832" i="26"/>
  <c r="I1832" i="26"/>
  <c r="J1832" i="26" s="1"/>
  <c r="C1832" i="26"/>
  <c r="O1831" i="26"/>
  <c r="P1831" i="26" s="1"/>
  <c r="M1831" i="26" s="1"/>
  <c r="N1831" i="26"/>
  <c r="L1831" i="26"/>
  <c r="J1831" i="26"/>
  <c r="I1831" i="26"/>
  <c r="C1831" i="26"/>
  <c r="N1830" i="26"/>
  <c r="O1830" i="26" s="1"/>
  <c r="P1830" i="26" s="1"/>
  <c r="M1830" i="26" s="1"/>
  <c r="L1830" i="26"/>
  <c r="I1830" i="26"/>
  <c r="J1830" i="26" s="1"/>
  <c r="C1830" i="26"/>
  <c r="O1829" i="26"/>
  <c r="N1829" i="26"/>
  <c r="L1829" i="26"/>
  <c r="I1829" i="26"/>
  <c r="J1829" i="26" s="1"/>
  <c r="C1829" i="26"/>
  <c r="N1828" i="26"/>
  <c r="O1828" i="26" s="1"/>
  <c r="P1828" i="26" s="1"/>
  <c r="M1828" i="26" s="1"/>
  <c r="L1828" i="26"/>
  <c r="I1828" i="26"/>
  <c r="J1828" i="26" s="1"/>
  <c r="C1828" i="26"/>
  <c r="O1827" i="26"/>
  <c r="P1827" i="26" s="1"/>
  <c r="M1827" i="26" s="1"/>
  <c r="N1827" i="26"/>
  <c r="L1827" i="26"/>
  <c r="J1827" i="26"/>
  <c r="I1827" i="26"/>
  <c r="C1827" i="26"/>
  <c r="N1826" i="26"/>
  <c r="O1826" i="26" s="1"/>
  <c r="P1826" i="26" s="1"/>
  <c r="M1826" i="26" s="1"/>
  <c r="L1826" i="26"/>
  <c r="I1826" i="26"/>
  <c r="J1826" i="26" s="1"/>
  <c r="C1826" i="26"/>
  <c r="N1825" i="26"/>
  <c r="O1825" i="26" s="1"/>
  <c r="L1825" i="26"/>
  <c r="J1825" i="26"/>
  <c r="I1825" i="26"/>
  <c r="C1825" i="26"/>
  <c r="N1824" i="26"/>
  <c r="O1824" i="26" s="1"/>
  <c r="P1824" i="26" s="1"/>
  <c r="M1824" i="26" s="1"/>
  <c r="L1824" i="26"/>
  <c r="I1824" i="26"/>
  <c r="J1824" i="26" s="1"/>
  <c r="C1824" i="26"/>
  <c r="O1823" i="26"/>
  <c r="P1823" i="26" s="1"/>
  <c r="M1823" i="26" s="1"/>
  <c r="N1823" i="26"/>
  <c r="L1823" i="26"/>
  <c r="J1823" i="26"/>
  <c r="I1823" i="26"/>
  <c r="C1823" i="26"/>
  <c r="N1822" i="26"/>
  <c r="O1822" i="26" s="1"/>
  <c r="P1822" i="26" s="1"/>
  <c r="M1822" i="26" s="1"/>
  <c r="L1822" i="26"/>
  <c r="I1822" i="26"/>
  <c r="J1822" i="26" s="1"/>
  <c r="C1822" i="26"/>
  <c r="O1821" i="26"/>
  <c r="P1821" i="26" s="1"/>
  <c r="M1821" i="26" s="1"/>
  <c r="N1821" i="26"/>
  <c r="L1821" i="26"/>
  <c r="I1821" i="26"/>
  <c r="J1821" i="26" s="1"/>
  <c r="C1821" i="26"/>
  <c r="N1820" i="26"/>
  <c r="O1820" i="26" s="1"/>
  <c r="P1820" i="26" s="1"/>
  <c r="M1820" i="26" s="1"/>
  <c r="L1820" i="26"/>
  <c r="I1820" i="26"/>
  <c r="J1820" i="26" s="1"/>
  <c r="C1820" i="26"/>
  <c r="N1819" i="26"/>
  <c r="O1819" i="26" s="1"/>
  <c r="P1819" i="26" s="1"/>
  <c r="M1819" i="26" s="1"/>
  <c r="L1819" i="26"/>
  <c r="I1819" i="26"/>
  <c r="J1819" i="26" s="1"/>
  <c r="C1819" i="26"/>
  <c r="N1818" i="26"/>
  <c r="O1818" i="26" s="1"/>
  <c r="P1818" i="26" s="1"/>
  <c r="M1818" i="26" s="1"/>
  <c r="L1818" i="26"/>
  <c r="I1818" i="26"/>
  <c r="J1818" i="26" s="1"/>
  <c r="C1818" i="26"/>
  <c r="N1817" i="26"/>
  <c r="O1817" i="26" s="1"/>
  <c r="P1817" i="26" s="1"/>
  <c r="M1817" i="26" s="1"/>
  <c r="L1817" i="26"/>
  <c r="I1817" i="26"/>
  <c r="J1817" i="26" s="1"/>
  <c r="C1817" i="26"/>
  <c r="P1816" i="26"/>
  <c r="M1816" i="26" s="1"/>
  <c r="N1816" i="26"/>
  <c r="O1816" i="26" s="1"/>
  <c r="L1816" i="26"/>
  <c r="I1816" i="26"/>
  <c r="J1816" i="26" s="1"/>
  <c r="C1816" i="26"/>
  <c r="P1815" i="26"/>
  <c r="M1815" i="26" s="1"/>
  <c r="N1815" i="26"/>
  <c r="O1815" i="26" s="1"/>
  <c r="L1815" i="26"/>
  <c r="I1815" i="26"/>
  <c r="J1815" i="26" s="1"/>
  <c r="C1815" i="26"/>
  <c r="N1814" i="26"/>
  <c r="O1814" i="26" s="1"/>
  <c r="P1814" i="26" s="1"/>
  <c r="M1814" i="26" s="1"/>
  <c r="L1814" i="26"/>
  <c r="I1814" i="26"/>
  <c r="J1814" i="26" s="1"/>
  <c r="C1814" i="26"/>
  <c r="P1813" i="26"/>
  <c r="M1813" i="26" s="1"/>
  <c r="N1813" i="26"/>
  <c r="O1813" i="26" s="1"/>
  <c r="L1813" i="26"/>
  <c r="I1813" i="26"/>
  <c r="J1813" i="26" s="1"/>
  <c r="C1813" i="26"/>
  <c r="N1812" i="26"/>
  <c r="O1812" i="26" s="1"/>
  <c r="P1812" i="26" s="1"/>
  <c r="M1812" i="26" s="1"/>
  <c r="L1812" i="26"/>
  <c r="I1812" i="26"/>
  <c r="J1812" i="26" s="1"/>
  <c r="C1812" i="26"/>
  <c r="N1811" i="26"/>
  <c r="O1811" i="26" s="1"/>
  <c r="P1811" i="26" s="1"/>
  <c r="M1811" i="26" s="1"/>
  <c r="L1811" i="26"/>
  <c r="I1811" i="26"/>
  <c r="J1811" i="26" s="1"/>
  <c r="C1811" i="26"/>
  <c r="N1810" i="26"/>
  <c r="O1810" i="26" s="1"/>
  <c r="P1810" i="26" s="1"/>
  <c r="M1810" i="26" s="1"/>
  <c r="L1810" i="26"/>
  <c r="I1810" i="26"/>
  <c r="J1810" i="26" s="1"/>
  <c r="C1810" i="26"/>
  <c r="N1809" i="26"/>
  <c r="O1809" i="26" s="1"/>
  <c r="P1809" i="26" s="1"/>
  <c r="M1809" i="26" s="1"/>
  <c r="L1809" i="26"/>
  <c r="I1809" i="26"/>
  <c r="J1809" i="26" s="1"/>
  <c r="C1809" i="26"/>
  <c r="P1808" i="26"/>
  <c r="M1808" i="26" s="1"/>
  <c r="N1808" i="26"/>
  <c r="O1808" i="26" s="1"/>
  <c r="L1808" i="26"/>
  <c r="I1808" i="26"/>
  <c r="J1808" i="26" s="1"/>
  <c r="C1808" i="26"/>
  <c r="P1807" i="26"/>
  <c r="M1807" i="26" s="1"/>
  <c r="N1807" i="26"/>
  <c r="O1807" i="26" s="1"/>
  <c r="L1807" i="26"/>
  <c r="I1807" i="26"/>
  <c r="J1807" i="26" s="1"/>
  <c r="C1807" i="26"/>
  <c r="N1806" i="26"/>
  <c r="O1806" i="26" s="1"/>
  <c r="P1806" i="26" s="1"/>
  <c r="M1806" i="26" s="1"/>
  <c r="L1806" i="26"/>
  <c r="I1806" i="26"/>
  <c r="J1806" i="26" s="1"/>
  <c r="C1806" i="26"/>
  <c r="P1805" i="26"/>
  <c r="M1805" i="26" s="1"/>
  <c r="N1805" i="26"/>
  <c r="O1805" i="26" s="1"/>
  <c r="L1805" i="26"/>
  <c r="I1805" i="26"/>
  <c r="J1805" i="26" s="1"/>
  <c r="C1805" i="26"/>
  <c r="N1804" i="26"/>
  <c r="O1804" i="26" s="1"/>
  <c r="P1804" i="26" s="1"/>
  <c r="M1804" i="26" s="1"/>
  <c r="L1804" i="26"/>
  <c r="I1804" i="26"/>
  <c r="J1804" i="26" s="1"/>
  <c r="C1804" i="26"/>
  <c r="N1803" i="26"/>
  <c r="O1803" i="26" s="1"/>
  <c r="P1803" i="26" s="1"/>
  <c r="M1803" i="26" s="1"/>
  <c r="L1803" i="26"/>
  <c r="I1803" i="26"/>
  <c r="J1803" i="26" s="1"/>
  <c r="C1803" i="26"/>
  <c r="N1802" i="26"/>
  <c r="O1802" i="26" s="1"/>
  <c r="P1802" i="26" s="1"/>
  <c r="M1802" i="26" s="1"/>
  <c r="L1802" i="26"/>
  <c r="I1802" i="26"/>
  <c r="J1802" i="26" s="1"/>
  <c r="C1802" i="26"/>
  <c r="N1801" i="26"/>
  <c r="O1801" i="26" s="1"/>
  <c r="P1801" i="26" s="1"/>
  <c r="M1801" i="26" s="1"/>
  <c r="L1801" i="26"/>
  <c r="I1801" i="26"/>
  <c r="J1801" i="26" s="1"/>
  <c r="C1801" i="26"/>
  <c r="P1800" i="26"/>
  <c r="M1800" i="26" s="1"/>
  <c r="N1800" i="26"/>
  <c r="O1800" i="26" s="1"/>
  <c r="L1800" i="26"/>
  <c r="I1800" i="26"/>
  <c r="J1800" i="26" s="1"/>
  <c r="C1800" i="26"/>
  <c r="P1799" i="26"/>
  <c r="M1799" i="26" s="1"/>
  <c r="N1799" i="26"/>
  <c r="O1799" i="26" s="1"/>
  <c r="L1799" i="26"/>
  <c r="I1799" i="26"/>
  <c r="J1799" i="26" s="1"/>
  <c r="C1799" i="26"/>
  <c r="N1798" i="26"/>
  <c r="O1798" i="26" s="1"/>
  <c r="P1798" i="26" s="1"/>
  <c r="M1798" i="26" s="1"/>
  <c r="L1798" i="26"/>
  <c r="I1798" i="26"/>
  <c r="J1798" i="26" s="1"/>
  <c r="C1798" i="26"/>
  <c r="P1797" i="26"/>
  <c r="M1797" i="26" s="1"/>
  <c r="N1797" i="26"/>
  <c r="O1797" i="26" s="1"/>
  <c r="L1797" i="26"/>
  <c r="I1797" i="26"/>
  <c r="J1797" i="26" s="1"/>
  <c r="C1797" i="26"/>
  <c r="N1796" i="26"/>
  <c r="O1796" i="26" s="1"/>
  <c r="P1796" i="26" s="1"/>
  <c r="M1796" i="26" s="1"/>
  <c r="L1796" i="26"/>
  <c r="I1796" i="26"/>
  <c r="J1796" i="26" s="1"/>
  <c r="C1796" i="26"/>
  <c r="N1795" i="26"/>
  <c r="O1795" i="26" s="1"/>
  <c r="P1795" i="26" s="1"/>
  <c r="M1795" i="26" s="1"/>
  <c r="L1795" i="26"/>
  <c r="I1795" i="26"/>
  <c r="J1795" i="26" s="1"/>
  <c r="C1795" i="26"/>
  <c r="N1794" i="26"/>
  <c r="O1794" i="26" s="1"/>
  <c r="P1794" i="26" s="1"/>
  <c r="M1794" i="26" s="1"/>
  <c r="L1794" i="26"/>
  <c r="I1794" i="26"/>
  <c r="J1794" i="26" s="1"/>
  <c r="C1794" i="26"/>
  <c r="N1793" i="26"/>
  <c r="O1793" i="26" s="1"/>
  <c r="P1793" i="26" s="1"/>
  <c r="M1793" i="26" s="1"/>
  <c r="L1793" i="26"/>
  <c r="I1793" i="26"/>
  <c r="J1793" i="26" s="1"/>
  <c r="C1793" i="26"/>
  <c r="P1792" i="26"/>
  <c r="M1792" i="26" s="1"/>
  <c r="N1792" i="26"/>
  <c r="O1792" i="26" s="1"/>
  <c r="L1792" i="26"/>
  <c r="I1792" i="26"/>
  <c r="J1792" i="26" s="1"/>
  <c r="C1792" i="26"/>
  <c r="P1791" i="26"/>
  <c r="M1791" i="26" s="1"/>
  <c r="N1791" i="26"/>
  <c r="O1791" i="26" s="1"/>
  <c r="L1791" i="26"/>
  <c r="I1791" i="26"/>
  <c r="J1791" i="26" s="1"/>
  <c r="C1791" i="26"/>
  <c r="N1790" i="26"/>
  <c r="O1790" i="26" s="1"/>
  <c r="P1790" i="26" s="1"/>
  <c r="M1790" i="26" s="1"/>
  <c r="L1790" i="26"/>
  <c r="I1790" i="26"/>
  <c r="J1790" i="26" s="1"/>
  <c r="C1790" i="26"/>
  <c r="P1789" i="26"/>
  <c r="M1789" i="26" s="1"/>
  <c r="N1789" i="26"/>
  <c r="O1789" i="26" s="1"/>
  <c r="L1789" i="26"/>
  <c r="I1789" i="26"/>
  <c r="J1789" i="26" s="1"/>
  <c r="C1789" i="26"/>
  <c r="N1788" i="26"/>
  <c r="O1788" i="26" s="1"/>
  <c r="P1788" i="26" s="1"/>
  <c r="M1788" i="26" s="1"/>
  <c r="L1788" i="26"/>
  <c r="I1788" i="26"/>
  <c r="J1788" i="26" s="1"/>
  <c r="C1788" i="26"/>
  <c r="N1787" i="26"/>
  <c r="O1787" i="26" s="1"/>
  <c r="P1787" i="26" s="1"/>
  <c r="M1787" i="26" s="1"/>
  <c r="L1787" i="26"/>
  <c r="I1787" i="26"/>
  <c r="J1787" i="26" s="1"/>
  <c r="C1787" i="26"/>
  <c r="N1786" i="26"/>
  <c r="O1786" i="26" s="1"/>
  <c r="P1786" i="26" s="1"/>
  <c r="M1786" i="26" s="1"/>
  <c r="L1786" i="26"/>
  <c r="I1786" i="26"/>
  <c r="J1786" i="26" s="1"/>
  <c r="C1786" i="26"/>
  <c r="N1785" i="26"/>
  <c r="O1785" i="26" s="1"/>
  <c r="P1785" i="26" s="1"/>
  <c r="M1785" i="26" s="1"/>
  <c r="L1785" i="26"/>
  <c r="I1785" i="26"/>
  <c r="J1785" i="26" s="1"/>
  <c r="C1785" i="26"/>
  <c r="N1784" i="26"/>
  <c r="O1784" i="26" s="1"/>
  <c r="L1784" i="26"/>
  <c r="I1784" i="26"/>
  <c r="J1784" i="26" s="1"/>
  <c r="C1784" i="26"/>
  <c r="P1784" i="26" s="1"/>
  <c r="M1784" i="26" s="1"/>
  <c r="P1783" i="26"/>
  <c r="M1783" i="26" s="1"/>
  <c r="N1783" i="26"/>
  <c r="O1783" i="26" s="1"/>
  <c r="L1783" i="26"/>
  <c r="I1783" i="26"/>
  <c r="J1783" i="26" s="1"/>
  <c r="C1783" i="26"/>
  <c r="N1782" i="26"/>
  <c r="O1782" i="26" s="1"/>
  <c r="P1782" i="26" s="1"/>
  <c r="M1782" i="26" s="1"/>
  <c r="L1782" i="26"/>
  <c r="I1782" i="26"/>
  <c r="J1782" i="26" s="1"/>
  <c r="C1782" i="26"/>
  <c r="P1781" i="26"/>
  <c r="M1781" i="26" s="1"/>
  <c r="N1781" i="26"/>
  <c r="O1781" i="26" s="1"/>
  <c r="L1781" i="26"/>
  <c r="I1781" i="26"/>
  <c r="J1781" i="26" s="1"/>
  <c r="C1781" i="26"/>
  <c r="N1780" i="26"/>
  <c r="O1780" i="26" s="1"/>
  <c r="P1780" i="26" s="1"/>
  <c r="M1780" i="26" s="1"/>
  <c r="L1780" i="26"/>
  <c r="I1780" i="26"/>
  <c r="J1780" i="26" s="1"/>
  <c r="C1780" i="26"/>
  <c r="N1779" i="26"/>
  <c r="O1779" i="26" s="1"/>
  <c r="P1779" i="26" s="1"/>
  <c r="M1779" i="26" s="1"/>
  <c r="L1779" i="26"/>
  <c r="I1779" i="26"/>
  <c r="J1779" i="26" s="1"/>
  <c r="C1779" i="26"/>
  <c r="N1778" i="26"/>
  <c r="O1778" i="26" s="1"/>
  <c r="P1778" i="26" s="1"/>
  <c r="M1778" i="26" s="1"/>
  <c r="L1778" i="26"/>
  <c r="I1778" i="26"/>
  <c r="J1778" i="26" s="1"/>
  <c r="C1778" i="26"/>
  <c r="N1777" i="26"/>
  <c r="O1777" i="26" s="1"/>
  <c r="P1777" i="26" s="1"/>
  <c r="M1777" i="26" s="1"/>
  <c r="L1777" i="26"/>
  <c r="I1777" i="26"/>
  <c r="J1777" i="26" s="1"/>
  <c r="C1777" i="26"/>
  <c r="P1776" i="26"/>
  <c r="M1776" i="26" s="1"/>
  <c r="N1776" i="26"/>
  <c r="O1776" i="26" s="1"/>
  <c r="L1776" i="26"/>
  <c r="I1776" i="26"/>
  <c r="J1776" i="26" s="1"/>
  <c r="C1776" i="26"/>
  <c r="P1775" i="26"/>
  <c r="M1775" i="26" s="1"/>
  <c r="N1775" i="26"/>
  <c r="O1775" i="26" s="1"/>
  <c r="L1775" i="26"/>
  <c r="I1775" i="26"/>
  <c r="J1775" i="26" s="1"/>
  <c r="C1775" i="26"/>
  <c r="N1774" i="26"/>
  <c r="O1774" i="26" s="1"/>
  <c r="P1774" i="26" s="1"/>
  <c r="M1774" i="26" s="1"/>
  <c r="L1774" i="26"/>
  <c r="I1774" i="26"/>
  <c r="J1774" i="26" s="1"/>
  <c r="C1774" i="26"/>
  <c r="P1773" i="26"/>
  <c r="M1773" i="26" s="1"/>
  <c r="N1773" i="26"/>
  <c r="O1773" i="26" s="1"/>
  <c r="L1773" i="26"/>
  <c r="I1773" i="26"/>
  <c r="J1773" i="26" s="1"/>
  <c r="C1773" i="26"/>
  <c r="N1772" i="26"/>
  <c r="O1772" i="26" s="1"/>
  <c r="P1772" i="26" s="1"/>
  <c r="M1772" i="26" s="1"/>
  <c r="L1772" i="26"/>
  <c r="I1772" i="26"/>
  <c r="J1772" i="26" s="1"/>
  <c r="C1772" i="26"/>
  <c r="N1771" i="26"/>
  <c r="O1771" i="26" s="1"/>
  <c r="P1771" i="26" s="1"/>
  <c r="M1771" i="26" s="1"/>
  <c r="L1771" i="26"/>
  <c r="I1771" i="26"/>
  <c r="J1771" i="26" s="1"/>
  <c r="C1771" i="26"/>
  <c r="N1770" i="26"/>
  <c r="O1770" i="26" s="1"/>
  <c r="P1770" i="26" s="1"/>
  <c r="M1770" i="26" s="1"/>
  <c r="L1770" i="26"/>
  <c r="I1770" i="26"/>
  <c r="J1770" i="26" s="1"/>
  <c r="C1770" i="26"/>
  <c r="N1769" i="26"/>
  <c r="O1769" i="26" s="1"/>
  <c r="P1769" i="26" s="1"/>
  <c r="M1769" i="26" s="1"/>
  <c r="L1769" i="26"/>
  <c r="I1769" i="26"/>
  <c r="J1769" i="26" s="1"/>
  <c r="C1769" i="26"/>
  <c r="P1768" i="26"/>
  <c r="M1768" i="26" s="1"/>
  <c r="N1768" i="26"/>
  <c r="O1768" i="26" s="1"/>
  <c r="L1768" i="26"/>
  <c r="I1768" i="26"/>
  <c r="J1768" i="26" s="1"/>
  <c r="C1768" i="26"/>
  <c r="P1767" i="26"/>
  <c r="M1767" i="26" s="1"/>
  <c r="N1767" i="26"/>
  <c r="O1767" i="26" s="1"/>
  <c r="L1767" i="26"/>
  <c r="I1767" i="26"/>
  <c r="J1767" i="26" s="1"/>
  <c r="C1767" i="26"/>
  <c r="N1766" i="26"/>
  <c r="O1766" i="26" s="1"/>
  <c r="P1766" i="26" s="1"/>
  <c r="M1766" i="26" s="1"/>
  <c r="L1766" i="26"/>
  <c r="I1766" i="26"/>
  <c r="J1766" i="26" s="1"/>
  <c r="C1766" i="26"/>
  <c r="P1765" i="26"/>
  <c r="M1765" i="26" s="1"/>
  <c r="N1765" i="26"/>
  <c r="O1765" i="26" s="1"/>
  <c r="L1765" i="26"/>
  <c r="I1765" i="26"/>
  <c r="J1765" i="26" s="1"/>
  <c r="C1765" i="26"/>
  <c r="N1764" i="26"/>
  <c r="O1764" i="26" s="1"/>
  <c r="P1764" i="26" s="1"/>
  <c r="M1764" i="26" s="1"/>
  <c r="L1764" i="26"/>
  <c r="I1764" i="26"/>
  <c r="J1764" i="26" s="1"/>
  <c r="C1764" i="26"/>
  <c r="N1763" i="26"/>
  <c r="O1763" i="26" s="1"/>
  <c r="P1763" i="26" s="1"/>
  <c r="M1763" i="26" s="1"/>
  <c r="L1763" i="26"/>
  <c r="I1763" i="26"/>
  <c r="J1763" i="26" s="1"/>
  <c r="C1763" i="26"/>
  <c r="N1762" i="26"/>
  <c r="O1762" i="26" s="1"/>
  <c r="P1762" i="26" s="1"/>
  <c r="M1762" i="26" s="1"/>
  <c r="L1762" i="26"/>
  <c r="I1762" i="26"/>
  <c r="J1762" i="26" s="1"/>
  <c r="C1762" i="26"/>
  <c r="N1761" i="26"/>
  <c r="O1761" i="26" s="1"/>
  <c r="P1761" i="26" s="1"/>
  <c r="M1761" i="26" s="1"/>
  <c r="L1761" i="26"/>
  <c r="I1761" i="26"/>
  <c r="J1761" i="26" s="1"/>
  <c r="C1761" i="26"/>
  <c r="N1760" i="26"/>
  <c r="O1760" i="26" s="1"/>
  <c r="P1760" i="26" s="1"/>
  <c r="M1760" i="26" s="1"/>
  <c r="L1760" i="26"/>
  <c r="J1760" i="26"/>
  <c r="C1760" i="26"/>
  <c r="P1759" i="26"/>
  <c r="M1759" i="26" s="1"/>
  <c r="O1759" i="26"/>
  <c r="N1759" i="26"/>
  <c r="L1759" i="26"/>
  <c r="J1759" i="26"/>
  <c r="I1759" i="26"/>
  <c r="C1759" i="26"/>
  <c r="P1758" i="26"/>
  <c r="M1758" i="26" s="1"/>
  <c r="O1758" i="26"/>
  <c r="N1758" i="26"/>
  <c r="L1758" i="26"/>
  <c r="J1758" i="26"/>
  <c r="I1758" i="26"/>
  <c r="C1758" i="26"/>
  <c r="P1757" i="26"/>
  <c r="M1757" i="26" s="1"/>
  <c r="O1757" i="26"/>
  <c r="N1757" i="26"/>
  <c r="L1757" i="26"/>
  <c r="J1757" i="26"/>
  <c r="I1757" i="26"/>
  <c r="C1757" i="26"/>
  <c r="O1756" i="26"/>
  <c r="N1756" i="26"/>
  <c r="L1756" i="26"/>
  <c r="J1756" i="26"/>
  <c r="I1756" i="26"/>
  <c r="C1756" i="26"/>
  <c r="P1756" i="26" s="1"/>
  <c r="M1756" i="26" s="1"/>
  <c r="O1755" i="26"/>
  <c r="N1755" i="26"/>
  <c r="L1755" i="26"/>
  <c r="J1755" i="26"/>
  <c r="I1755" i="26"/>
  <c r="C1755" i="26"/>
  <c r="P1755" i="26" s="1"/>
  <c r="M1755" i="26" s="1"/>
  <c r="O1754" i="26"/>
  <c r="N1754" i="26"/>
  <c r="L1754" i="26"/>
  <c r="J1754" i="26"/>
  <c r="I1754" i="26"/>
  <c r="C1754" i="26"/>
  <c r="P1754" i="26" s="1"/>
  <c r="M1754" i="26" s="1"/>
  <c r="O1753" i="26"/>
  <c r="N1753" i="26"/>
  <c r="L1753" i="26"/>
  <c r="J1753" i="26"/>
  <c r="I1753" i="26"/>
  <c r="C1753" i="26"/>
  <c r="P1753" i="26" s="1"/>
  <c r="M1753" i="26" s="1"/>
  <c r="O1752" i="26"/>
  <c r="N1752" i="26"/>
  <c r="L1752" i="26"/>
  <c r="J1752" i="26"/>
  <c r="I1752" i="26"/>
  <c r="C1752" i="26"/>
  <c r="P1752" i="26" s="1"/>
  <c r="M1752" i="26" s="1"/>
  <c r="O1751" i="26"/>
  <c r="N1751" i="26"/>
  <c r="L1751" i="26"/>
  <c r="J1751" i="26"/>
  <c r="I1751" i="26"/>
  <c r="C1751" i="26"/>
  <c r="P1751" i="26" s="1"/>
  <c r="M1751" i="26" s="1"/>
  <c r="O1750" i="26"/>
  <c r="N1750" i="26"/>
  <c r="L1750" i="26"/>
  <c r="J1750" i="26"/>
  <c r="I1750" i="26"/>
  <c r="C1750" i="26"/>
  <c r="P1750" i="26" s="1"/>
  <c r="M1750" i="26" s="1"/>
  <c r="O1749" i="26"/>
  <c r="N1749" i="26"/>
  <c r="L1749" i="26"/>
  <c r="J1749" i="26"/>
  <c r="I1749" i="26"/>
  <c r="C1749" i="26"/>
  <c r="P1749" i="26" s="1"/>
  <c r="M1749" i="26" s="1"/>
  <c r="O1748" i="26"/>
  <c r="N1748" i="26"/>
  <c r="L1748" i="26"/>
  <c r="J1748" i="26"/>
  <c r="I1748" i="26"/>
  <c r="C1748" i="26"/>
  <c r="P1748" i="26" s="1"/>
  <c r="M1748" i="26" s="1"/>
  <c r="O1747" i="26"/>
  <c r="N1747" i="26"/>
  <c r="L1747" i="26"/>
  <c r="J1747" i="26"/>
  <c r="I1747" i="26"/>
  <c r="C1747" i="26"/>
  <c r="P1747" i="26" s="1"/>
  <c r="M1747" i="26" s="1"/>
  <c r="O1746" i="26"/>
  <c r="N1746" i="26"/>
  <c r="L1746" i="26"/>
  <c r="J1746" i="26"/>
  <c r="I1746" i="26"/>
  <c r="C1746" i="26"/>
  <c r="P1746" i="26" s="1"/>
  <c r="M1746" i="26" s="1"/>
  <c r="N1745" i="26"/>
  <c r="O1745" i="26" s="1"/>
  <c r="P1745" i="26" s="1"/>
  <c r="M1745" i="26" s="1"/>
  <c r="L1745" i="26"/>
  <c r="J1745" i="26"/>
  <c r="I1745" i="26"/>
  <c r="C1745" i="26"/>
  <c r="N1744" i="26"/>
  <c r="O1744" i="26" s="1"/>
  <c r="P1744" i="26" s="1"/>
  <c r="M1744" i="26" s="1"/>
  <c r="L1744" i="26"/>
  <c r="J1744" i="26"/>
  <c r="I1744" i="26"/>
  <c r="C1744" i="26"/>
  <c r="N1743" i="26"/>
  <c r="O1743" i="26" s="1"/>
  <c r="P1743" i="26" s="1"/>
  <c r="M1743" i="26" s="1"/>
  <c r="L1743" i="26"/>
  <c r="J1743" i="26"/>
  <c r="I1743" i="26"/>
  <c r="C1743" i="26"/>
  <c r="N1742" i="26"/>
  <c r="O1742" i="26" s="1"/>
  <c r="P1742" i="26" s="1"/>
  <c r="M1742" i="26" s="1"/>
  <c r="L1742" i="26"/>
  <c r="J1742" i="26"/>
  <c r="I1742" i="26"/>
  <c r="C1742" i="26"/>
  <c r="N1741" i="26"/>
  <c r="O1741" i="26" s="1"/>
  <c r="P1741" i="26" s="1"/>
  <c r="M1741" i="26" s="1"/>
  <c r="L1741" i="26"/>
  <c r="J1741" i="26"/>
  <c r="I1741" i="26"/>
  <c r="C1741" i="26"/>
  <c r="N1740" i="26"/>
  <c r="O1740" i="26" s="1"/>
  <c r="P1740" i="26" s="1"/>
  <c r="M1740" i="26" s="1"/>
  <c r="L1740" i="26"/>
  <c r="J1740" i="26"/>
  <c r="I1740" i="26"/>
  <c r="C1740" i="26"/>
  <c r="N1739" i="26"/>
  <c r="O1739" i="26" s="1"/>
  <c r="P1739" i="26" s="1"/>
  <c r="M1739" i="26" s="1"/>
  <c r="L1739" i="26"/>
  <c r="J1739" i="26"/>
  <c r="I1739" i="26"/>
  <c r="C1739" i="26"/>
  <c r="N1738" i="26"/>
  <c r="O1738" i="26" s="1"/>
  <c r="P1738" i="26" s="1"/>
  <c r="M1738" i="26" s="1"/>
  <c r="L1738" i="26"/>
  <c r="J1738" i="26"/>
  <c r="I1738" i="26"/>
  <c r="C1738" i="26"/>
  <c r="N1737" i="26"/>
  <c r="O1737" i="26" s="1"/>
  <c r="P1737" i="26" s="1"/>
  <c r="M1737" i="26" s="1"/>
  <c r="L1737" i="26"/>
  <c r="J1737" i="26"/>
  <c r="I1737" i="26"/>
  <c r="C1737" i="26"/>
  <c r="N1736" i="26"/>
  <c r="O1736" i="26" s="1"/>
  <c r="P1736" i="26" s="1"/>
  <c r="M1736" i="26" s="1"/>
  <c r="L1736" i="26"/>
  <c r="J1736" i="26"/>
  <c r="I1736" i="26"/>
  <c r="C1736" i="26"/>
  <c r="N1735" i="26"/>
  <c r="O1735" i="26" s="1"/>
  <c r="P1735" i="26" s="1"/>
  <c r="M1735" i="26" s="1"/>
  <c r="L1735" i="26"/>
  <c r="J1735" i="26"/>
  <c r="I1735" i="26"/>
  <c r="C1735" i="26"/>
  <c r="N1734" i="26"/>
  <c r="O1734" i="26" s="1"/>
  <c r="P1734" i="26" s="1"/>
  <c r="M1734" i="26" s="1"/>
  <c r="L1734" i="26"/>
  <c r="J1734" i="26"/>
  <c r="I1734" i="26"/>
  <c r="C1734" i="26"/>
  <c r="N1733" i="26"/>
  <c r="O1733" i="26" s="1"/>
  <c r="P1733" i="26" s="1"/>
  <c r="M1733" i="26" s="1"/>
  <c r="L1733" i="26"/>
  <c r="J1733" i="26"/>
  <c r="I1733" i="26"/>
  <c r="C1733" i="26"/>
  <c r="N1732" i="26"/>
  <c r="O1732" i="26" s="1"/>
  <c r="P1732" i="26" s="1"/>
  <c r="M1732" i="26" s="1"/>
  <c r="L1732" i="26"/>
  <c r="J1732" i="26"/>
  <c r="I1732" i="26"/>
  <c r="C1732" i="26"/>
  <c r="N1731" i="26"/>
  <c r="O1731" i="26" s="1"/>
  <c r="P1731" i="26" s="1"/>
  <c r="M1731" i="26" s="1"/>
  <c r="L1731" i="26"/>
  <c r="J1731" i="26"/>
  <c r="I1731" i="26"/>
  <c r="C1731" i="26"/>
  <c r="N1730" i="26"/>
  <c r="O1730" i="26" s="1"/>
  <c r="P1730" i="26" s="1"/>
  <c r="M1730" i="26" s="1"/>
  <c r="L1730" i="26"/>
  <c r="J1730" i="26"/>
  <c r="I1730" i="26"/>
  <c r="C1730" i="26"/>
  <c r="N1729" i="26"/>
  <c r="O1729" i="26" s="1"/>
  <c r="P1729" i="26" s="1"/>
  <c r="M1729" i="26" s="1"/>
  <c r="L1729" i="26"/>
  <c r="J1729" i="26"/>
  <c r="I1729" i="26"/>
  <c r="C1729" i="26"/>
  <c r="N1728" i="26"/>
  <c r="O1728" i="26" s="1"/>
  <c r="P1728" i="26" s="1"/>
  <c r="M1728" i="26" s="1"/>
  <c r="L1728" i="26"/>
  <c r="J1728" i="26"/>
  <c r="I1728" i="26"/>
  <c r="C1728" i="26"/>
  <c r="N1727" i="26"/>
  <c r="O1727" i="26" s="1"/>
  <c r="P1727" i="26" s="1"/>
  <c r="M1727" i="26" s="1"/>
  <c r="L1727" i="26"/>
  <c r="J1727" i="26"/>
  <c r="I1727" i="26"/>
  <c r="C1727" i="26"/>
  <c r="N1726" i="26"/>
  <c r="O1726" i="26" s="1"/>
  <c r="P1726" i="26" s="1"/>
  <c r="M1726" i="26" s="1"/>
  <c r="L1726" i="26"/>
  <c r="J1726" i="26"/>
  <c r="C1726" i="26"/>
  <c r="P1725" i="26"/>
  <c r="M1725" i="26" s="1"/>
  <c r="O1725" i="26"/>
  <c r="N1725" i="26"/>
  <c r="L1725" i="26"/>
  <c r="I1725" i="26"/>
  <c r="J1725" i="26" s="1"/>
  <c r="C1725" i="26"/>
  <c r="P1724" i="26"/>
  <c r="M1724" i="26" s="1"/>
  <c r="O1724" i="26"/>
  <c r="N1724" i="26"/>
  <c r="L1724" i="26"/>
  <c r="I1724" i="26"/>
  <c r="J1724" i="26" s="1"/>
  <c r="C1724" i="26"/>
  <c r="P1723" i="26"/>
  <c r="M1723" i="26" s="1"/>
  <c r="O1723" i="26"/>
  <c r="N1723" i="26"/>
  <c r="L1723" i="26"/>
  <c r="I1723" i="26"/>
  <c r="J1723" i="26" s="1"/>
  <c r="C1723" i="26"/>
  <c r="P1722" i="26"/>
  <c r="M1722" i="26" s="1"/>
  <c r="O1722" i="26"/>
  <c r="N1722" i="26"/>
  <c r="L1722" i="26"/>
  <c r="I1722" i="26"/>
  <c r="J1722" i="26" s="1"/>
  <c r="C1722" i="26"/>
  <c r="P1721" i="26"/>
  <c r="M1721" i="26" s="1"/>
  <c r="O1721" i="26"/>
  <c r="N1721" i="26"/>
  <c r="L1721" i="26"/>
  <c r="I1721" i="26"/>
  <c r="J1721" i="26" s="1"/>
  <c r="C1721" i="26"/>
  <c r="P1720" i="26"/>
  <c r="M1720" i="26" s="1"/>
  <c r="O1720" i="26"/>
  <c r="N1720" i="26"/>
  <c r="L1720" i="26"/>
  <c r="I1720" i="26"/>
  <c r="J1720" i="26" s="1"/>
  <c r="C1720" i="26"/>
  <c r="P1719" i="26"/>
  <c r="M1719" i="26" s="1"/>
  <c r="O1719" i="26"/>
  <c r="N1719" i="26"/>
  <c r="L1719" i="26"/>
  <c r="I1719" i="26"/>
  <c r="J1719" i="26" s="1"/>
  <c r="C1719" i="26"/>
  <c r="P1718" i="26"/>
  <c r="M1718" i="26" s="1"/>
  <c r="O1718" i="26"/>
  <c r="N1718" i="26"/>
  <c r="L1718" i="26"/>
  <c r="I1718" i="26"/>
  <c r="J1718" i="26" s="1"/>
  <c r="C1718" i="26"/>
  <c r="P1717" i="26"/>
  <c r="M1717" i="26" s="1"/>
  <c r="O1717" i="26"/>
  <c r="N1717" i="26"/>
  <c r="L1717" i="26"/>
  <c r="I1717" i="26"/>
  <c r="J1717" i="26" s="1"/>
  <c r="C1717" i="26"/>
  <c r="P1716" i="26"/>
  <c r="M1716" i="26" s="1"/>
  <c r="O1716" i="26"/>
  <c r="N1716" i="26"/>
  <c r="L1716" i="26"/>
  <c r="I1716" i="26"/>
  <c r="J1716" i="26" s="1"/>
  <c r="C1716" i="26"/>
  <c r="P1715" i="26"/>
  <c r="M1715" i="26" s="1"/>
  <c r="O1715" i="26"/>
  <c r="N1715" i="26"/>
  <c r="L1715" i="26"/>
  <c r="I1715" i="26"/>
  <c r="J1715" i="26" s="1"/>
  <c r="C1715" i="26"/>
  <c r="P1714" i="26"/>
  <c r="M1714" i="26" s="1"/>
  <c r="O1714" i="26"/>
  <c r="N1714" i="26"/>
  <c r="L1714" i="26"/>
  <c r="I1714" i="26"/>
  <c r="J1714" i="26" s="1"/>
  <c r="C1714" i="26"/>
  <c r="P1713" i="26"/>
  <c r="M1713" i="26" s="1"/>
  <c r="O1713" i="26"/>
  <c r="N1713" i="26"/>
  <c r="L1713" i="26"/>
  <c r="I1713" i="26"/>
  <c r="J1713" i="26" s="1"/>
  <c r="C1713" i="26"/>
  <c r="P1712" i="26"/>
  <c r="M1712" i="26" s="1"/>
  <c r="O1712" i="26"/>
  <c r="N1712" i="26"/>
  <c r="L1712" i="26"/>
  <c r="I1712" i="26"/>
  <c r="J1712" i="26" s="1"/>
  <c r="C1712" i="26"/>
  <c r="P1711" i="26"/>
  <c r="M1711" i="26" s="1"/>
  <c r="O1711" i="26"/>
  <c r="N1711" i="26"/>
  <c r="L1711" i="26"/>
  <c r="I1711" i="26"/>
  <c r="J1711" i="26" s="1"/>
  <c r="C1711" i="26"/>
  <c r="P1710" i="26"/>
  <c r="M1710" i="26" s="1"/>
  <c r="O1710" i="26"/>
  <c r="N1710" i="26"/>
  <c r="L1710" i="26"/>
  <c r="I1710" i="26"/>
  <c r="J1710" i="26" s="1"/>
  <c r="C1710" i="26"/>
  <c r="P1709" i="26"/>
  <c r="M1709" i="26" s="1"/>
  <c r="O1709" i="26"/>
  <c r="N1709" i="26"/>
  <c r="L1709" i="26"/>
  <c r="I1709" i="26"/>
  <c r="J1709" i="26" s="1"/>
  <c r="C1709" i="26"/>
  <c r="P1708" i="26"/>
  <c r="M1708" i="26" s="1"/>
  <c r="O1708" i="26"/>
  <c r="N1708" i="26"/>
  <c r="L1708" i="26"/>
  <c r="I1708" i="26"/>
  <c r="J1708" i="26" s="1"/>
  <c r="C1708" i="26"/>
  <c r="P1707" i="26"/>
  <c r="M1707" i="26" s="1"/>
  <c r="O1707" i="26"/>
  <c r="N1707" i="26"/>
  <c r="L1707" i="26"/>
  <c r="I1707" i="26"/>
  <c r="J1707" i="26" s="1"/>
  <c r="C1707" i="26"/>
  <c r="P1706" i="26"/>
  <c r="M1706" i="26" s="1"/>
  <c r="O1706" i="26"/>
  <c r="N1706" i="26"/>
  <c r="L1706" i="26"/>
  <c r="I1706" i="26"/>
  <c r="J1706" i="26" s="1"/>
  <c r="C1706" i="26"/>
  <c r="P1705" i="26"/>
  <c r="M1705" i="26" s="1"/>
  <c r="O1705" i="26"/>
  <c r="N1705" i="26"/>
  <c r="L1705" i="26"/>
  <c r="I1705" i="26"/>
  <c r="J1705" i="26" s="1"/>
  <c r="C1705" i="26"/>
  <c r="P1704" i="26"/>
  <c r="M1704" i="26" s="1"/>
  <c r="O1704" i="26"/>
  <c r="N1704" i="26"/>
  <c r="L1704" i="26"/>
  <c r="I1704" i="26"/>
  <c r="J1704" i="26" s="1"/>
  <c r="C1704" i="26"/>
  <c r="P1703" i="26"/>
  <c r="M1703" i="26" s="1"/>
  <c r="O1703" i="26"/>
  <c r="N1703" i="26"/>
  <c r="L1703" i="26"/>
  <c r="I1703" i="26"/>
  <c r="J1703" i="26" s="1"/>
  <c r="C1703" i="26"/>
  <c r="O1702" i="26"/>
  <c r="N1702" i="26"/>
  <c r="L1702" i="26"/>
  <c r="J1702" i="26"/>
  <c r="I1702" i="26"/>
  <c r="C1702" i="26"/>
  <c r="O1701" i="26"/>
  <c r="N1701" i="26"/>
  <c r="L1701" i="26"/>
  <c r="J1701" i="26"/>
  <c r="I1701" i="26"/>
  <c r="C1701" i="26"/>
  <c r="O1700" i="26"/>
  <c r="N1700" i="26"/>
  <c r="L1700" i="26"/>
  <c r="J1700" i="26"/>
  <c r="I1700" i="26"/>
  <c r="C1700" i="26"/>
  <c r="O1699" i="26"/>
  <c r="N1699" i="26"/>
  <c r="L1699" i="26"/>
  <c r="J1699" i="26"/>
  <c r="I1699" i="26"/>
  <c r="C1699" i="26"/>
  <c r="O1698" i="26"/>
  <c r="N1698" i="26"/>
  <c r="L1698" i="26"/>
  <c r="J1698" i="26"/>
  <c r="I1698" i="26"/>
  <c r="C1698" i="26"/>
  <c r="O1697" i="26"/>
  <c r="N1697" i="26"/>
  <c r="L1697" i="26"/>
  <c r="J1697" i="26"/>
  <c r="I1697" i="26"/>
  <c r="C1697" i="26"/>
  <c r="O1696" i="26"/>
  <c r="N1696" i="26"/>
  <c r="L1696" i="26"/>
  <c r="J1696" i="26"/>
  <c r="I1696" i="26"/>
  <c r="C1696" i="26"/>
  <c r="O1695" i="26"/>
  <c r="N1695" i="26"/>
  <c r="L1695" i="26"/>
  <c r="J1695" i="26"/>
  <c r="I1695" i="26"/>
  <c r="C1695" i="26"/>
  <c r="O1694" i="26"/>
  <c r="N1694" i="26"/>
  <c r="L1694" i="26"/>
  <c r="J1694" i="26"/>
  <c r="I1694" i="26"/>
  <c r="C1694" i="26"/>
  <c r="O1693" i="26"/>
  <c r="N1693" i="26"/>
  <c r="L1693" i="26"/>
  <c r="J1693" i="26"/>
  <c r="I1693" i="26"/>
  <c r="C1693" i="26"/>
  <c r="O1692" i="26"/>
  <c r="N1692" i="26"/>
  <c r="L1692" i="26"/>
  <c r="J1692" i="26"/>
  <c r="I1692" i="26"/>
  <c r="C1692" i="26"/>
  <c r="O1691" i="26"/>
  <c r="N1691" i="26"/>
  <c r="L1691" i="26"/>
  <c r="J1691" i="26"/>
  <c r="I1691" i="26"/>
  <c r="C1691" i="26"/>
  <c r="O1690" i="26"/>
  <c r="N1690" i="26"/>
  <c r="L1690" i="26"/>
  <c r="J1690" i="26"/>
  <c r="I1690" i="26"/>
  <c r="C1690" i="26"/>
  <c r="O1689" i="26"/>
  <c r="N1689" i="26"/>
  <c r="L1689" i="26"/>
  <c r="J1689" i="26"/>
  <c r="I1689" i="26"/>
  <c r="C1689" i="26"/>
  <c r="O1688" i="26"/>
  <c r="N1688" i="26"/>
  <c r="L1688" i="26"/>
  <c r="J1688" i="26"/>
  <c r="I1688" i="26"/>
  <c r="C1688" i="26"/>
  <c r="O1687" i="26"/>
  <c r="N1687" i="26"/>
  <c r="L1687" i="26"/>
  <c r="J1687" i="26"/>
  <c r="I1687" i="26"/>
  <c r="C1687" i="26"/>
  <c r="O1686" i="26"/>
  <c r="N1686" i="26"/>
  <c r="L1686" i="26"/>
  <c r="J1686" i="26"/>
  <c r="I1686" i="26"/>
  <c r="C1686" i="26"/>
  <c r="O1685" i="26"/>
  <c r="N1685" i="26"/>
  <c r="L1685" i="26"/>
  <c r="J1685" i="26"/>
  <c r="I1685" i="26"/>
  <c r="C1685" i="26"/>
  <c r="O1684" i="26"/>
  <c r="N1684" i="26"/>
  <c r="L1684" i="26"/>
  <c r="J1684" i="26"/>
  <c r="I1684" i="26"/>
  <c r="C1684" i="26"/>
  <c r="O1683" i="26"/>
  <c r="N1683" i="26"/>
  <c r="L1683" i="26"/>
  <c r="J1683" i="26"/>
  <c r="I1683" i="26"/>
  <c r="C1683" i="26"/>
  <c r="O1682" i="26"/>
  <c r="N1682" i="26"/>
  <c r="L1682" i="26"/>
  <c r="J1682" i="26"/>
  <c r="I1682" i="26"/>
  <c r="C1682" i="26"/>
  <c r="O1681" i="26"/>
  <c r="N1681" i="26"/>
  <c r="L1681" i="26"/>
  <c r="J1681" i="26"/>
  <c r="I1681" i="26"/>
  <c r="C1681" i="26"/>
  <c r="O1680" i="26"/>
  <c r="N1680" i="26"/>
  <c r="L1680" i="26"/>
  <c r="J1680" i="26"/>
  <c r="I1680" i="26"/>
  <c r="C1680" i="26"/>
  <c r="O1679" i="26"/>
  <c r="N1679" i="26"/>
  <c r="L1679" i="26"/>
  <c r="J1679" i="26"/>
  <c r="I1679" i="26"/>
  <c r="C1679" i="26"/>
  <c r="O1678" i="26"/>
  <c r="N1678" i="26"/>
  <c r="L1678" i="26"/>
  <c r="J1678" i="26"/>
  <c r="I1678" i="26"/>
  <c r="C1678" i="26"/>
  <c r="O1677" i="26"/>
  <c r="N1677" i="26"/>
  <c r="L1677" i="26"/>
  <c r="J1677" i="26"/>
  <c r="I1677" i="26"/>
  <c r="C1677" i="26"/>
  <c r="O1676" i="26"/>
  <c r="N1676" i="26"/>
  <c r="L1676" i="26"/>
  <c r="J1676" i="26"/>
  <c r="I1676" i="26"/>
  <c r="C1676" i="26"/>
  <c r="O1675" i="26"/>
  <c r="N1675" i="26"/>
  <c r="L1675" i="26"/>
  <c r="J1675" i="26"/>
  <c r="I1675" i="26"/>
  <c r="C1675" i="26"/>
  <c r="O1674" i="26"/>
  <c r="N1674" i="26"/>
  <c r="L1674" i="26"/>
  <c r="J1674" i="26"/>
  <c r="I1674" i="26"/>
  <c r="C1674" i="26"/>
  <c r="O1673" i="26"/>
  <c r="N1673" i="26"/>
  <c r="L1673" i="26"/>
  <c r="J1673" i="26"/>
  <c r="I1673" i="26"/>
  <c r="C1673" i="26"/>
  <c r="O1672" i="26"/>
  <c r="N1672" i="26"/>
  <c r="L1672" i="26"/>
  <c r="J1672" i="26"/>
  <c r="I1672" i="26"/>
  <c r="C1672" i="26"/>
  <c r="O1671" i="26"/>
  <c r="N1671" i="26"/>
  <c r="L1671" i="26"/>
  <c r="J1671" i="26"/>
  <c r="I1671" i="26"/>
  <c r="C1671" i="26"/>
  <c r="O1670" i="26"/>
  <c r="N1670" i="26"/>
  <c r="L1670" i="26"/>
  <c r="J1670" i="26"/>
  <c r="I1670" i="26"/>
  <c r="C1670" i="26"/>
  <c r="O1669" i="26"/>
  <c r="N1669" i="26"/>
  <c r="L1669" i="26"/>
  <c r="J1669" i="26"/>
  <c r="I1669" i="26"/>
  <c r="C1669" i="26"/>
  <c r="O1668" i="26"/>
  <c r="N1668" i="26"/>
  <c r="L1668" i="26"/>
  <c r="J1668" i="26"/>
  <c r="I1668" i="26"/>
  <c r="C1668" i="26"/>
  <c r="O1667" i="26"/>
  <c r="N1667" i="26"/>
  <c r="L1667" i="26"/>
  <c r="J1667" i="26"/>
  <c r="I1667" i="26"/>
  <c r="C1667" i="26"/>
  <c r="O1666" i="26"/>
  <c r="N1666" i="26"/>
  <c r="L1666" i="26"/>
  <c r="J1666" i="26"/>
  <c r="I1666" i="26"/>
  <c r="C1666" i="26"/>
  <c r="O1665" i="26"/>
  <c r="N1665" i="26"/>
  <c r="L1665" i="26"/>
  <c r="J1665" i="26"/>
  <c r="I1665" i="26"/>
  <c r="C1665" i="26"/>
  <c r="O1664" i="26"/>
  <c r="N1664" i="26"/>
  <c r="L1664" i="26"/>
  <c r="J1664" i="26"/>
  <c r="I1664" i="26"/>
  <c r="C1664" i="26"/>
  <c r="O1663" i="26"/>
  <c r="N1663" i="26"/>
  <c r="L1663" i="26"/>
  <c r="J1663" i="26"/>
  <c r="I1663" i="26"/>
  <c r="C1663" i="26"/>
  <c r="O1662" i="26"/>
  <c r="N1662" i="26"/>
  <c r="L1662" i="26"/>
  <c r="J1662" i="26"/>
  <c r="I1662" i="26"/>
  <c r="C1662" i="26"/>
  <c r="O1661" i="26"/>
  <c r="N1661" i="26"/>
  <c r="L1661" i="26"/>
  <c r="J1661" i="26"/>
  <c r="I1661" i="26"/>
  <c r="C1661" i="26"/>
  <c r="O1660" i="26"/>
  <c r="N1660" i="26"/>
  <c r="L1660" i="26"/>
  <c r="J1660" i="26"/>
  <c r="I1660" i="26"/>
  <c r="C1660" i="26"/>
  <c r="O1659" i="26"/>
  <c r="N1659" i="26"/>
  <c r="L1659" i="26"/>
  <c r="J1659" i="26"/>
  <c r="I1659" i="26"/>
  <c r="C1659" i="26"/>
  <c r="O1658" i="26"/>
  <c r="N1658" i="26"/>
  <c r="L1658" i="26"/>
  <c r="J1658" i="26"/>
  <c r="I1658" i="26"/>
  <c r="C1658" i="26"/>
  <c r="O1657" i="26"/>
  <c r="N1657" i="26"/>
  <c r="L1657" i="26"/>
  <c r="J1657" i="26"/>
  <c r="I1657" i="26"/>
  <c r="C1657" i="26"/>
  <c r="O1656" i="26"/>
  <c r="N1656" i="26"/>
  <c r="L1656" i="26"/>
  <c r="J1656" i="26"/>
  <c r="I1656" i="26"/>
  <c r="C1656" i="26"/>
  <c r="O1655" i="26"/>
  <c r="N1655" i="26"/>
  <c r="L1655" i="26"/>
  <c r="J1655" i="26"/>
  <c r="I1655" i="26"/>
  <c r="C1655" i="26"/>
  <c r="O1654" i="26"/>
  <c r="N1654" i="26"/>
  <c r="L1654" i="26"/>
  <c r="J1654" i="26"/>
  <c r="I1654" i="26"/>
  <c r="C1654" i="26"/>
  <c r="O1653" i="26"/>
  <c r="N1653" i="26"/>
  <c r="L1653" i="26"/>
  <c r="J1653" i="26"/>
  <c r="I1653" i="26"/>
  <c r="C1653" i="26"/>
  <c r="O1652" i="26"/>
  <c r="N1652" i="26"/>
  <c r="L1652" i="26"/>
  <c r="J1652" i="26"/>
  <c r="I1652" i="26"/>
  <c r="C1652" i="26"/>
  <c r="O1651" i="26"/>
  <c r="N1651" i="26"/>
  <c r="L1651" i="26"/>
  <c r="J1651" i="26"/>
  <c r="I1651" i="26"/>
  <c r="C1651" i="26"/>
  <c r="O1650" i="26"/>
  <c r="N1650" i="26"/>
  <c r="L1650" i="26"/>
  <c r="J1650" i="26"/>
  <c r="I1650" i="26"/>
  <c r="C1650" i="26"/>
  <c r="O1649" i="26"/>
  <c r="N1649" i="26"/>
  <c r="L1649" i="26"/>
  <c r="J1649" i="26"/>
  <c r="I1649" i="26"/>
  <c r="C1649" i="26"/>
  <c r="O1648" i="26"/>
  <c r="N1648" i="26"/>
  <c r="L1648" i="26"/>
  <c r="J1648" i="26"/>
  <c r="I1648" i="26"/>
  <c r="C1648" i="26"/>
  <c r="O1647" i="26"/>
  <c r="N1647" i="26"/>
  <c r="L1647" i="26"/>
  <c r="J1647" i="26"/>
  <c r="I1647" i="26"/>
  <c r="C1647" i="26"/>
  <c r="O1646" i="26"/>
  <c r="N1646" i="26"/>
  <c r="L1646" i="26"/>
  <c r="J1646" i="26"/>
  <c r="I1646" i="26"/>
  <c r="C1646" i="26"/>
  <c r="O1645" i="26"/>
  <c r="N1645" i="26"/>
  <c r="L1645" i="26"/>
  <c r="J1645" i="26"/>
  <c r="I1645" i="26"/>
  <c r="C1645" i="26"/>
  <c r="O1644" i="26"/>
  <c r="N1644" i="26"/>
  <c r="L1644" i="26"/>
  <c r="J1644" i="26"/>
  <c r="I1644" i="26"/>
  <c r="C1644" i="26"/>
  <c r="O1643" i="26"/>
  <c r="N1643" i="26"/>
  <c r="L1643" i="26"/>
  <c r="J1643" i="26"/>
  <c r="I1643" i="26"/>
  <c r="C1643" i="26"/>
  <c r="O1642" i="26"/>
  <c r="N1642" i="26"/>
  <c r="L1642" i="26"/>
  <c r="J1642" i="26"/>
  <c r="I1642" i="26"/>
  <c r="C1642" i="26"/>
  <c r="O1641" i="26"/>
  <c r="N1641" i="26"/>
  <c r="L1641" i="26"/>
  <c r="J1641" i="26"/>
  <c r="I1641" i="26"/>
  <c r="C1641" i="26"/>
  <c r="O1640" i="26"/>
  <c r="N1640" i="26"/>
  <c r="L1640" i="26"/>
  <c r="J1640" i="26"/>
  <c r="I1640" i="26"/>
  <c r="C1640" i="26"/>
  <c r="O1639" i="26"/>
  <c r="N1639" i="26"/>
  <c r="L1639" i="26"/>
  <c r="J1639" i="26"/>
  <c r="I1639" i="26"/>
  <c r="C1639" i="26"/>
  <c r="O1638" i="26"/>
  <c r="N1638" i="26"/>
  <c r="L1638" i="26"/>
  <c r="J1638" i="26"/>
  <c r="I1638" i="26"/>
  <c r="C1638" i="26"/>
  <c r="O1637" i="26"/>
  <c r="N1637" i="26"/>
  <c r="L1637" i="26"/>
  <c r="J1637" i="26"/>
  <c r="I1637" i="26"/>
  <c r="C1637" i="26"/>
  <c r="N1636" i="26"/>
  <c r="O1636" i="26" s="1"/>
  <c r="L1636" i="26"/>
  <c r="J1636" i="26"/>
  <c r="I1636" i="26"/>
  <c r="C1636" i="26"/>
  <c r="N1635" i="26"/>
  <c r="O1635" i="26" s="1"/>
  <c r="L1635" i="26"/>
  <c r="J1635" i="26"/>
  <c r="I1635" i="26"/>
  <c r="C1635" i="26"/>
  <c r="N1634" i="26"/>
  <c r="O1634" i="26" s="1"/>
  <c r="L1634" i="26"/>
  <c r="J1634" i="26"/>
  <c r="I1634" i="26"/>
  <c r="C1634" i="26"/>
  <c r="N1633" i="26"/>
  <c r="O1633" i="26" s="1"/>
  <c r="L1633" i="26"/>
  <c r="J1633" i="26"/>
  <c r="I1633" i="26"/>
  <c r="C1633" i="26"/>
  <c r="N1632" i="26"/>
  <c r="O1632" i="26" s="1"/>
  <c r="P1632" i="26" s="1"/>
  <c r="M1632" i="26" s="1"/>
  <c r="L1632" i="26"/>
  <c r="J1632" i="26"/>
  <c r="I1632" i="26"/>
  <c r="C1632" i="26"/>
  <c r="N1631" i="26"/>
  <c r="O1631" i="26" s="1"/>
  <c r="P1631" i="26" s="1"/>
  <c r="M1631" i="26" s="1"/>
  <c r="L1631" i="26"/>
  <c r="J1631" i="26"/>
  <c r="I1631" i="26"/>
  <c r="C1631" i="26"/>
  <c r="N1630" i="26"/>
  <c r="O1630" i="26" s="1"/>
  <c r="P1630" i="26" s="1"/>
  <c r="M1630" i="26" s="1"/>
  <c r="L1630" i="26"/>
  <c r="J1630" i="26"/>
  <c r="I1630" i="26"/>
  <c r="C1630" i="26"/>
  <c r="O1629" i="26"/>
  <c r="P1629" i="26" s="1"/>
  <c r="M1629" i="26" s="1"/>
  <c r="N1629" i="26"/>
  <c r="L1629" i="26"/>
  <c r="J1629" i="26"/>
  <c r="I1629" i="26"/>
  <c r="C1629" i="26"/>
  <c r="P1628" i="26"/>
  <c r="M1628" i="26" s="1"/>
  <c r="N1628" i="26"/>
  <c r="O1628" i="26" s="1"/>
  <c r="L1628" i="26"/>
  <c r="J1628" i="26"/>
  <c r="I1628" i="26"/>
  <c r="C1628" i="26"/>
  <c r="O1627" i="26"/>
  <c r="P1627" i="26" s="1"/>
  <c r="M1627" i="26" s="1"/>
  <c r="N1627" i="26"/>
  <c r="L1627" i="26"/>
  <c r="J1627" i="26"/>
  <c r="I1627" i="26"/>
  <c r="C1627" i="26"/>
  <c r="P1626" i="26"/>
  <c r="M1626" i="26" s="1"/>
  <c r="N1626" i="26"/>
  <c r="O1626" i="26" s="1"/>
  <c r="L1626" i="26"/>
  <c r="J1626" i="26"/>
  <c r="I1626" i="26"/>
  <c r="C1626" i="26"/>
  <c r="O1625" i="26"/>
  <c r="P1625" i="26" s="1"/>
  <c r="M1625" i="26" s="1"/>
  <c r="N1625" i="26"/>
  <c r="L1625" i="26"/>
  <c r="I1625" i="26"/>
  <c r="J1625" i="26" s="1"/>
  <c r="C1625" i="26"/>
  <c r="N1624" i="26"/>
  <c r="O1624" i="26" s="1"/>
  <c r="L1624" i="26"/>
  <c r="J1624" i="26"/>
  <c r="I1624" i="26"/>
  <c r="C1624" i="26"/>
  <c r="O1623" i="26"/>
  <c r="P1623" i="26" s="1"/>
  <c r="M1623" i="26" s="1"/>
  <c r="N1623" i="26"/>
  <c r="L1623" i="26"/>
  <c r="I1623" i="26"/>
  <c r="J1623" i="26" s="1"/>
  <c r="C1623" i="26"/>
  <c r="P1622" i="26"/>
  <c r="M1622" i="26" s="1"/>
  <c r="N1622" i="26"/>
  <c r="O1622" i="26" s="1"/>
  <c r="L1622" i="26"/>
  <c r="J1622" i="26"/>
  <c r="I1622" i="26"/>
  <c r="C1622" i="26"/>
  <c r="O1621" i="26"/>
  <c r="P1621" i="26" s="1"/>
  <c r="M1621" i="26" s="1"/>
  <c r="N1621" i="26"/>
  <c r="L1621" i="26"/>
  <c r="I1621" i="26"/>
  <c r="J1621" i="26" s="1"/>
  <c r="C1621" i="26"/>
  <c r="N1620" i="26"/>
  <c r="O1620" i="26" s="1"/>
  <c r="L1620" i="26"/>
  <c r="J1620" i="26"/>
  <c r="I1620" i="26"/>
  <c r="C1620" i="26"/>
  <c r="O1619" i="26"/>
  <c r="P1619" i="26" s="1"/>
  <c r="M1619" i="26" s="1"/>
  <c r="N1619" i="26"/>
  <c r="L1619" i="26"/>
  <c r="I1619" i="26"/>
  <c r="J1619" i="26" s="1"/>
  <c r="C1619" i="26"/>
  <c r="P1618" i="26"/>
  <c r="M1618" i="26" s="1"/>
  <c r="N1618" i="26"/>
  <c r="O1618" i="26" s="1"/>
  <c r="L1618" i="26"/>
  <c r="J1618" i="26"/>
  <c r="I1618" i="26"/>
  <c r="C1618" i="26"/>
  <c r="O1617" i="26"/>
  <c r="N1617" i="26"/>
  <c r="L1617" i="26"/>
  <c r="J1617" i="26"/>
  <c r="I1617" i="26"/>
  <c r="C1617" i="26"/>
  <c r="O1616" i="26"/>
  <c r="P1616" i="26" s="1"/>
  <c r="M1616" i="26" s="1"/>
  <c r="N1616" i="26"/>
  <c r="L1616" i="26"/>
  <c r="J1616" i="26"/>
  <c r="I1616" i="26"/>
  <c r="C1616" i="26"/>
  <c r="O1615" i="26"/>
  <c r="P1615" i="26" s="1"/>
  <c r="M1615" i="26" s="1"/>
  <c r="N1615" i="26"/>
  <c r="L1615" i="26"/>
  <c r="J1615" i="26"/>
  <c r="I1615" i="26"/>
  <c r="C1615" i="26"/>
  <c r="O1614" i="26"/>
  <c r="P1614" i="26" s="1"/>
  <c r="N1614" i="26"/>
  <c r="M1614" i="26"/>
  <c r="L1614" i="26"/>
  <c r="J1614" i="26"/>
  <c r="I1614" i="26"/>
  <c r="C1614" i="26"/>
  <c r="O1613" i="26"/>
  <c r="P1613" i="26" s="1"/>
  <c r="N1613" i="26"/>
  <c r="M1613" i="26"/>
  <c r="L1613" i="26"/>
  <c r="J1613" i="26"/>
  <c r="I1613" i="26"/>
  <c r="C1613" i="26"/>
  <c r="O1612" i="26"/>
  <c r="N1612" i="26"/>
  <c r="L1612" i="26"/>
  <c r="J1612" i="26"/>
  <c r="I1612" i="26"/>
  <c r="C1612" i="26"/>
  <c r="O1611" i="26"/>
  <c r="N1611" i="26"/>
  <c r="L1611" i="26"/>
  <c r="J1611" i="26"/>
  <c r="I1611" i="26"/>
  <c r="C1611" i="26"/>
  <c r="O1610" i="26"/>
  <c r="N1610" i="26"/>
  <c r="L1610" i="26"/>
  <c r="J1610" i="26"/>
  <c r="I1610" i="26"/>
  <c r="C1610" i="26"/>
  <c r="O1609" i="26"/>
  <c r="P1609" i="26" s="1"/>
  <c r="M1609" i="26" s="1"/>
  <c r="N1609" i="26"/>
  <c r="L1609" i="26"/>
  <c r="J1609" i="26"/>
  <c r="I1609" i="26"/>
  <c r="C1609" i="26"/>
  <c r="O1608" i="26"/>
  <c r="P1608" i="26" s="1"/>
  <c r="M1608" i="26" s="1"/>
  <c r="N1608" i="26"/>
  <c r="L1608" i="26"/>
  <c r="J1608" i="26"/>
  <c r="I1608" i="26"/>
  <c r="C1608" i="26"/>
  <c r="O1607" i="26"/>
  <c r="P1607" i="26" s="1"/>
  <c r="N1607" i="26"/>
  <c r="M1607" i="26"/>
  <c r="L1607" i="26"/>
  <c r="J1607" i="26"/>
  <c r="I1607" i="26"/>
  <c r="C1607" i="26"/>
  <c r="O1606" i="26"/>
  <c r="P1606" i="26" s="1"/>
  <c r="N1606" i="26"/>
  <c r="M1606" i="26"/>
  <c r="L1606" i="26"/>
  <c r="J1606" i="26"/>
  <c r="I1606" i="26"/>
  <c r="C1606" i="26"/>
  <c r="O1605" i="26"/>
  <c r="N1605" i="26"/>
  <c r="L1605" i="26"/>
  <c r="J1605" i="26"/>
  <c r="I1605" i="26"/>
  <c r="C1605" i="26"/>
  <c r="O1604" i="26"/>
  <c r="N1604" i="26"/>
  <c r="L1604" i="26"/>
  <c r="J1604" i="26"/>
  <c r="I1604" i="26"/>
  <c r="C1604" i="26"/>
  <c r="O1603" i="26"/>
  <c r="P1603" i="26" s="1"/>
  <c r="M1603" i="26" s="1"/>
  <c r="N1603" i="26"/>
  <c r="L1603" i="26"/>
  <c r="J1603" i="26"/>
  <c r="I1603" i="26"/>
  <c r="C1603" i="26"/>
  <c r="O1602" i="26"/>
  <c r="N1602" i="26"/>
  <c r="L1602" i="26"/>
  <c r="J1602" i="26"/>
  <c r="I1602" i="26"/>
  <c r="C1602" i="26"/>
  <c r="O1601" i="26"/>
  <c r="P1601" i="26" s="1"/>
  <c r="N1601" i="26"/>
  <c r="M1601" i="26"/>
  <c r="L1601" i="26"/>
  <c r="J1601" i="26"/>
  <c r="I1601" i="26"/>
  <c r="C1601" i="26"/>
  <c r="O1600" i="26"/>
  <c r="P1600" i="26" s="1"/>
  <c r="M1600" i="26" s="1"/>
  <c r="N1600" i="26"/>
  <c r="L1600" i="26"/>
  <c r="J1600" i="26"/>
  <c r="I1600" i="26"/>
  <c r="C1600" i="26"/>
  <c r="O1599" i="26"/>
  <c r="N1599" i="26"/>
  <c r="L1599" i="26"/>
  <c r="J1599" i="26"/>
  <c r="I1599" i="26"/>
  <c r="C1599" i="26"/>
  <c r="O1598" i="26"/>
  <c r="P1598" i="26" s="1"/>
  <c r="N1598" i="26"/>
  <c r="M1598" i="26"/>
  <c r="L1598" i="26"/>
  <c r="J1598" i="26"/>
  <c r="I1598" i="26"/>
  <c r="C1598" i="26"/>
  <c r="O1597" i="26"/>
  <c r="N1597" i="26"/>
  <c r="L1597" i="26"/>
  <c r="J1597" i="26"/>
  <c r="I1597" i="26"/>
  <c r="C1597" i="26"/>
  <c r="O1596" i="26"/>
  <c r="N1596" i="26"/>
  <c r="L1596" i="26"/>
  <c r="J1596" i="26"/>
  <c r="I1596" i="26"/>
  <c r="C1596" i="26"/>
  <c r="O1595" i="26"/>
  <c r="P1595" i="26" s="1"/>
  <c r="M1595" i="26" s="1"/>
  <c r="N1595" i="26"/>
  <c r="L1595" i="26"/>
  <c r="J1595" i="26"/>
  <c r="I1595" i="26"/>
  <c r="C1595" i="26"/>
  <c r="O1594" i="26"/>
  <c r="N1594" i="26"/>
  <c r="L1594" i="26"/>
  <c r="J1594" i="26"/>
  <c r="I1594" i="26"/>
  <c r="C1594" i="26"/>
  <c r="O1593" i="26"/>
  <c r="N1593" i="26"/>
  <c r="L1593" i="26"/>
  <c r="J1593" i="26"/>
  <c r="I1593" i="26"/>
  <c r="C1593" i="26"/>
  <c r="O1592" i="26"/>
  <c r="P1592" i="26" s="1"/>
  <c r="M1592" i="26" s="1"/>
  <c r="N1592" i="26"/>
  <c r="L1592" i="26"/>
  <c r="J1592" i="26"/>
  <c r="I1592" i="26"/>
  <c r="C1592" i="26"/>
  <c r="O1591" i="26"/>
  <c r="P1591" i="26" s="1"/>
  <c r="M1591" i="26" s="1"/>
  <c r="N1591" i="26"/>
  <c r="L1591" i="26"/>
  <c r="J1591" i="26"/>
  <c r="I1591" i="26"/>
  <c r="C1591" i="26"/>
  <c r="O1590" i="26"/>
  <c r="P1590" i="26" s="1"/>
  <c r="N1590" i="26"/>
  <c r="M1590" i="26"/>
  <c r="L1590" i="26"/>
  <c r="J1590" i="26"/>
  <c r="I1590" i="26"/>
  <c r="C1590" i="26"/>
  <c r="O1589" i="26"/>
  <c r="P1589" i="26" s="1"/>
  <c r="N1589" i="26"/>
  <c r="M1589" i="26"/>
  <c r="L1589" i="26"/>
  <c r="J1589" i="26"/>
  <c r="I1589" i="26"/>
  <c r="C1589" i="26"/>
  <c r="O1588" i="26"/>
  <c r="N1588" i="26"/>
  <c r="L1588" i="26"/>
  <c r="J1588" i="26"/>
  <c r="I1588" i="26"/>
  <c r="C1588" i="26"/>
  <c r="O1587" i="26"/>
  <c r="N1587" i="26"/>
  <c r="L1587" i="26"/>
  <c r="J1587" i="26"/>
  <c r="I1587" i="26"/>
  <c r="C1587" i="26"/>
  <c r="O1586" i="26"/>
  <c r="N1586" i="26"/>
  <c r="L1586" i="26"/>
  <c r="J1586" i="26"/>
  <c r="I1586" i="26"/>
  <c r="C1586" i="26"/>
  <c r="O1585" i="26"/>
  <c r="P1585" i="26" s="1"/>
  <c r="M1585" i="26" s="1"/>
  <c r="N1585" i="26"/>
  <c r="L1585" i="26"/>
  <c r="J1585" i="26"/>
  <c r="I1585" i="26"/>
  <c r="C1585" i="26"/>
  <c r="O1584" i="26"/>
  <c r="P1584" i="26" s="1"/>
  <c r="M1584" i="26" s="1"/>
  <c r="N1584" i="26"/>
  <c r="L1584" i="26"/>
  <c r="J1584" i="26"/>
  <c r="I1584" i="26"/>
  <c r="C1584" i="26"/>
  <c r="O1583" i="26"/>
  <c r="N1583" i="26"/>
  <c r="L1583" i="26"/>
  <c r="J1583" i="26"/>
  <c r="I1583" i="26"/>
  <c r="C1583" i="26"/>
  <c r="O1582" i="26"/>
  <c r="P1582" i="26" s="1"/>
  <c r="N1582" i="26"/>
  <c r="M1582" i="26"/>
  <c r="L1582" i="26"/>
  <c r="J1582" i="26"/>
  <c r="I1582" i="26"/>
  <c r="C1582" i="26"/>
  <c r="O1581" i="26"/>
  <c r="N1581" i="26"/>
  <c r="L1581" i="26"/>
  <c r="J1581" i="26"/>
  <c r="I1581" i="26"/>
  <c r="C1581" i="26"/>
  <c r="O1580" i="26"/>
  <c r="N1580" i="26"/>
  <c r="L1580" i="26"/>
  <c r="J1580" i="26"/>
  <c r="I1580" i="26"/>
  <c r="C1580" i="26"/>
  <c r="O1579" i="26"/>
  <c r="P1579" i="26" s="1"/>
  <c r="N1579" i="26"/>
  <c r="M1579" i="26"/>
  <c r="L1579" i="26"/>
  <c r="J1579" i="26"/>
  <c r="I1579" i="26"/>
  <c r="C1579" i="26"/>
  <c r="O1578" i="26"/>
  <c r="N1578" i="26"/>
  <c r="L1578" i="26"/>
  <c r="J1578" i="26"/>
  <c r="I1578" i="26"/>
  <c r="C1578" i="26"/>
  <c r="O1577" i="26"/>
  <c r="N1577" i="26"/>
  <c r="L1577" i="26"/>
  <c r="J1577" i="26"/>
  <c r="I1577" i="26"/>
  <c r="C1577" i="26"/>
  <c r="O1576" i="26"/>
  <c r="P1576" i="26" s="1"/>
  <c r="M1576" i="26" s="1"/>
  <c r="N1576" i="26"/>
  <c r="L1576" i="26"/>
  <c r="J1576" i="26"/>
  <c r="I1576" i="26"/>
  <c r="C1576" i="26"/>
  <c r="O1575" i="26"/>
  <c r="P1575" i="26" s="1"/>
  <c r="M1575" i="26" s="1"/>
  <c r="N1575" i="26"/>
  <c r="L1575" i="26"/>
  <c r="J1575" i="26"/>
  <c r="I1575" i="26"/>
  <c r="C1575" i="26"/>
  <c r="O1574" i="26"/>
  <c r="P1574" i="26" s="1"/>
  <c r="N1574" i="26"/>
  <c r="M1574" i="26"/>
  <c r="L1574" i="26"/>
  <c r="J1574" i="26"/>
  <c r="I1574" i="26"/>
  <c r="C1574" i="26"/>
  <c r="O1573" i="26"/>
  <c r="N1573" i="26"/>
  <c r="L1573" i="26"/>
  <c r="J1573" i="26"/>
  <c r="I1573" i="26"/>
  <c r="C1573" i="26"/>
  <c r="O1572" i="26"/>
  <c r="N1572" i="26"/>
  <c r="L1572" i="26"/>
  <c r="J1572" i="26"/>
  <c r="I1572" i="26"/>
  <c r="C1572" i="26"/>
  <c r="O1571" i="26"/>
  <c r="N1571" i="26"/>
  <c r="L1571" i="26"/>
  <c r="J1571" i="26"/>
  <c r="I1571" i="26"/>
  <c r="C1571" i="26"/>
  <c r="O1570" i="26"/>
  <c r="N1570" i="26"/>
  <c r="L1570" i="26"/>
  <c r="J1570" i="26"/>
  <c r="I1570" i="26"/>
  <c r="C1570" i="26"/>
  <c r="O1569" i="26"/>
  <c r="P1569" i="26" s="1"/>
  <c r="M1569" i="26" s="1"/>
  <c r="N1569" i="26"/>
  <c r="L1569" i="26"/>
  <c r="J1569" i="26"/>
  <c r="I1569" i="26"/>
  <c r="C1569" i="26"/>
  <c r="O1568" i="26"/>
  <c r="P1568" i="26" s="1"/>
  <c r="M1568" i="26" s="1"/>
  <c r="N1568" i="26"/>
  <c r="L1568" i="26"/>
  <c r="J1568" i="26"/>
  <c r="I1568" i="26"/>
  <c r="C1568" i="26"/>
  <c r="O1567" i="26"/>
  <c r="P1567" i="26" s="1"/>
  <c r="M1567" i="26" s="1"/>
  <c r="N1567" i="26"/>
  <c r="L1567" i="26"/>
  <c r="J1567" i="26"/>
  <c r="I1567" i="26"/>
  <c r="C1567" i="26"/>
  <c r="O1566" i="26"/>
  <c r="P1566" i="26" s="1"/>
  <c r="N1566" i="26"/>
  <c r="M1566" i="26"/>
  <c r="L1566" i="26"/>
  <c r="J1566" i="26"/>
  <c r="I1566" i="26"/>
  <c r="C1566" i="26"/>
  <c r="O1565" i="26"/>
  <c r="N1565" i="26"/>
  <c r="L1565" i="26"/>
  <c r="J1565" i="26"/>
  <c r="I1565" i="26"/>
  <c r="C1565" i="26"/>
  <c r="O1564" i="26"/>
  <c r="N1564" i="26"/>
  <c r="L1564" i="26"/>
  <c r="J1564" i="26"/>
  <c r="I1564" i="26"/>
  <c r="C1564" i="26"/>
  <c r="O1563" i="26"/>
  <c r="N1563" i="26"/>
  <c r="L1563" i="26"/>
  <c r="J1563" i="26"/>
  <c r="I1563" i="26"/>
  <c r="C1563" i="26"/>
  <c r="O1562" i="26"/>
  <c r="N1562" i="26"/>
  <c r="L1562" i="26"/>
  <c r="J1562" i="26"/>
  <c r="I1562" i="26"/>
  <c r="C1562" i="26"/>
  <c r="O1561" i="26"/>
  <c r="P1561" i="26" s="1"/>
  <c r="N1561" i="26"/>
  <c r="M1561" i="26"/>
  <c r="L1561" i="26"/>
  <c r="J1561" i="26"/>
  <c r="I1561" i="26"/>
  <c r="C1561" i="26"/>
  <c r="O1560" i="26"/>
  <c r="P1560" i="26" s="1"/>
  <c r="M1560" i="26" s="1"/>
  <c r="N1560" i="26"/>
  <c r="L1560" i="26"/>
  <c r="J1560" i="26"/>
  <c r="I1560" i="26"/>
  <c r="C1560" i="26"/>
  <c r="O1559" i="26"/>
  <c r="N1559" i="26"/>
  <c r="L1559" i="26"/>
  <c r="J1559" i="26"/>
  <c r="I1559" i="26"/>
  <c r="C1559" i="26"/>
  <c r="O1558" i="26"/>
  <c r="P1558" i="26" s="1"/>
  <c r="M1558" i="26" s="1"/>
  <c r="N1558" i="26"/>
  <c r="L1558" i="26"/>
  <c r="J1558" i="26"/>
  <c r="I1558" i="26"/>
  <c r="C1558" i="26"/>
  <c r="O1557" i="26"/>
  <c r="P1557" i="26" s="1"/>
  <c r="M1557" i="26" s="1"/>
  <c r="N1557" i="26"/>
  <c r="L1557" i="26"/>
  <c r="J1557" i="26"/>
  <c r="I1557" i="26"/>
  <c r="C1557" i="26"/>
  <c r="O1556" i="26"/>
  <c r="N1556" i="26"/>
  <c r="L1556" i="26"/>
  <c r="J1556" i="26"/>
  <c r="I1556" i="26"/>
  <c r="C1556" i="26"/>
  <c r="O1555" i="26"/>
  <c r="P1555" i="26" s="1"/>
  <c r="M1555" i="26" s="1"/>
  <c r="N1555" i="26"/>
  <c r="L1555" i="26"/>
  <c r="J1555" i="26"/>
  <c r="I1555" i="26"/>
  <c r="C1555" i="26"/>
  <c r="O1554" i="26"/>
  <c r="N1554" i="26"/>
  <c r="L1554" i="26"/>
  <c r="J1554" i="26"/>
  <c r="I1554" i="26"/>
  <c r="C1554" i="26"/>
  <c r="O1553" i="26"/>
  <c r="N1553" i="26"/>
  <c r="L1553" i="26"/>
  <c r="J1553" i="26"/>
  <c r="I1553" i="26"/>
  <c r="C1553" i="26"/>
  <c r="P1553" i="26" s="1"/>
  <c r="M1553" i="26" s="1"/>
  <c r="O1552" i="26"/>
  <c r="N1552" i="26"/>
  <c r="L1552" i="26"/>
  <c r="J1552" i="26"/>
  <c r="I1552" i="26"/>
  <c r="C1552" i="26"/>
  <c r="P1552" i="26" s="1"/>
  <c r="M1552" i="26" s="1"/>
  <c r="O1551" i="26"/>
  <c r="N1551" i="26"/>
  <c r="L1551" i="26"/>
  <c r="J1551" i="26"/>
  <c r="I1551" i="26"/>
  <c r="C1551" i="26"/>
  <c r="P1551" i="26" s="1"/>
  <c r="M1551" i="26" s="1"/>
  <c r="P1550" i="26"/>
  <c r="M1550" i="26" s="1"/>
  <c r="O1550" i="26"/>
  <c r="N1550" i="26"/>
  <c r="L1550" i="26"/>
  <c r="J1550" i="26"/>
  <c r="I1550" i="26"/>
  <c r="C1550" i="26"/>
  <c r="P1549" i="26"/>
  <c r="M1549" i="26" s="1"/>
  <c r="O1549" i="26"/>
  <c r="N1549" i="26"/>
  <c r="L1549" i="26"/>
  <c r="J1549" i="26"/>
  <c r="I1549" i="26"/>
  <c r="C1549" i="26"/>
  <c r="P1548" i="26"/>
  <c r="M1548" i="26" s="1"/>
  <c r="O1548" i="26"/>
  <c r="N1548" i="26"/>
  <c r="L1548" i="26"/>
  <c r="J1548" i="26"/>
  <c r="I1548" i="26"/>
  <c r="C1548" i="26"/>
  <c r="P1547" i="26"/>
  <c r="M1547" i="26" s="1"/>
  <c r="O1547" i="26"/>
  <c r="N1547" i="26"/>
  <c r="L1547" i="26"/>
  <c r="J1547" i="26"/>
  <c r="I1547" i="26"/>
  <c r="C1547" i="26"/>
  <c r="P1546" i="26"/>
  <c r="M1546" i="26" s="1"/>
  <c r="O1546" i="26"/>
  <c r="N1546" i="26"/>
  <c r="L1546" i="26"/>
  <c r="J1546" i="26"/>
  <c r="I1546" i="26"/>
  <c r="C1546" i="26"/>
  <c r="O1545" i="26"/>
  <c r="N1545" i="26"/>
  <c r="L1545" i="26"/>
  <c r="J1545" i="26"/>
  <c r="I1545" i="26"/>
  <c r="C1545" i="26"/>
  <c r="P1545" i="26" s="1"/>
  <c r="M1545" i="26" s="1"/>
  <c r="O1544" i="26"/>
  <c r="N1544" i="26"/>
  <c r="L1544" i="26"/>
  <c r="J1544" i="26"/>
  <c r="I1544" i="26"/>
  <c r="C1544" i="26"/>
  <c r="P1544" i="26" s="1"/>
  <c r="M1544" i="26" s="1"/>
  <c r="P1543" i="26"/>
  <c r="M1543" i="26" s="1"/>
  <c r="O1543" i="26"/>
  <c r="N1543" i="26"/>
  <c r="L1543" i="26"/>
  <c r="J1543" i="26"/>
  <c r="I1543" i="26"/>
  <c r="C1543" i="26"/>
  <c r="P1542" i="26"/>
  <c r="M1542" i="26" s="1"/>
  <c r="O1542" i="26"/>
  <c r="N1542" i="26"/>
  <c r="L1542" i="26"/>
  <c r="J1542" i="26"/>
  <c r="I1542" i="26"/>
  <c r="C1542" i="26"/>
  <c r="O1541" i="26"/>
  <c r="N1541" i="26"/>
  <c r="L1541" i="26"/>
  <c r="J1541" i="26"/>
  <c r="I1541" i="26"/>
  <c r="C1541" i="26"/>
  <c r="P1541" i="26" s="1"/>
  <c r="M1541" i="26" s="1"/>
  <c r="O1540" i="26"/>
  <c r="N1540" i="26"/>
  <c r="L1540" i="26"/>
  <c r="J1540" i="26"/>
  <c r="I1540" i="26"/>
  <c r="C1540" i="26"/>
  <c r="P1540" i="26" s="1"/>
  <c r="M1540" i="26" s="1"/>
  <c r="P1539" i="26"/>
  <c r="M1539" i="26" s="1"/>
  <c r="O1539" i="26"/>
  <c r="N1539" i="26"/>
  <c r="L1539" i="26"/>
  <c r="J1539" i="26"/>
  <c r="I1539" i="26"/>
  <c r="C1539" i="26"/>
  <c r="P1538" i="26"/>
  <c r="M1538" i="26" s="1"/>
  <c r="O1538" i="26"/>
  <c r="N1538" i="26"/>
  <c r="L1538" i="26"/>
  <c r="J1538" i="26"/>
  <c r="I1538" i="26"/>
  <c r="C1538" i="26"/>
  <c r="O1537" i="26"/>
  <c r="N1537" i="26"/>
  <c r="L1537" i="26"/>
  <c r="J1537" i="26"/>
  <c r="I1537" i="26"/>
  <c r="C1537" i="26"/>
  <c r="P1537" i="26" s="1"/>
  <c r="M1537" i="26" s="1"/>
  <c r="O1536" i="26"/>
  <c r="N1536" i="26"/>
  <c r="L1536" i="26"/>
  <c r="J1536" i="26"/>
  <c r="I1536" i="26"/>
  <c r="C1536" i="26"/>
  <c r="P1536" i="26" s="1"/>
  <c r="M1536" i="26" s="1"/>
  <c r="O1535" i="26"/>
  <c r="N1535" i="26"/>
  <c r="L1535" i="26"/>
  <c r="J1535" i="26"/>
  <c r="I1535" i="26"/>
  <c r="C1535" i="26"/>
  <c r="P1535" i="26" s="1"/>
  <c r="M1535" i="26" s="1"/>
  <c r="O1534" i="26"/>
  <c r="N1534" i="26"/>
  <c r="L1534" i="26"/>
  <c r="J1534" i="26"/>
  <c r="I1534" i="26"/>
  <c r="C1534" i="26"/>
  <c r="P1534" i="26" s="1"/>
  <c r="M1534" i="26" s="1"/>
  <c r="P1533" i="26"/>
  <c r="M1533" i="26" s="1"/>
  <c r="O1533" i="26"/>
  <c r="N1533" i="26"/>
  <c r="L1533" i="26"/>
  <c r="J1533" i="26"/>
  <c r="I1533" i="26"/>
  <c r="C1533" i="26"/>
  <c r="O1532" i="26"/>
  <c r="N1532" i="26"/>
  <c r="L1532" i="26"/>
  <c r="J1532" i="26"/>
  <c r="I1532" i="26"/>
  <c r="C1532" i="26"/>
  <c r="P1532" i="26" s="1"/>
  <c r="M1532" i="26" s="1"/>
  <c r="P1531" i="26"/>
  <c r="M1531" i="26" s="1"/>
  <c r="O1531" i="26"/>
  <c r="N1531" i="26"/>
  <c r="L1531" i="26"/>
  <c r="J1531" i="26"/>
  <c r="I1531" i="26"/>
  <c r="C1531" i="26"/>
  <c r="P1530" i="26"/>
  <c r="M1530" i="26" s="1"/>
  <c r="O1530" i="26"/>
  <c r="N1530" i="26"/>
  <c r="L1530" i="26"/>
  <c r="J1530" i="26"/>
  <c r="I1530" i="26"/>
  <c r="C1530" i="26"/>
  <c r="O1529" i="26"/>
  <c r="N1529" i="26"/>
  <c r="L1529" i="26"/>
  <c r="J1529" i="26"/>
  <c r="I1529" i="26"/>
  <c r="C1529" i="26"/>
  <c r="P1529" i="26" s="1"/>
  <c r="M1529" i="26" s="1"/>
  <c r="O1528" i="26"/>
  <c r="N1528" i="26"/>
  <c r="L1528" i="26"/>
  <c r="J1528" i="26"/>
  <c r="I1528" i="26"/>
  <c r="C1528" i="26"/>
  <c r="P1528" i="26" s="1"/>
  <c r="M1528" i="26" s="1"/>
  <c r="P1527" i="26"/>
  <c r="M1527" i="26" s="1"/>
  <c r="O1527" i="26"/>
  <c r="N1527" i="26"/>
  <c r="L1527" i="26"/>
  <c r="J1527" i="26"/>
  <c r="I1527" i="26"/>
  <c r="C1527" i="26"/>
  <c r="O1526" i="26"/>
  <c r="N1526" i="26"/>
  <c r="L1526" i="26"/>
  <c r="J1526" i="26"/>
  <c r="I1526" i="26"/>
  <c r="C1526" i="26"/>
  <c r="P1526" i="26" s="1"/>
  <c r="M1526" i="26" s="1"/>
  <c r="O1525" i="26"/>
  <c r="N1525" i="26"/>
  <c r="L1525" i="26"/>
  <c r="J1525" i="26"/>
  <c r="I1525" i="26"/>
  <c r="C1525" i="26"/>
  <c r="P1525" i="26" s="1"/>
  <c r="M1525" i="26" s="1"/>
  <c r="P1524" i="26"/>
  <c r="M1524" i="26" s="1"/>
  <c r="O1524" i="26"/>
  <c r="N1524" i="26"/>
  <c r="L1524" i="26"/>
  <c r="J1524" i="26"/>
  <c r="I1524" i="26"/>
  <c r="C1524" i="26"/>
  <c r="P1523" i="26"/>
  <c r="M1523" i="26" s="1"/>
  <c r="O1523" i="26"/>
  <c r="N1523" i="26"/>
  <c r="L1523" i="26"/>
  <c r="J1523" i="26"/>
  <c r="I1523" i="26"/>
  <c r="C1523" i="26"/>
  <c r="P1522" i="26"/>
  <c r="M1522" i="26" s="1"/>
  <c r="O1522" i="26"/>
  <c r="N1522" i="26"/>
  <c r="L1522" i="26"/>
  <c r="J1522" i="26"/>
  <c r="I1522" i="26"/>
  <c r="C1522" i="26"/>
  <c r="O1521" i="26"/>
  <c r="N1521" i="26"/>
  <c r="L1521" i="26"/>
  <c r="J1521" i="26"/>
  <c r="I1521" i="26"/>
  <c r="C1521" i="26"/>
  <c r="P1521" i="26" s="1"/>
  <c r="M1521" i="26" s="1"/>
  <c r="O1520" i="26"/>
  <c r="N1520" i="26"/>
  <c r="L1520" i="26"/>
  <c r="J1520" i="26"/>
  <c r="I1520" i="26"/>
  <c r="C1520" i="26"/>
  <c r="P1520" i="26" s="1"/>
  <c r="M1520" i="26" s="1"/>
  <c r="O1519" i="26"/>
  <c r="N1519" i="26"/>
  <c r="L1519" i="26"/>
  <c r="J1519" i="26"/>
  <c r="I1519" i="26"/>
  <c r="C1519" i="26"/>
  <c r="P1519" i="26" s="1"/>
  <c r="M1519" i="26" s="1"/>
  <c r="O1518" i="26"/>
  <c r="P1518" i="26" s="1"/>
  <c r="M1518" i="26" s="1"/>
  <c r="N1518" i="26"/>
  <c r="L1518" i="26"/>
  <c r="J1518" i="26"/>
  <c r="I1518" i="26"/>
  <c r="C1518" i="26"/>
  <c r="P1517" i="26"/>
  <c r="M1517" i="26" s="1"/>
  <c r="O1517" i="26"/>
  <c r="N1517" i="26"/>
  <c r="L1517" i="26"/>
  <c r="J1517" i="26"/>
  <c r="I1517" i="26"/>
  <c r="C1517" i="26"/>
  <c r="O1516" i="26"/>
  <c r="P1516" i="26" s="1"/>
  <c r="M1516" i="26" s="1"/>
  <c r="N1516" i="26"/>
  <c r="L1516" i="26"/>
  <c r="J1516" i="26"/>
  <c r="I1516" i="26"/>
  <c r="C1516" i="26"/>
  <c r="O1515" i="26"/>
  <c r="P1515" i="26" s="1"/>
  <c r="M1515" i="26" s="1"/>
  <c r="N1515" i="26"/>
  <c r="L1515" i="26"/>
  <c r="J1515" i="26"/>
  <c r="I1515" i="26"/>
  <c r="C1515" i="26"/>
  <c r="O1514" i="26"/>
  <c r="P1514" i="26" s="1"/>
  <c r="M1514" i="26" s="1"/>
  <c r="N1514" i="26"/>
  <c r="L1514" i="26"/>
  <c r="J1514" i="26"/>
  <c r="I1514" i="26"/>
  <c r="C1514" i="26"/>
  <c r="O1513" i="26"/>
  <c r="N1513" i="26"/>
  <c r="L1513" i="26"/>
  <c r="J1513" i="26"/>
  <c r="I1513" i="26"/>
  <c r="C1513" i="26"/>
  <c r="P1513" i="26" s="1"/>
  <c r="M1513" i="26" s="1"/>
  <c r="O1512" i="26"/>
  <c r="N1512" i="26"/>
  <c r="L1512" i="26"/>
  <c r="J1512" i="26"/>
  <c r="I1512" i="26"/>
  <c r="C1512" i="26"/>
  <c r="O1511" i="26"/>
  <c r="N1511" i="26"/>
  <c r="L1511" i="26"/>
  <c r="J1511" i="26"/>
  <c r="I1511" i="26"/>
  <c r="C1511" i="26"/>
  <c r="P1511" i="26" s="1"/>
  <c r="M1511" i="26" s="1"/>
  <c r="P1510" i="26"/>
  <c r="M1510" i="26" s="1"/>
  <c r="O1510" i="26"/>
  <c r="N1510" i="26"/>
  <c r="L1510" i="26"/>
  <c r="J1510" i="26"/>
  <c r="I1510" i="26"/>
  <c r="C1510" i="26"/>
  <c r="O1509" i="26"/>
  <c r="P1509" i="26" s="1"/>
  <c r="M1509" i="26" s="1"/>
  <c r="N1509" i="26"/>
  <c r="L1509" i="26"/>
  <c r="J1509" i="26"/>
  <c r="I1509" i="26"/>
  <c r="C1509" i="26"/>
  <c r="O1508" i="26"/>
  <c r="P1508" i="26" s="1"/>
  <c r="M1508" i="26" s="1"/>
  <c r="N1508" i="26"/>
  <c r="L1508" i="26"/>
  <c r="J1508" i="26"/>
  <c r="I1508" i="26"/>
  <c r="C1508" i="26"/>
  <c r="O1507" i="26"/>
  <c r="P1507" i="26" s="1"/>
  <c r="M1507" i="26" s="1"/>
  <c r="N1507" i="26"/>
  <c r="L1507" i="26"/>
  <c r="J1507" i="26"/>
  <c r="I1507" i="26"/>
  <c r="C1507" i="26"/>
  <c r="O1506" i="26"/>
  <c r="P1506" i="26" s="1"/>
  <c r="M1506" i="26" s="1"/>
  <c r="N1506" i="26"/>
  <c r="L1506" i="26"/>
  <c r="J1506" i="26"/>
  <c r="I1506" i="26"/>
  <c r="C1506" i="26"/>
  <c r="P1505" i="26"/>
  <c r="M1505" i="26" s="1"/>
  <c r="O1505" i="26"/>
  <c r="N1505" i="26"/>
  <c r="L1505" i="26"/>
  <c r="J1505" i="26"/>
  <c r="I1505" i="26"/>
  <c r="C1505" i="26"/>
  <c r="O1504" i="26"/>
  <c r="N1504" i="26"/>
  <c r="L1504" i="26"/>
  <c r="J1504" i="26"/>
  <c r="I1504" i="26"/>
  <c r="C1504" i="26"/>
  <c r="P1503" i="26"/>
  <c r="M1503" i="26" s="1"/>
  <c r="O1503" i="26"/>
  <c r="N1503" i="26"/>
  <c r="L1503" i="26"/>
  <c r="J1503" i="26"/>
  <c r="I1503" i="26"/>
  <c r="C1503" i="26"/>
  <c r="O1502" i="26"/>
  <c r="P1502" i="26" s="1"/>
  <c r="M1502" i="26" s="1"/>
  <c r="N1502" i="26"/>
  <c r="L1502" i="26"/>
  <c r="J1502" i="26"/>
  <c r="I1502" i="26"/>
  <c r="C1502" i="26"/>
  <c r="O1501" i="26"/>
  <c r="P1501" i="26" s="1"/>
  <c r="M1501" i="26" s="1"/>
  <c r="N1501" i="26"/>
  <c r="L1501" i="26"/>
  <c r="J1501" i="26"/>
  <c r="I1501" i="26"/>
  <c r="C1501" i="26"/>
  <c r="P1500" i="26"/>
  <c r="M1500" i="26" s="1"/>
  <c r="O1500" i="26"/>
  <c r="N1500" i="26"/>
  <c r="L1500" i="26"/>
  <c r="J1500" i="26"/>
  <c r="I1500" i="26"/>
  <c r="C1500" i="26"/>
  <c r="O1499" i="26"/>
  <c r="P1499" i="26" s="1"/>
  <c r="M1499" i="26" s="1"/>
  <c r="N1499" i="26"/>
  <c r="L1499" i="26"/>
  <c r="J1499" i="26"/>
  <c r="I1499" i="26"/>
  <c r="C1499" i="26"/>
  <c r="P1498" i="26"/>
  <c r="M1498" i="26" s="1"/>
  <c r="O1498" i="26"/>
  <c r="N1498" i="26"/>
  <c r="L1498" i="26"/>
  <c r="J1498" i="26"/>
  <c r="I1498" i="26"/>
  <c r="C1498" i="26"/>
  <c r="O1497" i="26"/>
  <c r="P1497" i="26" s="1"/>
  <c r="M1497" i="26" s="1"/>
  <c r="N1497" i="26"/>
  <c r="L1497" i="26"/>
  <c r="J1497" i="26"/>
  <c r="I1497" i="26"/>
  <c r="C1497" i="26"/>
  <c r="O1496" i="26"/>
  <c r="N1496" i="26"/>
  <c r="L1496" i="26"/>
  <c r="J1496" i="26"/>
  <c r="I1496" i="26"/>
  <c r="C1496" i="26"/>
  <c r="P1495" i="26"/>
  <c r="M1495" i="26" s="1"/>
  <c r="O1495" i="26"/>
  <c r="N1495" i="26"/>
  <c r="L1495" i="26"/>
  <c r="J1495" i="26"/>
  <c r="I1495" i="26"/>
  <c r="C1495" i="26"/>
  <c r="O1494" i="26"/>
  <c r="P1494" i="26" s="1"/>
  <c r="M1494" i="26" s="1"/>
  <c r="N1494" i="26"/>
  <c r="L1494" i="26"/>
  <c r="J1494" i="26"/>
  <c r="I1494" i="26"/>
  <c r="C1494" i="26"/>
  <c r="P1493" i="26"/>
  <c r="M1493" i="26" s="1"/>
  <c r="O1493" i="26"/>
  <c r="N1493" i="26"/>
  <c r="L1493" i="26"/>
  <c r="J1493" i="26"/>
  <c r="I1493" i="26"/>
  <c r="C1493" i="26"/>
  <c r="O1492" i="26"/>
  <c r="P1492" i="26" s="1"/>
  <c r="M1492" i="26" s="1"/>
  <c r="N1492" i="26"/>
  <c r="L1492" i="26"/>
  <c r="J1492" i="26"/>
  <c r="I1492" i="26"/>
  <c r="C1492" i="26"/>
  <c r="P1491" i="26"/>
  <c r="M1491" i="26" s="1"/>
  <c r="O1491" i="26"/>
  <c r="N1491" i="26"/>
  <c r="L1491" i="26"/>
  <c r="J1491" i="26"/>
  <c r="I1491" i="26"/>
  <c r="C1491" i="26"/>
  <c r="O1490" i="26"/>
  <c r="P1490" i="26" s="1"/>
  <c r="M1490" i="26" s="1"/>
  <c r="N1490" i="26"/>
  <c r="L1490" i="26"/>
  <c r="J1490" i="26"/>
  <c r="I1490" i="26"/>
  <c r="C1490" i="26"/>
  <c r="O1489" i="26"/>
  <c r="P1489" i="26" s="1"/>
  <c r="M1489" i="26" s="1"/>
  <c r="N1489" i="26"/>
  <c r="L1489" i="26"/>
  <c r="J1489" i="26"/>
  <c r="I1489" i="26"/>
  <c r="C1489" i="26"/>
  <c r="O1488" i="26"/>
  <c r="P1488" i="26" s="1"/>
  <c r="M1488" i="26" s="1"/>
  <c r="N1488" i="26"/>
  <c r="L1488" i="26"/>
  <c r="J1488" i="26"/>
  <c r="I1488" i="26"/>
  <c r="C1488" i="26"/>
  <c r="P1487" i="26"/>
  <c r="M1487" i="26" s="1"/>
  <c r="O1487" i="26"/>
  <c r="N1487" i="26"/>
  <c r="L1487" i="26"/>
  <c r="J1487" i="26"/>
  <c r="I1487" i="26"/>
  <c r="C1487" i="26"/>
  <c r="P1486" i="26"/>
  <c r="M1486" i="26" s="1"/>
  <c r="O1486" i="26"/>
  <c r="N1486" i="26"/>
  <c r="L1486" i="26"/>
  <c r="J1486" i="26"/>
  <c r="I1486" i="26"/>
  <c r="C1486" i="26"/>
  <c r="O1485" i="26"/>
  <c r="P1485" i="26" s="1"/>
  <c r="M1485" i="26" s="1"/>
  <c r="N1485" i="26"/>
  <c r="L1485" i="26"/>
  <c r="J1485" i="26"/>
  <c r="I1485" i="26"/>
  <c r="C1485" i="26"/>
  <c r="P1484" i="26"/>
  <c r="M1484" i="26" s="1"/>
  <c r="O1484" i="26"/>
  <c r="N1484" i="26"/>
  <c r="L1484" i="26"/>
  <c r="J1484" i="26"/>
  <c r="I1484" i="26"/>
  <c r="C1484" i="26"/>
  <c r="O1483" i="26"/>
  <c r="P1483" i="26" s="1"/>
  <c r="M1483" i="26" s="1"/>
  <c r="N1483" i="26"/>
  <c r="L1483" i="26"/>
  <c r="J1483" i="26"/>
  <c r="I1483" i="26"/>
  <c r="C1483" i="26"/>
  <c r="O1482" i="26"/>
  <c r="P1482" i="26" s="1"/>
  <c r="M1482" i="26" s="1"/>
  <c r="N1482" i="26"/>
  <c r="L1482" i="26"/>
  <c r="J1482" i="26"/>
  <c r="I1482" i="26"/>
  <c r="C1482" i="26"/>
  <c r="P1481" i="26"/>
  <c r="M1481" i="26" s="1"/>
  <c r="O1481" i="26"/>
  <c r="N1481" i="26"/>
  <c r="L1481" i="26"/>
  <c r="J1481" i="26"/>
  <c r="I1481" i="26"/>
  <c r="C1481" i="26"/>
  <c r="O1480" i="26"/>
  <c r="P1480" i="26" s="1"/>
  <c r="M1480" i="26" s="1"/>
  <c r="N1480" i="26"/>
  <c r="L1480" i="26"/>
  <c r="J1480" i="26"/>
  <c r="I1480" i="26"/>
  <c r="C1480" i="26"/>
  <c r="O1479" i="26"/>
  <c r="P1479" i="26" s="1"/>
  <c r="M1479" i="26" s="1"/>
  <c r="N1479" i="26"/>
  <c r="L1479" i="26"/>
  <c r="J1479" i="26"/>
  <c r="I1479" i="26"/>
  <c r="C1479" i="26"/>
  <c r="P1478" i="26"/>
  <c r="M1478" i="26" s="1"/>
  <c r="O1478" i="26"/>
  <c r="N1478" i="26"/>
  <c r="L1478" i="26"/>
  <c r="J1478" i="26"/>
  <c r="I1478" i="26"/>
  <c r="C1478" i="26"/>
  <c r="O1477" i="26"/>
  <c r="P1477" i="26" s="1"/>
  <c r="M1477" i="26" s="1"/>
  <c r="N1477" i="26"/>
  <c r="L1477" i="26"/>
  <c r="J1477" i="26"/>
  <c r="I1477" i="26"/>
  <c r="C1477" i="26"/>
  <c r="P1476" i="26"/>
  <c r="M1476" i="26" s="1"/>
  <c r="O1476" i="26"/>
  <c r="N1476" i="26"/>
  <c r="L1476" i="26"/>
  <c r="J1476" i="26"/>
  <c r="I1476" i="26"/>
  <c r="C1476" i="26"/>
  <c r="O1475" i="26"/>
  <c r="P1475" i="26" s="1"/>
  <c r="M1475" i="26" s="1"/>
  <c r="N1475" i="26"/>
  <c r="L1475" i="26"/>
  <c r="J1475" i="26"/>
  <c r="I1475" i="26"/>
  <c r="C1475" i="26"/>
  <c r="N1474" i="26"/>
  <c r="O1474" i="26" s="1"/>
  <c r="P1474" i="26" s="1"/>
  <c r="M1474" i="26" s="1"/>
  <c r="L1474" i="26"/>
  <c r="J1474" i="26"/>
  <c r="I1474" i="26"/>
  <c r="C1474" i="26"/>
  <c r="N1473" i="26"/>
  <c r="O1473" i="26" s="1"/>
  <c r="P1473" i="26" s="1"/>
  <c r="M1473" i="26" s="1"/>
  <c r="L1473" i="26"/>
  <c r="J1473" i="26"/>
  <c r="I1473" i="26"/>
  <c r="C1473" i="26"/>
  <c r="O1472" i="26"/>
  <c r="P1472" i="26" s="1"/>
  <c r="M1472" i="26" s="1"/>
  <c r="N1472" i="26"/>
  <c r="L1472" i="26"/>
  <c r="J1472" i="26"/>
  <c r="I1472" i="26"/>
  <c r="C1472" i="26"/>
  <c r="N1471" i="26"/>
  <c r="O1471" i="26" s="1"/>
  <c r="P1471" i="26" s="1"/>
  <c r="M1471" i="26" s="1"/>
  <c r="L1471" i="26"/>
  <c r="J1471" i="26"/>
  <c r="I1471" i="26"/>
  <c r="C1471" i="26"/>
  <c r="N1470" i="26"/>
  <c r="O1470" i="26" s="1"/>
  <c r="P1470" i="26" s="1"/>
  <c r="M1470" i="26" s="1"/>
  <c r="L1470" i="26"/>
  <c r="J1470" i="26"/>
  <c r="I1470" i="26"/>
  <c r="C1470" i="26"/>
  <c r="O1469" i="26"/>
  <c r="P1469" i="26" s="1"/>
  <c r="M1469" i="26" s="1"/>
  <c r="N1469" i="26"/>
  <c r="L1469" i="26"/>
  <c r="J1469" i="26"/>
  <c r="I1469" i="26"/>
  <c r="C1469" i="26"/>
  <c r="N1468" i="26"/>
  <c r="O1468" i="26" s="1"/>
  <c r="P1468" i="26" s="1"/>
  <c r="M1468" i="26" s="1"/>
  <c r="L1468" i="26"/>
  <c r="I1468" i="26"/>
  <c r="J1468" i="26" s="1"/>
  <c r="C1468" i="26"/>
  <c r="O1467" i="26"/>
  <c r="P1467" i="26" s="1"/>
  <c r="M1467" i="26" s="1"/>
  <c r="N1467" i="26"/>
  <c r="L1467" i="26"/>
  <c r="I1467" i="26"/>
  <c r="J1467" i="26" s="1"/>
  <c r="C1467" i="26"/>
  <c r="N1466" i="26"/>
  <c r="O1466" i="26" s="1"/>
  <c r="P1466" i="26" s="1"/>
  <c r="M1466" i="26" s="1"/>
  <c r="L1466" i="26"/>
  <c r="J1466" i="26"/>
  <c r="I1466" i="26"/>
  <c r="C1466" i="26"/>
  <c r="N1465" i="26"/>
  <c r="O1465" i="26" s="1"/>
  <c r="P1465" i="26" s="1"/>
  <c r="M1465" i="26" s="1"/>
  <c r="L1465" i="26"/>
  <c r="I1465" i="26"/>
  <c r="J1465" i="26" s="1"/>
  <c r="C1465" i="26"/>
  <c r="O1464" i="26"/>
  <c r="P1464" i="26" s="1"/>
  <c r="M1464" i="26" s="1"/>
  <c r="N1464" i="26"/>
  <c r="L1464" i="26"/>
  <c r="J1464" i="26"/>
  <c r="I1464" i="26"/>
  <c r="C1464" i="26"/>
  <c r="N1463" i="26"/>
  <c r="O1463" i="26" s="1"/>
  <c r="P1463" i="26" s="1"/>
  <c r="M1463" i="26" s="1"/>
  <c r="L1463" i="26"/>
  <c r="I1463" i="26"/>
  <c r="J1463" i="26" s="1"/>
  <c r="C1463" i="26"/>
  <c r="N1462" i="26"/>
  <c r="O1462" i="26" s="1"/>
  <c r="P1462" i="26" s="1"/>
  <c r="M1462" i="26" s="1"/>
  <c r="L1462" i="26"/>
  <c r="I1462" i="26"/>
  <c r="J1462" i="26" s="1"/>
  <c r="C1462" i="26"/>
  <c r="O1461" i="26"/>
  <c r="P1461" i="26" s="1"/>
  <c r="M1461" i="26" s="1"/>
  <c r="N1461" i="26"/>
  <c r="L1461" i="26"/>
  <c r="J1461" i="26"/>
  <c r="I1461" i="26"/>
  <c r="C1461" i="26"/>
  <c r="N1460" i="26"/>
  <c r="O1460" i="26" s="1"/>
  <c r="P1460" i="26" s="1"/>
  <c r="M1460" i="26" s="1"/>
  <c r="L1460" i="26"/>
  <c r="I1460" i="26"/>
  <c r="J1460" i="26" s="1"/>
  <c r="C1460" i="26"/>
  <c r="O1459" i="26"/>
  <c r="P1459" i="26" s="1"/>
  <c r="M1459" i="26" s="1"/>
  <c r="N1459" i="26"/>
  <c r="L1459" i="26"/>
  <c r="I1459" i="26"/>
  <c r="J1459" i="26" s="1"/>
  <c r="C1459" i="26"/>
  <c r="N1458" i="26"/>
  <c r="O1458" i="26" s="1"/>
  <c r="P1458" i="26" s="1"/>
  <c r="M1458" i="26" s="1"/>
  <c r="L1458" i="26"/>
  <c r="J1458" i="26"/>
  <c r="I1458" i="26"/>
  <c r="C1458" i="26"/>
  <c r="N1457" i="26"/>
  <c r="O1457" i="26" s="1"/>
  <c r="P1457" i="26" s="1"/>
  <c r="M1457" i="26" s="1"/>
  <c r="L1457" i="26"/>
  <c r="I1457" i="26"/>
  <c r="J1457" i="26" s="1"/>
  <c r="C1457" i="26"/>
  <c r="O1456" i="26"/>
  <c r="P1456" i="26" s="1"/>
  <c r="M1456" i="26" s="1"/>
  <c r="N1456" i="26"/>
  <c r="L1456" i="26"/>
  <c r="J1456" i="26"/>
  <c r="I1456" i="26"/>
  <c r="C1456" i="26"/>
  <c r="N1455" i="26"/>
  <c r="O1455" i="26" s="1"/>
  <c r="P1455" i="26" s="1"/>
  <c r="M1455" i="26" s="1"/>
  <c r="L1455" i="26"/>
  <c r="I1455" i="26"/>
  <c r="J1455" i="26" s="1"/>
  <c r="C1455" i="26"/>
  <c r="N1454" i="26"/>
  <c r="O1454" i="26" s="1"/>
  <c r="P1454" i="26" s="1"/>
  <c r="M1454" i="26" s="1"/>
  <c r="L1454" i="26"/>
  <c r="I1454" i="26"/>
  <c r="J1454" i="26" s="1"/>
  <c r="C1454" i="26"/>
  <c r="O1453" i="26"/>
  <c r="P1453" i="26" s="1"/>
  <c r="M1453" i="26" s="1"/>
  <c r="N1453" i="26"/>
  <c r="L1453" i="26"/>
  <c r="J1453" i="26"/>
  <c r="I1453" i="26"/>
  <c r="C1453" i="26"/>
  <c r="N1452" i="26"/>
  <c r="O1452" i="26" s="1"/>
  <c r="P1452" i="26" s="1"/>
  <c r="M1452" i="26" s="1"/>
  <c r="L1452" i="26"/>
  <c r="I1452" i="26"/>
  <c r="J1452" i="26" s="1"/>
  <c r="C1452" i="26"/>
  <c r="O1451" i="26"/>
  <c r="P1451" i="26" s="1"/>
  <c r="M1451" i="26" s="1"/>
  <c r="N1451" i="26"/>
  <c r="L1451" i="26"/>
  <c r="I1451" i="26"/>
  <c r="J1451" i="26" s="1"/>
  <c r="C1451" i="26"/>
  <c r="N1450" i="26"/>
  <c r="O1450" i="26" s="1"/>
  <c r="P1450" i="26" s="1"/>
  <c r="M1450" i="26" s="1"/>
  <c r="L1450" i="26"/>
  <c r="J1450" i="26"/>
  <c r="I1450" i="26"/>
  <c r="C1450" i="26"/>
  <c r="N1449" i="26"/>
  <c r="O1449" i="26" s="1"/>
  <c r="P1449" i="26" s="1"/>
  <c r="M1449" i="26" s="1"/>
  <c r="L1449" i="26"/>
  <c r="I1449" i="26"/>
  <c r="J1449" i="26" s="1"/>
  <c r="C1449" i="26"/>
  <c r="O1448" i="26"/>
  <c r="P1448" i="26" s="1"/>
  <c r="M1448" i="26" s="1"/>
  <c r="N1448" i="26"/>
  <c r="L1448" i="26"/>
  <c r="J1448" i="26"/>
  <c r="I1448" i="26"/>
  <c r="C1448" i="26"/>
  <c r="N1447" i="26"/>
  <c r="O1447" i="26" s="1"/>
  <c r="P1447" i="26" s="1"/>
  <c r="M1447" i="26" s="1"/>
  <c r="L1447" i="26"/>
  <c r="I1447" i="26"/>
  <c r="J1447" i="26" s="1"/>
  <c r="C1447" i="26"/>
  <c r="N1446" i="26"/>
  <c r="O1446" i="26" s="1"/>
  <c r="P1446" i="26" s="1"/>
  <c r="M1446" i="26" s="1"/>
  <c r="L1446" i="26"/>
  <c r="I1446" i="26"/>
  <c r="J1446" i="26" s="1"/>
  <c r="C1446" i="26"/>
  <c r="O1445" i="26"/>
  <c r="P1445" i="26" s="1"/>
  <c r="M1445" i="26" s="1"/>
  <c r="N1445" i="26"/>
  <c r="L1445" i="26"/>
  <c r="J1445" i="26"/>
  <c r="I1445" i="26"/>
  <c r="C1445" i="26"/>
  <c r="N1444" i="26"/>
  <c r="O1444" i="26" s="1"/>
  <c r="P1444" i="26" s="1"/>
  <c r="M1444" i="26" s="1"/>
  <c r="L1444" i="26"/>
  <c r="I1444" i="26"/>
  <c r="J1444" i="26" s="1"/>
  <c r="C1444" i="26"/>
  <c r="O1443" i="26"/>
  <c r="P1443" i="26" s="1"/>
  <c r="M1443" i="26" s="1"/>
  <c r="N1443" i="26"/>
  <c r="L1443" i="26"/>
  <c r="I1443" i="26"/>
  <c r="J1443" i="26" s="1"/>
  <c r="C1443" i="26"/>
  <c r="N1442" i="26"/>
  <c r="O1442" i="26" s="1"/>
  <c r="P1442" i="26" s="1"/>
  <c r="M1442" i="26" s="1"/>
  <c r="L1442" i="26"/>
  <c r="J1442" i="26"/>
  <c r="I1442" i="26"/>
  <c r="C1442" i="26"/>
  <c r="N1441" i="26"/>
  <c r="O1441" i="26" s="1"/>
  <c r="P1441" i="26" s="1"/>
  <c r="M1441" i="26" s="1"/>
  <c r="L1441" i="26"/>
  <c r="I1441" i="26"/>
  <c r="J1441" i="26" s="1"/>
  <c r="C1441" i="26"/>
  <c r="O1440" i="26"/>
  <c r="P1440" i="26" s="1"/>
  <c r="M1440" i="26" s="1"/>
  <c r="N1440" i="26"/>
  <c r="L1440" i="26"/>
  <c r="J1440" i="26"/>
  <c r="I1440" i="26"/>
  <c r="C1440" i="26"/>
  <c r="N1439" i="26"/>
  <c r="O1439" i="26" s="1"/>
  <c r="P1439" i="26" s="1"/>
  <c r="M1439" i="26" s="1"/>
  <c r="L1439" i="26"/>
  <c r="I1439" i="26"/>
  <c r="J1439" i="26" s="1"/>
  <c r="C1439" i="26"/>
  <c r="N1438" i="26"/>
  <c r="O1438" i="26" s="1"/>
  <c r="P1438" i="26" s="1"/>
  <c r="M1438" i="26" s="1"/>
  <c r="L1438" i="26"/>
  <c r="I1438" i="26"/>
  <c r="J1438" i="26" s="1"/>
  <c r="C1438" i="26"/>
  <c r="O1437" i="26"/>
  <c r="P1437" i="26" s="1"/>
  <c r="M1437" i="26" s="1"/>
  <c r="N1437" i="26"/>
  <c r="L1437" i="26"/>
  <c r="J1437" i="26"/>
  <c r="I1437" i="26"/>
  <c r="C1437" i="26"/>
  <c r="N1436" i="26"/>
  <c r="O1436" i="26" s="1"/>
  <c r="P1436" i="26" s="1"/>
  <c r="M1436" i="26" s="1"/>
  <c r="L1436" i="26"/>
  <c r="I1436" i="26"/>
  <c r="J1436" i="26" s="1"/>
  <c r="C1436" i="26"/>
  <c r="O1435" i="26"/>
  <c r="P1435" i="26" s="1"/>
  <c r="M1435" i="26" s="1"/>
  <c r="N1435" i="26"/>
  <c r="L1435" i="26"/>
  <c r="I1435" i="26"/>
  <c r="J1435" i="26" s="1"/>
  <c r="C1435" i="26"/>
  <c r="N1434" i="26"/>
  <c r="O1434" i="26" s="1"/>
  <c r="P1434" i="26" s="1"/>
  <c r="M1434" i="26" s="1"/>
  <c r="L1434" i="26"/>
  <c r="J1434" i="26"/>
  <c r="I1434" i="26"/>
  <c r="C1434" i="26"/>
  <c r="N1433" i="26"/>
  <c r="O1433" i="26" s="1"/>
  <c r="P1433" i="26" s="1"/>
  <c r="M1433" i="26" s="1"/>
  <c r="L1433" i="26"/>
  <c r="I1433" i="26"/>
  <c r="J1433" i="26" s="1"/>
  <c r="C1433" i="26"/>
  <c r="O1432" i="26"/>
  <c r="P1432" i="26" s="1"/>
  <c r="M1432" i="26" s="1"/>
  <c r="N1432" i="26"/>
  <c r="L1432" i="26"/>
  <c r="J1432" i="26"/>
  <c r="I1432" i="26"/>
  <c r="C1432" i="26"/>
  <c r="N1431" i="26"/>
  <c r="O1431" i="26" s="1"/>
  <c r="P1431" i="26" s="1"/>
  <c r="M1431" i="26" s="1"/>
  <c r="L1431" i="26"/>
  <c r="I1431" i="26"/>
  <c r="J1431" i="26" s="1"/>
  <c r="C1431" i="26"/>
  <c r="N1430" i="26"/>
  <c r="O1430" i="26" s="1"/>
  <c r="P1430" i="26" s="1"/>
  <c r="M1430" i="26" s="1"/>
  <c r="L1430" i="26"/>
  <c r="I1430" i="26"/>
  <c r="J1430" i="26" s="1"/>
  <c r="C1430" i="26"/>
  <c r="O1429" i="26"/>
  <c r="P1429" i="26" s="1"/>
  <c r="M1429" i="26" s="1"/>
  <c r="N1429" i="26"/>
  <c r="L1429" i="26"/>
  <c r="J1429" i="26"/>
  <c r="I1429" i="26"/>
  <c r="C1429" i="26"/>
  <c r="N1428" i="26"/>
  <c r="O1428" i="26" s="1"/>
  <c r="P1428" i="26" s="1"/>
  <c r="M1428" i="26" s="1"/>
  <c r="L1428" i="26"/>
  <c r="I1428" i="26"/>
  <c r="J1428" i="26" s="1"/>
  <c r="C1428" i="26"/>
  <c r="O1427" i="26"/>
  <c r="P1427" i="26" s="1"/>
  <c r="M1427" i="26" s="1"/>
  <c r="N1427" i="26"/>
  <c r="L1427" i="26"/>
  <c r="I1427" i="26"/>
  <c r="J1427" i="26" s="1"/>
  <c r="C1427" i="26"/>
  <c r="N1426" i="26"/>
  <c r="O1426" i="26" s="1"/>
  <c r="P1426" i="26" s="1"/>
  <c r="M1426" i="26" s="1"/>
  <c r="L1426" i="26"/>
  <c r="J1426" i="26"/>
  <c r="I1426" i="26"/>
  <c r="C1426" i="26"/>
  <c r="N1425" i="26"/>
  <c r="O1425" i="26" s="1"/>
  <c r="P1425" i="26" s="1"/>
  <c r="M1425" i="26" s="1"/>
  <c r="L1425" i="26"/>
  <c r="I1425" i="26"/>
  <c r="J1425" i="26" s="1"/>
  <c r="C1425" i="26"/>
  <c r="O1424" i="26"/>
  <c r="P1424" i="26" s="1"/>
  <c r="M1424" i="26" s="1"/>
  <c r="N1424" i="26"/>
  <c r="L1424" i="26"/>
  <c r="J1424" i="26"/>
  <c r="I1424" i="26"/>
  <c r="C1424" i="26"/>
  <c r="N1423" i="26"/>
  <c r="O1423" i="26" s="1"/>
  <c r="P1423" i="26" s="1"/>
  <c r="M1423" i="26" s="1"/>
  <c r="L1423" i="26"/>
  <c r="I1423" i="26"/>
  <c r="J1423" i="26" s="1"/>
  <c r="C1423" i="26"/>
  <c r="N1422" i="26"/>
  <c r="O1422" i="26" s="1"/>
  <c r="P1422" i="26" s="1"/>
  <c r="M1422" i="26" s="1"/>
  <c r="L1422" i="26"/>
  <c r="I1422" i="26"/>
  <c r="J1422" i="26" s="1"/>
  <c r="C1422" i="26"/>
  <c r="O1421" i="26"/>
  <c r="P1421" i="26" s="1"/>
  <c r="M1421" i="26" s="1"/>
  <c r="N1421" i="26"/>
  <c r="L1421" i="26"/>
  <c r="J1421" i="26"/>
  <c r="I1421" i="26"/>
  <c r="C1421" i="26"/>
  <c r="N1420" i="26"/>
  <c r="O1420" i="26" s="1"/>
  <c r="P1420" i="26" s="1"/>
  <c r="M1420" i="26" s="1"/>
  <c r="L1420" i="26"/>
  <c r="I1420" i="26"/>
  <c r="J1420" i="26" s="1"/>
  <c r="C1420" i="26"/>
  <c r="O1419" i="26"/>
  <c r="P1419" i="26" s="1"/>
  <c r="M1419" i="26" s="1"/>
  <c r="N1419" i="26"/>
  <c r="L1419" i="26"/>
  <c r="I1419" i="26"/>
  <c r="J1419" i="26" s="1"/>
  <c r="C1419" i="26"/>
  <c r="O1418" i="26"/>
  <c r="P1418" i="26" s="1"/>
  <c r="M1418" i="26" s="1"/>
  <c r="N1418" i="26"/>
  <c r="L1418" i="26"/>
  <c r="I1418" i="26"/>
  <c r="J1418" i="26" s="1"/>
  <c r="C1418" i="26"/>
  <c r="O1417" i="26"/>
  <c r="P1417" i="26" s="1"/>
  <c r="M1417" i="26" s="1"/>
  <c r="N1417" i="26"/>
  <c r="L1417" i="26"/>
  <c r="I1417" i="26"/>
  <c r="J1417" i="26" s="1"/>
  <c r="C1417" i="26"/>
  <c r="O1416" i="26"/>
  <c r="P1416" i="26" s="1"/>
  <c r="M1416" i="26" s="1"/>
  <c r="N1416" i="26"/>
  <c r="L1416" i="26"/>
  <c r="I1416" i="26"/>
  <c r="J1416" i="26" s="1"/>
  <c r="C1416" i="26"/>
  <c r="O1415" i="26"/>
  <c r="P1415" i="26" s="1"/>
  <c r="M1415" i="26" s="1"/>
  <c r="N1415" i="26"/>
  <c r="L1415" i="26"/>
  <c r="I1415" i="26"/>
  <c r="J1415" i="26" s="1"/>
  <c r="C1415" i="26"/>
  <c r="O1414" i="26"/>
  <c r="P1414" i="26" s="1"/>
  <c r="M1414" i="26" s="1"/>
  <c r="N1414" i="26"/>
  <c r="L1414" i="26"/>
  <c r="I1414" i="26"/>
  <c r="J1414" i="26" s="1"/>
  <c r="C1414" i="26"/>
  <c r="O1413" i="26"/>
  <c r="P1413" i="26" s="1"/>
  <c r="M1413" i="26" s="1"/>
  <c r="N1413" i="26"/>
  <c r="L1413" i="26"/>
  <c r="I1413" i="26"/>
  <c r="J1413" i="26" s="1"/>
  <c r="C1413" i="26"/>
  <c r="O1412" i="26"/>
  <c r="P1412" i="26" s="1"/>
  <c r="M1412" i="26" s="1"/>
  <c r="N1412" i="26"/>
  <c r="L1412" i="26"/>
  <c r="I1412" i="26"/>
  <c r="J1412" i="26" s="1"/>
  <c r="C1412" i="26"/>
  <c r="O1411" i="26"/>
  <c r="P1411" i="26" s="1"/>
  <c r="M1411" i="26" s="1"/>
  <c r="N1411" i="26"/>
  <c r="L1411" i="26"/>
  <c r="I1411" i="26"/>
  <c r="J1411" i="26" s="1"/>
  <c r="C1411" i="26"/>
  <c r="O1410" i="26"/>
  <c r="P1410" i="26" s="1"/>
  <c r="M1410" i="26" s="1"/>
  <c r="N1410" i="26"/>
  <c r="L1410" i="26"/>
  <c r="I1410" i="26"/>
  <c r="J1410" i="26" s="1"/>
  <c r="C1410" i="26"/>
  <c r="O1409" i="26"/>
  <c r="P1409" i="26" s="1"/>
  <c r="M1409" i="26" s="1"/>
  <c r="N1409" i="26"/>
  <c r="L1409" i="26"/>
  <c r="I1409" i="26"/>
  <c r="J1409" i="26" s="1"/>
  <c r="C1409" i="26"/>
  <c r="O1408" i="26"/>
  <c r="P1408" i="26" s="1"/>
  <c r="M1408" i="26" s="1"/>
  <c r="N1408" i="26"/>
  <c r="L1408" i="26"/>
  <c r="I1408" i="26"/>
  <c r="J1408" i="26" s="1"/>
  <c r="C1408" i="26"/>
  <c r="O1407" i="26"/>
  <c r="P1407" i="26" s="1"/>
  <c r="M1407" i="26" s="1"/>
  <c r="N1407" i="26"/>
  <c r="L1407" i="26"/>
  <c r="I1407" i="26"/>
  <c r="J1407" i="26" s="1"/>
  <c r="C1407" i="26"/>
  <c r="O1406" i="26"/>
  <c r="P1406" i="26" s="1"/>
  <c r="M1406" i="26" s="1"/>
  <c r="N1406" i="26"/>
  <c r="L1406" i="26"/>
  <c r="I1406" i="26"/>
  <c r="J1406" i="26" s="1"/>
  <c r="C1406" i="26"/>
  <c r="O1405" i="26"/>
  <c r="P1405" i="26" s="1"/>
  <c r="M1405" i="26" s="1"/>
  <c r="N1405" i="26"/>
  <c r="L1405" i="26"/>
  <c r="I1405" i="26"/>
  <c r="J1405" i="26" s="1"/>
  <c r="C1405" i="26"/>
  <c r="O1404" i="26"/>
  <c r="P1404" i="26" s="1"/>
  <c r="M1404" i="26" s="1"/>
  <c r="N1404" i="26"/>
  <c r="L1404" i="26"/>
  <c r="I1404" i="26"/>
  <c r="J1404" i="26" s="1"/>
  <c r="C1404" i="26"/>
  <c r="O1403" i="26"/>
  <c r="P1403" i="26" s="1"/>
  <c r="M1403" i="26" s="1"/>
  <c r="N1403" i="26"/>
  <c r="L1403" i="26"/>
  <c r="J1403" i="26"/>
  <c r="C1403" i="26"/>
  <c r="N1402" i="26"/>
  <c r="O1402" i="26" s="1"/>
  <c r="P1402" i="26" s="1"/>
  <c r="M1402" i="26" s="1"/>
  <c r="L1402" i="26"/>
  <c r="I1402" i="26"/>
  <c r="J1402" i="26" s="1"/>
  <c r="C1402" i="26"/>
  <c r="N1401" i="26"/>
  <c r="O1401" i="26" s="1"/>
  <c r="P1401" i="26" s="1"/>
  <c r="M1401" i="26" s="1"/>
  <c r="L1401" i="26"/>
  <c r="I1401" i="26"/>
  <c r="J1401" i="26" s="1"/>
  <c r="C1401" i="26"/>
  <c r="N1400" i="26"/>
  <c r="O1400" i="26" s="1"/>
  <c r="P1400" i="26" s="1"/>
  <c r="M1400" i="26" s="1"/>
  <c r="L1400" i="26"/>
  <c r="I1400" i="26"/>
  <c r="J1400" i="26" s="1"/>
  <c r="C1400" i="26"/>
  <c r="N1399" i="26"/>
  <c r="O1399" i="26" s="1"/>
  <c r="P1399" i="26" s="1"/>
  <c r="M1399" i="26" s="1"/>
  <c r="L1399" i="26"/>
  <c r="I1399" i="26"/>
  <c r="J1399" i="26" s="1"/>
  <c r="C1399" i="26"/>
  <c r="N1398" i="26"/>
  <c r="O1398" i="26" s="1"/>
  <c r="P1398" i="26" s="1"/>
  <c r="M1398" i="26" s="1"/>
  <c r="L1398" i="26"/>
  <c r="I1398" i="26"/>
  <c r="J1398" i="26" s="1"/>
  <c r="C1398" i="26"/>
  <c r="N1397" i="26"/>
  <c r="O1397" i="26" s="1"/>
  <c r="P1397" i="26" s="1"/>
  <c r="M1397" i="26" s="1"/>
  <c r="L1397" i="26"/>
  <c r="I1397" i="26"/>
  <c r="J1397" i="26" s="1"/>
  <c r="C1397" i="26"/>
  <c r="N1396" i="26"/>
  <c r="O1396" i="26" s="1"/>
  <c r="P1396" i="26" s="1"/>
  <c r="M1396" i="26" s="1"/>
  <c r="L1396" i="26"/>
  <c r="I1396" i="26"/>
  <c r="J1396" i="26" s="1"/>
  <c r="C1396" i="26"/>
  <c r="N1395" i="26"/>
  <c r="O1395" i="26" s="1"/>
  <c r="P1395" i="26" s="1"/>
  <c r="M1395" i="26" s="1"/>
  <c r="L1395" i="26"/>
  <c r="I1395" i="26"/>
  <c r="J1395" i="26" s="1"/>
  <c r="C1395" i="26"/>
  <c r="N1394" i="26"/>
  <c r="O1394" i="26" s="1"/>
  <c r="P1394" i="26" s="1"/>
  <c r="M1394" i="26" s="1"/>
  <c r="L1394" i="26"/>
  <c r="I1394" i="26"/>
  <c r="J1394" i="26" s="1"/>
  <c r="C1394" i="26"/>
  <c r="N1393" i="26"/>
  <c r="O1393" i="26" s="1"/>
  <c r="P1393" i="26" s="1"/>
  <c r="M1393" i="26" s="1"/>
  <c r="L1393" i="26"/>
  <c r="I1393" i="26"/>
  <c r="J1393" i="26" s="1"/>
  <c r="C1393" i="26"/>
  <c r="N1392" i="26"/>
  <c r="O1392" i="26" s="1"/>
  <c r="P1392" i="26" s="1"/>
  <c r="M1392" i="26" s="1"/>
  <c r="L1392" i="26"/>
  <c r="I1392" i="26"/>
  <c r="J1392" i="26" s="1"/>
  <c r="C1392" i="26"/>
  <c r="N1391" i="26"/>
  <c r="O1391" i="26" s="1"/>
  <c r="P1391" i="26" s="1"/>
  <c r="M1391" i="26" s="1"/>
  <c r="L1391" i="26"/>
  <c r="I1391" i="26"/>
  <c r="J1391" i="26" s="1"/>
  <c r="C1391" i="26"/>
  <c r="N1390" i="26"/>
  <c r="O1390" i="26" s="1"/>
  <c r="P1390" i="26" s="1"/>
  <c r="M1390" i="26" s="1"/>
  <c r="L1390" i="26"/>
  <c r="I1390" i="26"/>
  <c r="J1390" i="26" s="1"/>
  <c r="C1390" i="26"/>
  <c r="N1389" i="26"/>
  <c r="O1389" i="26" s="1"/>
  <c r="P1389" i="26" s="1"/>
  <c r="M1389" i="26" s="1"/>
  <c r="L1389" i="26"/>
  <c r="I1389" i="26"/>
  <c r="J1389" i="26" s="1"/>
  <c r="C1389" i="26"/>
  <c r="N1388" i="26"/>
  <c r="O1388" i="26" s="1"/>
  <c r="P1388" i="26" s="1"/>
  <c r="M1388" i="26" s="1"/>
  <c r="L1388" i="26"/>
  <c r="I1388" i="26"/>
  <c r="J1388" i="26" s="1"/>
  <c r="C1388" i="26"/>
  <c r="N1387" i="26"/>
  <c r="O1387" i="26" s="1"/>
  <c r="P1387" i="26" s="1"/>
  <c r="M1387" i="26" s="1"/>
  <c r="L1387" i="26"/>
  <c r="I1387" i="26"/>
  <c r="J1387" i="26" s="1"/>
  <c r="C1387" i="26"/>
  <c r="N1386" i="26"/>
  <c r="O1386" i="26" s="1"/>
  <c r="P1386" i="26" s="1"/>
  <c r="M1386" i="26" s="1"/>
  <c r="L1386" i="26"/>
  <c r="I1386" i="26"/>
  <c r="J1386" i="26" s="1"/>
  <c r="C1386" i="26"/>
  <c r="N1385" i="26"/>
  <c r="O1385" i="26" s="1"/>
  <c r="P1385" i="26" s="1"/>
  <c r="M1385" i="26" s="1"/>
  <c r="L1385" i="26"/>
  <c r="I1385" i="26"/>
  <c r="J1385" i="26" s="1"/>
  <c r="C1385" i="26"/>
  <c r="N1384" i="26"/>
  <c r="O1384" i="26" s="1"/>
  <c r="P1384" i="26" s="1"/>
  <c r="M1384" i="26" s="1"/>
  <c r="L1384" i="26"/>
  <c r="I1384" i="26"/>
  <c r="J1384" i="26" s="1"/>
  <c r="C1384" i="26"/>
  <c r="N1383" i="26"/>
  <c r="O1383" i="26" s="1"/>
  <c r="P1383" i="26" s="1"/>
  <c r="M1383" i="26" s="1"/>
  <c r="L1383" i="26"/>
  <c r="I1383" i="26"/>
  <c r="J1383" i="26" s="1"/>
  <c r="C1383" i="26"/>
  <c r="N1382" i="26"/>
  <c r="O1382" i="26" s="1"/>
  <c r="P1382" i="26" s="1"/>
  <c r="M1382" i="26" s="1"/>
  <c r="L1382" i="26"/>
  <c r="I1382" i="26"/>
  <c r="J1382" i="26" s="1"/>
  <c r="C1382" i="26"/>
  <c r="N1381" i="26"/>
  <c r="O1381" i="26" s="1"/>
  <c r="P1381" i="26" s="1"/>
  <c r="M1381" i="26" s="1"/>
  <c r="L1381" i="26"/>
  <c r="I1381" i="26"/>
  <c r="J1381" i="26" s="1"/>
  <c r="C1381" i="26"/>
  <c r="N1380" i="26"/>
  <c r="O1380" i="26" s="1"/>
  <c r="P1380" i="26" s="1"/>
  <c r="M1380" i="26" s="1"/>
  <c r="L1380" i="26"/>
  <c r="I1380" i="26"/>
  <c r="J1380" i="26" s="1"/>
  <c r="C1380" i="26"/>
  <c r="N1379" i="26"/>
  <c r="O1379" i="26" s="1"/>
  <c r="P1379" i="26" s="1"/>
  <c r="M1379" i="26" s="1"/>
  <c r="L1379" i="26"/>
  <c r="I1379" i="26"/>
  <c r="J1379" i="26" s="1"/>
  <c r="C1379" i="26"/>
  <c r="N1378" i="26"/>
  <c r="O1378" i="26" s="1"/>
  <c r="P1378" i="26" s="1"/>
  <c r="M1378" i="26" s="1"/>
  <c r="L1378" i="26"/>
  <c r="I1378" i="26"/>
  <c r="J1378" i="26" s="1"/>
  <c r="C1378" i="26"/>
  <c r="N1377" i="26"/>
  <c r="O1377" i="26" s="1"/>
  <c r="P1377" i="26" s="1"/>
  <c r="M1377" i="26" s="1"/>
  <c r="L1377" i="26"/>
  <c r="I1377" i="26"/>
  <c r="J1377" i="26" s="1"/>
  <c r="C1377" i="26"/>
  <c r="N1376" i="26"/>
  <c r="O1376" i="26" s="1"/>
  <c r="L1376" i="26"/>
  <c r="I1376" i="26"/>
  <c r="J1376" i="26" s="1"/>
  <c r="C1376" i="26"/>
  <c r="N1375" i="26"/>
  <c r="O1375" i="26" s="1"/>
  <c r="L1375" i="26"/>
  <c r="I1375" i="26"/>
  <c r="J1375" i="26" s="1"/>
  <c r="C1375" i="26"/>
  <c r="P1375" i="26" s="1"/>
  <c r="M1375" i="26" s="1"/>
  <c r="N1374" i="26"/>
  <c r="O1374" i="26" s="1"/>
  <c r="L1374" i="26"/>
  <c r="I1374" i="26"/>
  <c r="J1374" i="26" s="1"/>
  <c r="C1374" i="26"/>
  <c r="P1374" i="26" s="1"/>
  <c r="M1374" i="26" s="1"/>
  <c r="N1373" i="26"/>
  <c r="O1373" i="26" s="1"/>
  <c r="P1373" i="26" s="1"/>
  <c r="M1373" i="26" s="1"/>
  <c r="L1373" i="26"/>
  <c r="I1373" i="26"/>
  <c r="J1373" i="26" s="1"/>
  <c r="C1373" i="26"/>
  <c r="N1372" i="26"/>
  <c r="O1372" i="26" s="1"/>
  <c r="L1372" i="26"/>
  <c r="I1372" i="26"/>
  <c r="J1372" i="26" s="1"/>
  <c r="C1372" i="26"/>
  <c r="P1372" i="26" s="1"/>
  <c r="M1372" i="26" s="1"/>
  <c r="P1371" i="26"/>
  <c r="M1371" i="26" s="1"/>
  <c r="N1371" i="26"/>
  <c r="O1371" i="26" s="1"/>
  <c r="L1371" i="26"/>
  <c r="I1371" i="26"/>
  <c r="J1371" i="26" s="1"/>
  <c r="C1371" i="26"/>
  <c r="P1370" i="26"/>
  <c r="M1370" i="26" s="1"/>
  <c r="N1370" i="26"/>
  <c r="O1370" i="26" s="1"/>
  <c r="L1370" i="26"/>
  <c r="I1370" i="26"/>
  <c r="J1370" i="26" s="1"/>
  <c r="C1370" i="26"/>
  <c r="N1369" i="26"/>
  <c r="O1369" i="26" s="1"/>
  <c r="P1369" i="26" s="1"/>
  <c r="M1369" i="26" s="1"/>
  <c r="L1369" i="26"/>
  <c r="I1369" i="26"/>
  <c r="J1369" i="26" s="1"/>
  <c r="C1369" i="26"/>
  <c r="N1368" i="26"/>
  <c r="O1368" i="26" s="1"/>
  <c r="P1368" i="26" s="1"/>
  <c r="M1368" i="26" s="1"/>
  <c r="L1368" i="26"/>
  <c r="I1368" i="26"/>
  <c r="J1368" i="26" s="1"/>
  <c r="C1368" i="26"/>
  <c r="N1367" i="26"/>
  <c r="O1367" i="26" s="1"/>
  <c r="L1367" i="26"/>
  <c r="I1367" i="26"/>
  <c r="J1367" i="26" s="1"/>
  <c r="C1367" i="26"/>
  <c r="P1367" i="26" s="1"/>
  <c r="M1367" i="26" s="1"/>
  <c r="N1366" i="26"/>
  <c r="O1366" i="26" s="1"/>
  <c r="L1366" i="26"/>
  <c r="I1366" i="26"/>
  <c r="J1366" i="26" s="1"/>
  <c r="C1366" i="26"/>
  <c r="P1366" i="26" s="1"/>
  <c r="M1366" i="26" s="1"/>
  <c r="N1365" i="26"/>
  <c r="O1365" i="26" s="1"/>
  <c r="P1365" i="26" s="1"/>
  <c r="M1365" i="26" s="1"/>
  <c r="L1365" i="26"/>
  <c r="I1365" i="26"/>
  <c r="J1365" i="26" s="1"/>
  <c r="C1365" i="26"/>
  <c r="N1364" i="26"/>
  <c r="O1364" i="26" s="1"/>
  <c r="P1364" i="26" s="1"/>
  <c r="M1364" i="26" s="1"/>
  <c r="L1364" i="26"/>
  <c r="I1364" i="26"/>
  <c r="J1364" i="26" s="1"/>
  <c r="C1364" i="26"/>
  <c r="P1363" i="26"/>
  <c r="M1363" i="26" s="1"/>
  <c r="N1363" i="26"/>
  <c r="O1363" i="26" s="1"/>
  <c r="L1363" i="26"/>
  <c r="I1363" i="26"/>
  <c r="J1363" i="26" s="1"/>
  <c r="C1363" i="26"/>
  <c r="P1362" i="26"/>
  <c r="M1362" i="26" s="1"/>
  <c r="N1362" i="26"/>
  <c r="O1362" i="26" s="1"/>
  <c r="L1362" i="26"/>
  <c r="I1362" i="26"/>
  <c r="J1362" i="26" s="1"/>
  <c r="C1362" i="26"/>
  <c r="N1361" i="26"/>
  <c r="O1361" i="26" s="1"/>
  <c r="P1361" i="26" s="1"/>
  <c r="M1361" i="26" s="1"/>
  <c r="L1361" i="26"/>
  <c r="I1361" i="26"/>
  <c r="J1361" i="26" s="1"/>
  <c r="C1361" i="26"/>
  <c r="N1360" i="26"/>
  <c r="O1360" i="26" s="1"/>
  <c r="P1360" i="26" s="1"/>
  <c r="M1360" i="26" s="1"/>
  <c r="L1360" i="26"/>
  <c r="I1360" i="26"/>
  <c r="J1360" i="26" s="1"/>
  <c r="C1360" i="26"/>
  <c r="N1359" i="26"/>
  <c r="O1359" i="26" s="1"/>
  <c r="L1359" i="26"/>
  <c r="I1359" i="26"/>
  <c r="J1359" i="26" s="1"/>
  <c r="C1359" i="26"/>
  <c r="P1359" i="26" s="1"/>
  <c r="M1359" i="26" s="1"/>
  <c r="N1358" i="26"/>
  <c r="O1358" i="26" s="1"/>
  <c r="L1358" i="26"/>
  <c r="I1358" i="26"/>
  <c r="J1358" i="26" s="1"/>
  <c r="C1358" i="26"/>
  <c r="P1358" i="26" s="1"/>
  <c r="M1358" i="26" s="1"/>
  <c r="N1357" i="26"/>
  <c r="O1357" i="26" s="1"/>
  <c r="P1357" i="26" s="1"/>
  <c r="M1357" i="26" s="1"/>
  <c r="L1357" i="26"/>
  <c r="I1357" i="26"/>
  <c r="J1357" i="26" s="1"/>
  <c r="C1357" i="26"/>
  <c r="N1356" i="26"/>
  <c r="O1356" i="26" s="1"/>
  <c r="P1356" i="26" s="1"/>
  <c r="M1356" i="26" s="1"/>
  <c r="L1356" i="26"/>
  <c r="I1356" i="26"/>
  <c r="J1356" i="26" s="1"/>
  <c r="C1356" i="26"/>
  <c r="P1355" i="26"/>
  <c r="M1355" i="26" s="1"/>
  <c r="N1355" i="26"/>
  <c r="O1355" i="26" s="1"/>
  <c r="L1355" i="26"/>
  <c r="I1355" i="26"/>
  <c r="J1355" i="26" s="1"/>
  <c r="C1355" i="26"/>
  <c r="P1354" i="26"/>
  <c r="M1354" i="26" s="1"/>
  <c r="N1354" i="26"/>
  <c r="O1354" i="26" s="1"/>
  <c r="L1354" i="26"/>
  <c r="I1354" i="26"/>
  <c r="J1354" i="26" s="1"/>
  <c r="C1354" i="26"/>
  <c r="N1353" i="26"/>
  <c r="O1353" i="26" s="1"/>
  <c r="P1353" i="26" s="1"/>
  <c r="M1353" i="26" s="1"/>
  <c r="L1353" i="26"/>
  <c r="I1353" i="26"/>
  <c r="J1353" i="26" s="1"/>
  <c r="C1353" i="26"/>
  <c r="N1352" i="26"/>
  <c r="O1352" i="26" s="1"/>
  <c r="P1352" i="26" s="1"/>
  <c r="M1352" i="26" s="1"/>
  <c r="L1352" i="26"/>
  <c r="I1352" i="26"/>
  <c r="J1352" i="26" s="1"/>
  <c r="C1352" i="26"/>
  <c r="N1351" i="26"/>
  <c r="O1351" i="26" s="1"/>
  <c r="L1351" i="26"/>
  <c r="I1351" i="26"/>
  <c r="J1351" i="26" s="1"/>
  <c r="C1351" i="26"/>
  <c r="P1351" i="26" s="1"/>
  <c r="M1351" i="26" s="1"/>
  <c r="N1350" i="26"/>
  <c r="O1350" i="26" s="1"/>
  <c r="L1350" i="26"/>
  <c r="I1350" i="26"/>
  <c r="J1350" i="26" s="1"/>
  <c r="C1350" i="26"/>
  <c r="P1350" i="26" s="1"/>
  <c r="M1350" i="26" s="1"/>
  <c r="N1349" i="26"/>
  <c r="O1349" i="26" s="1"/>
  <c r="P1349" i="26" s="1"/>
  <c r="M1349" i="26" s="1"/>
  <c r="L1349" i="26"/>
  <c r="I1349" i="26"/>
  <c r="J1349" i="26" s="1"/>
  <c r="C1349" i="26"/>
  <c r="N1348" i="26"/>
  <c r="O1348" i="26" s="1"/>
  <c r="P1348" i="26" s="1"/>
  <c r="M1348" i="26" s="1"/>
  <c r="L1348" i="26"/>
  <c r="I1348" i="26"/>
  <c r="J1348" i="26" s="1"/>
  <c r="C1348" i="26"/>
  <c r="P1347" i="26"/>
  <c r="M1347" i="26" s="1"/>
  <c r="N1347" i="26"/>
  <c r="O1347" i="26" s="1"/>
  <c r="L1347" i="26"/>
  <c r="I1347" i="26"/>
  <c r="J1347" i="26" s="1"/>
  <c r="C1347" i="26"/>
  <c r="P1346" i="26"/>
  <c r="M1346" i="26" s="1"/>
  <c r="N1346" i="26"/>
  <c r="O1346" i="26" s="1"/>
  <c r="L1346" i="26"/>
  <c r="I1346" i="26"/>
  <c r="J1346" i="26" s="1"/>
  <c r="C1346" i="26"/>
  <c r="N1345" i="26"/>
  <c r="O1345" i="26" s="1"/>
  <c r="P1345" i="26" s="1"/>
  <c r="M1345" i="26" s="1"/>
  <c r="L1345" i="26"/>
  <c r="I1345" i="26"/>
  <c r="J1345" i="26" s="1"/>
  <c r="C1345" i="26"/>
  <c r="N1344" i="26"/>
  <c r="O1344" i="26" s="1"/>
  <c r="P1344" i="26" s="1"/>
  <c r="M1344" i="26" s="1"/>
  <c r="L1344" i="26"/>
  <c r="I1344" i="26"/>
  <c r="J1344" i="26" s="1"/>
  <c r="C1344" i="26"/>
  <c r="N1343" i="26"/>
  <c r="O1343" i="26" s="1"/>
  <c r="L1343" i="26"/>
  <c r="I1343" i="26"/>
  <c r="J1343" i="26" s="1"/>
  <c r="C1343" i="26"/>
  <c r="P1343" i="26" s="1"/>
  <c r="M1343" i="26" s="1"/>
  <c r="N1342" i="26"/>
  <c r="O1342" i="26" s="1"/>
  <c r="L1342" i="26"/>
  <c r="I1342" i="26"/>
  <c r="J1342" i="26" s="1"/>
  <c r="C1342" i="26"/>
  <c r="P1342" i="26" s="1"/>
  <c r="M1342" i="26" s="1"/>
  <c r="N1341" i="26"/>
  <c r="O1341" i="26" s="1"/>
  <c r="P1341" i="26" s="1"/>
  <c r="M1341" i="26" s="1"/>
  <c r="L1341" i="26"/>
  <c r="I1341" i="26"/>
  <c r="J1341" i="26" s="1"/>
  <c r="C1341" i="26"/>
  <c r="N1340" i="26"/>
  <c r="O1340" i="26" s="1"/>
  <c r="P1340" i="26" s="1"/>
  <c r="M1340" i="26" s="1"/>
  <c r="L1340" i="26"/>
  <c r="I1340" i="26"/>
  <c r="J1340" i="26" s="1"/>
  <c r="C1340" i="26"/>
  <c r="P1339" i="26"/>
  <c r="M1339" i="26" s="1"/>
  <c r="N1339" i="26"/>
  <c r="O1339" i="26" s="1"/>
  <c r="L1339" i="26"/>
  <c r="I1339" i="26"/>
  <c r="J1339" i="26" s="1"/>
  <c r="C1339" i="26"/>
  <c r="P1338" i="26"/>
  <c r="M1338" i="26" s="1"/>
  <c r="N1338" i="26"/>
  <c r="O1338" i="26" s="1"/>
  <c r="L1338" i="26"/>
  <c r="I1338" i="26"/>
  <c r="J1338" i="26" s="1"/>
  <c r="C1338" i="26"/>
  <c r="N1337" i="26"/>
  <c r="O1337" i="26" s="1"/>
  <c r="P1337" i="26" s="1"/>
  <c r="M1337" i="26" s="1"/>
  <c r="L1337" i="26"/>
  <c r="I1337" i="26"/>
  <c r="J1337" i="26" s="1"/>
  <c r="C1337" i="26"/>
  <c r="N1336" i="26"/>
  <c r="O1336" i="26" s="1"/>
  <c r="P1336" i="26" s="1"/>
  <c r="M1336" i="26" s="1"/>
  <c r="L1336" i="26"/>
  <c r="I1336" i="26"/>
  <c r="J1336" i="26" s="1"/>
  <c r="C1336" i="26"/>
  <c r="N1335" i="26"/>
  <c r="O1335" i="26" s="1"/>
  <c r="L1335" i="26"/>
  <c r="I1335" i="26"/>
  <c r="J1335" i="26" s="1"/>
  <c r="C1335" i="26"/>
  <c r="P1335" i="26" s="1"/>
  <c r="M1335" i="26" s="1"/>
  <c r="N1334" i="26"/>
  <c r="O1334" i="26" s="1"/>
  <c r="L1334" i="26"/>
  <c r="I1334" i="26"/>
  <c r="J1334" i="26" s="1"/>
  <c r="C1334" i="26"/>
  <c r="P1334" i="26" s="1"/>
  <c r="M1334" i="26" s="1"/>
  <c r="N1333" i="26"/>
  <c r="O1333" i="26" s="1"/>
  <c r="P1333" i="26" s="1"/>
  <c r="M1333" i="26" s="1"/>
  <c r="L1333" i="26"/>
  <c r="I1333" i="26"/>
  <c r="J1333" i="26" s="1"/>
  <c r="C1333" i="26"/>
  <c r="N1332" i="26"/>
  <c r="O1332" i="26" s="1"/>
  <c r="P1332" i="26" s="1"/>
  <c r="M1332" i="26" s="1"/>
  <c r="L1332" i="26"/>
  <c r="I1332" i="26"/>
  <c r="J1332" i="26" s="1"/>
  <c r="C1332" i="26"/>
  <c r="P1331" i="26"/>
  <c r="M1331" i="26" s="1"/>
  <c r="N1331" i="26"/>
  <c r="O1331" i="26" s="1"/>
  <c r="L1331" i="26"/>
  <c r="I1331" i="26"/>
  <c r="J1331" i="26" s="1"/>
  <c r="C1331" i="26"/>
  <c r="P1330" i="26"/>
  <c r="M1330" i="26" s="1"/>
  <c r="N1330" i="26"/>
  <c r="O1330" i="26" s="1"/>
  <c r="L1330" i="26"/>
  <c r="I1330" i="26"/>
  <c r="J1330" i="26" s="1"/>
  <c r="C1330" i="26"/>
  <c r="N1329" i="26"/>
  <c r="O1329" i="26" s="1"/>
  <c r="P1329" i="26" s="1"/>
  <c r="M1329" i="26" s="1"/>
  <c r="L1329" i="26"/>
  <c r="I1329" i="26"/>
  <c r="J1329" i="26" s="1"/>
  <c r="C1329" i="26"/>
  <c r="N1328" i="26"/>
  <c r="O1328" i="26" s="1"/>
  <c r="P1328" i="26" s="1"/>
  <c r="M1328" i="26" s="1"/>
  <c r="L1328" i="26"/>
  <c r="I1328" i="26"/>
  <c r="J1328" i="26" s="1"/>
  <c r="C1328" i="26"/>
  <c r="N1327" i="26"/>
  <c r="O1327" i="26" s="1"/>
  <c r="L1327" i="26"/>
  <c r="I1327" i="26"/>
  <c r="J1327" i="26" s="1"/>
  <c r="C1327" i="26"/>
  <c r="P1327" i="26" s="1"/>
  <c r="M1327" i="26" s="1"/>
  <c r="N1326" i="26"/>
  <c r="O1326" i="26" s="1"/>
  <c r="L1326" i="26"/>
  <c r="I1326" i="26"/>
  <c r="J1326" i="26" s="1"/>
  <c r="C1326" i="26"/>
  <c r="P1326" i="26" s="1"/>
  <c r="M1326" i="26" s="1"/>
  <c r="N1325" i="26"/>
  <c r="O1325" i="26" s="1"/>
  <c r="P1325" i="26" s="1"/>
  <c r="M1325" i="26" s="1"/>
  <c r="L1325" i="26"/>
  <c r="I1325" i="26"/>
  <c r="J1325" i="26" s="1"/>
  <c r="C1325" i="26"/>
  <c r="N1324" i="26"/>
  <c r="O1324" i="26" s="1"/>
  <c r="P1324" i="26" s="1"/>
  <c r="M1324" i="26" s="1"/>
  <c r="L1324" i="26"/>
  <c r="I1324" i="26"/>
  <c r="J1324" i="26" s="1"/>
  <c r="C1324" i="26"/>
  <c r="P1323" i="26"/>
  <c r="M1323" i="26" s="1"/>
  <c r="N1323" i="26"/>
  <c r="O1323" i="26" s="1"/>
  <c r="L1323" i="26"/>
  <c r="I1323" i="26"/>
  <c r="J1323" i="26" s="1"/>
  <c r="C1323" i="26"/>
  <c r="P1322" i="26"/>
  <c r="M1322" i="26" s="1"/>
  <c r="N1322" i="26"/>
  <c r="O1322" i="26" s="1"/>
  <c r="L1322" i="26"/>
  <c r="I1322" i="26"/>
  <c r="J1322" i="26" s="1"/>
  <c r="C1322" i="26"/>
  <c r="N1321" i="26"/>
  <c r="O1321" i="26" s="1"/>
  <c r="P1321" i="26" s="1"/>
  <c r="M1321" i="26" s="1"/>
  <c r="L1321" i="26"/>
  <c r="I1321" i="26"/>
  <c r="J1321" i="26" s="1"/>
  <c r="C1321" i="26"/>
  <c r="N1320" i="26"/>
  <c r="O1320" i="26" s="1"/>
  <c r="P1320" i="26" s="1"/>
  <c r="M1320" i="26" s="1"/>
  <c r="L1320" i="26"/>
  <c r="I1320" i="26"/>
  <c r="J1320" i="26" s="1"/>
  <c r="C1320" i="26"/>
  <c r="N1319" i="26"/>
  <c r="O1319" i="26" s="1"/>
  <c r="L1319" i="26"/>
  <c r="I1319" i="26"/>
  <c r="J1319" i="26" s="1"/>
  <c r="C1319" i="26"/>
  <c r="P1319" i="26" s="1"/>
  <c r="M1319" i="26" s="1"/>
  <c r="N1318" i="26"/>
  <c r="O1318" i="26" s="1"/>
  <c r="L1318" i="26"/>
  <c r="I1318" i="26"/>
  <c r="J1318" i="26" s="1"/>
  <c r="C1318" i="26"/>
  <c r="P1318" i="26" s="1"/>
  <c r="M1318" i="26" s="1"/>
  <c r="N1317" i="26"/>
  <c r="O1317" i="26" s="1"/>
  <c r="P1317" i="26" s="1"/>
  <c r="M1317" i="26" s="1"/>
  <c r="L1317" i="26"/>
  <c r="I1317" i="26"/>
  <c r="J1317" i="26" s="1"/>
  <c r="C1317" i="26"/>
  <c r="N1316" i="26"/>
  <c r="O1316" i="26" s="1"/>
  <c r="P1316" i="26" s="1"/>
  <c r="M1316" i="26" s="1"/>
  <c r="L1316" i="26"/>
  <c r="I1316" i="26"/>
  <c r="J1316" i="26" s="1"/>
  <c r="C1316" i="26"/>
  <c r="P1315" i="26"/>
  <c r="M1315" i="26" s="1"/>
  <c r="N1315" i="26"/>
  <c r="O1315" i="26" s="1"/>
  <c r="L1315" i="26"/>
  <c r="I1315" i="26"/>
  <c r="J1315" i="26" s="1"/>
  <c r="C1315" i="26"/>
  <c r="P1314" i="26"/>
  <c r="M1314" i="26" s="1"/>
  <c r="N1314" i="26"/>
  <c r="O1314" i="26" s="1"/>
  <c r="L1314" i="26"/>
  <c r="I1314" i="26"/>
  <c r="J1314" i="26" s="1"/>
  <c r="C1314" i="26"/>
  <c r="N1313" i="26"/>
  <c r="O1313" i="26" s="1"/>
  <c r="P1313" i="26" s="1"/>
  <c r="M1313" i="26" s="1"/>
  <c r="L1313" i="26"/>
  <c r="I1313" i="26"/>
  <c r="J1313" i="26" s="1"/>
  <c r="C1313" i="26"/>
  <c r="N1312" i="26"/>
  <c r="O1312" i="26" s="1"/>
  <c r="P1312" i="26" s="1"/>
  <c r="M1312" i="26" s="1"/>
  <c r="L1312" i="26"/>
  <c r="I1312" i="26"/>
  <c r="J1312" i="26" s="1"/>
  <c r="C1312" i="26"/>
  <c r="N1311" i="26"/>
  <c r="O1311" i="26" s="1"/>
  <c r="L1311" i="26"/>
  <c r="I1311" i="26"/>
  <c r="J1311" i="26" s="1"/>
  <c r="C1311" i="26"/>
  <c r="P1311" i="26" s="1"/>
  <c r="M1311" i="26" s="1"/>
  <c r="N1310" i="26"/>
  <c r="O1310" i="26" s="1"/>
  <c r="L1310" i="26"/>
  <c r="I1310" i="26"/>
  <c r="J1310" i="26" s="1"/>
  <c r="C1310" i="26"/>
  <c r="P1310" i="26" s="1"/>
  <c r="M1310" i="26" s="1"/>
  <c r="N1309" i="26"/>
  <c r="O1309" i="26" s="1"/>
  <c r="P1309" i="26" s="1"/>
  <c r="M1309" i="26" s="1"/>
  <c r="L1309" i="26"/>
  <c r="I1309" i="26"/>
  <c r="J1309" i="26" s="1"/>
  <c r="C1309" i="26"/>
  <c r="N1308" i="26"/>
  <c r="O1308" i="26" s="1"/>
  <c r="P1308" i="26" s="1"/>
  <c r="M1308" i="26" s="1"/>
  <c r="L1308" i="26"/>
  <c r="I1308" i="26"/>
  <c r="J1308" i="26" s="1"/>
  <c r="C1308" i="26"/>
  <c r="P1307" i="26"/>
  <c r="M1307" i="26" s="1"/>
  <c r="N1307" i="26"/>
  <c r="O1307" i="26" s="1"/>
  <c r="L1307" i="26"/>
  <c r="I1307" i="26"/>
  <c r="J1307" i="26" s="1"/>
  <c r="C1307" i="26"/>
  <c r="P1306" i="26"/>
  <c r="M1306" i="26" s="1"/>
  <c r="N1306" i="26"/>
  <c r="O1306" i="26" s="1"/>
  <c r="L1306" i="26"/>
  <c r="I1306" i="26"/>
  <c r="J1306" i="26" s="1"/>
  <c r="C1306" i="26"/>
  <c r="N1305" i="26"/>
  <c r="O1305" i="26" s="1"/>
  <c r="P1305" i="26" s="1"/>
  <c r="M1305" i="26" s="1"/>
  <c r="L1305" i="26"/>
  <c r="I1305" i="26"/>
  <c r="J1305" i="26" s="1"/>
  <c r="C1305" i="26"/>
  <c r="N1304" i="26"/>
  <c r="O1304" i="26" s="1"/>
  <c r="P1304" i="26" s="1"/>
  <c r="M1304" i="26" s="1"/>
  <c r="L1304" i="26"/>
  <c r="I1304" i="26"/>
  <c r="J1304" i="26" s="1"/>
  <c r="C1304" i="26"/>
  <c r="N1303" i="26"/>
  <c r="O1303" i="26" s="1"/>
  <c r="L1303" i="26"/>
  <c r="I1303" i="26"/>
  <c r="J1303" i="26" s="1"/>
  <c r="C1303" i="26"/>
  <c r="P1303" i="26" s="1"/>
  <c r="M1303" i="26" s="1"/>
  <c r="N1302" i="26"/>
  <c r="O1302" i="26" s="1"/>
  <c r="L1302" i="26"/>
  <c r="I1302" i="26"/>
  <c r="J1302" i="26" s="1"/>
  <c r="C1302" i="26"/>
  <c r="P1302" i="26" s="1"/>
  <c r="M1302" i="26" s="1"/>
  <c r="N1301" i="26"/>
  <c r="O1301" i="26" s="1"/>
  <c r="P1301" i="26" s="1"/>
  <c r="M1301" i="26" s="1"/>
  <c r="L1301" i="26"/>
  <c r="I1301" i="26"/>
  <c r="J1301" i="26" s="1"/>
  <c r="C1301" i="26"/>
  <c r="N1300" i="26"/>
  <c r="O1300" i="26" s="1"/>
  <c r="P1300" i="26" s="1"/>
  <c r="M1300" i="26" s="1"/>
  <c r="L1300" i="26"/>
  <c r="I1300" i="26"/>
  <c r="J1300" i="26" s="1"/>
  <c r="C1300" i="26"/>
  <c r="P1299" i="26"/>
  <c r="M1299" i="26" s="1"/>
  <c r="N1299" i="26"/>
  <c r="O1299" i="26" s="1"/>
  <c r="L1299" i="26"/>
  <c r="I1299" i="26"/>
  <c r="J1299" i="26" s="1"/>
  <c r="C1299" i="26"/>
  <c r="P1298" i="26"/>
  <c r="M1298" i="26" s="1"/>
  <c r="N1298" i="26"/>
  <c r="O1298" i="26" s="1"/>
  <c r="L1298" i="26"/>
  <c r="I1298" i="26"/>
  <c r="J1298" i="26" s="1"/>
  <c r="C1298" i="26"/>
  <c r="N1297" i="26"/>
  <c r="O1297" i="26" s="1"/>
  <c r="P1297" i="26" s="1"/>
  <c r="M1297" i="26" s="1"/>
  <c r="L1297" i="26"/>
  <c r="I1297" i="26"/>
  <c r="J1297" i="26" s="1"/>
  <c r="C1297" i="26"/>
  <c r="N1296" i="26"/>
  <c r="O1296" i="26" s="1"/>
  <c r="P1296" i="26" s="1"/>
  <c r="M1296" i="26" s="1"/>
  <c r="L1296" i="26"/>
  <c r="I1296" i="26"/>
  <c r="J1296" i="26" s="1"/>
  <c r="C1296" i="26"/>
  <c r="N1295" i="26"/>
  <c r="O1295" i="26" s="1"/>
  <c r="L1295" i="26"/>
  <c r="I1295" i="26"/>
  <c r="J1295" i="26" s="1"/>
  <c r="C1295" i="26"/>
  <c r="P1295" i="26" s="1"/>
  <c r="M1295" i="26" s="1"/>
  <c r="N1294" i="26"/>
  <c r="O1294" i="26" s="1"/>
  <c r="P1294" i="26" s="1"/>
  <c r="M1294" i="26" s="1"/>
  <c r="L1294" i="26"/>
  <c r="I1294" i="26"/>
  <c r="J1294" i="26" s="1"/>
  <c r="C1294" i="26"/>
  <c r="N1293" i="26"/>
  <c r="O1293" i="26" s="1"/>
  <c r="P1293" i="26" s="1"/>
  <c r="M1293" i="26" s="1"/>
  <c r="L1293" i="26"/>
  <c r="I1293" i="26"/>
  <c r="J1293" i="26" s="1"/>
  <c r="C1293" i="26"/>
  <c r="N1292" i="26"/>
  <c r="O1292" i="26" s="1"/>
  <c r="P1292" i="26" s="1"/>
  <c r="M1292" i="26" s="1"/>
  <c r="L1292" i="26"/>
  <c r="I1292" i="26"/>
  <c r="J1292" i="26" s="1"/>
  <c r="C1292" i="26"/>
  <c r="N1291" i="26"/>
  <c r="O1291" i="26" s="1"/>
  <c r="P1291" i="26" s="1"/>
  <c r="M1291" i="26" s="1"/>
  <c r="L1291" i="26"/>
  <c r="I1291" i="26"/>
  <c r="J1291" i="26" s="1"/>
  <c r="C1291" i="26"/>
  <c r="N1290" i="26"/>
  <c r="O1290" i="26" s="1"/>
  <c r="P1290" i="26" s="1"/>
  <c r="M1290" i="26" s="1"/>
  <c r="L1290" i="26"/>
  <c r="I1290" i="26"/>
  <c r="J1290" i="26" s="1"/>
  <c r="C1290" i="26"/>
  <c r="N1289" i="26"/>
  <c r="O1289" i="26" s="1"/>
  <c r="P1289" i="26" s="1"/>
  <c r="M1289" i="26" s="1"/>
  <c r="L1289" i="26"/>
  <c r="I1289" i="26"/>
  <c r="J1289" i="26" s="1"/>
  <c r="C1289" i="26"/>
  <c r="N1288" i="26"/>
  <c r="O1288" i="26" s="1"/>
  <c r="P1288" i="26" s="1"/>
  <c r="M1288" i="26" s="1"/>
  <c r="L1288" i="26"/>
  <c r="I1288" i="26"/>
  <c r="J1288" i="26" s="1"/>
  <c r="C1288" i="26"/>
  <c r="N1287" i="26"/>
  <c r="O1287" i="26" s="1"/>
  <c r="P1287" i="26" s="1"/>
  <c r="M1287" i="26" s="1"/>
  <c r="L1287" i="26"/>
  <c r="I1287" i="26"/>
  <c r="J1287" i="26" s="1"/>
  <c r="C1287" i="26"/>
  <c r="N1286" i="26"/>
  <c r="O1286" i="26" s="1"/>
  <c r="P1286" i="26" s="1"/>
  <c r="M1286" i="26" s="1"/>
  <c r="L1286" i="26"/>
  <c r="I1286" i="26"/>
  <c r="J1286" i="26" s="1"/>
  <c r="C1286" i="26"/>
  <c r="N1285" i="26"/>
  <c r="O1285" i="26" s="1"/>
  <c r="P1285" i="26" s="1"/>
  <c r="M1285" i="26" s="1"/>
  <c r="L1285" i="26"/>
  <c r="I1285" i="26"/>
  <c r="J1285" i="26" s="1"/>
  <c r="C1285" i="26"/>
  <c r="N1284" i="26"/>
  <c r="O1284" i="26" s="1"/>
  <c r="P1284" i="26" s="1"/>
  <c r="M1284" i="26" s="1"/>
  <c r="L1284" i="26"/>
  <c r="I1284" i="26"/>
  <c r="J1284" i="26" s="1"/>
  <c r="C1284" i="26"/>
  <c r="N1283" i="26"/>
  <c r="O1283" i="26" s="1"/>
  <c r="P1283" i="26" s="1"/>
  <c r="M1283" i="26" s="1"/>
  <c r="L1283" i="26"/>
  <c r="I1283" i="26"/>
  <c r="J1283" i="26" s="1"/>
  <c r="C1283" i="26"/>
  <c r="N1282" i="26"/>
  <c r="O1282" i="26" s="1"/>
  <c r="P1282" i="26" s="1"/>
  <c r="M1282" i="26" s="1"/>
  <c r="L1282" i="26"/>
  <c r="I1282" i="26"/>
  <c r="J1282" i="26" s="1"/>
  <c r="C1282" i="26"/>
  <c r="N1281" i="26"/>
  <c r="O1281" i="26" s="1"/>
  <c r="P1281" i="26" s="1"/>
  <c r="M1281" i="26" s="1"/>
  <c r="L1281" i="26"/>
  <c r="I1281" i="26"/>
  <c r="J1281" i="26" s="1"/>
  <c r="C1281" i="26"/>
  <c r="N1280" i="26"/>
  <c r="O1280" i="26" s="1"/>
  <c r="P1280" i="26" s="1"/>
  <c r="M1280" i="26" s="1"/>
  <c r="L1280" i="26"/>
  <c r="I1280" i="26"/>
  <c r="J1280" i="26" s="1"/>
  <c r="C1280" i="26"/>
  <c r="N1279" i="26"/>
  <c r="O1279" i="26" s="1"/>
  <c r="P1279" i="26" s="1"/>
  <c r="M1279" i="26" s="1"/>
  <c r="L1279" i="26"/>
  <c r="I1279" i="26"/>
  <c r="J1279" i="26" s="1"/>
  <c r="C1279" i="26"/>
  <c r="N1278" i="26"/>
  <c r="O1278" i="26" s="1"/>
  <c r="P1278" i="26" s="1"/>
  <c r="M1278" i="26" s="1"/>
  <c r="L1278" i="26"/>
  <c r="I1278" i="26"/>
  <c r="J1278" i="26" s="1"/>
  <c r="C1278" i="26"/>
  <c r="N1277" i="26"/>
  <c r="O1277" i="26" s="1"/>
  <c r="P1277" i="26" s="1"/>
  <c r="M1277" i="26" s="1"/>
  <c r="L1277" i="26"/>
  <c r="I1277" i="26"/>
  <c r="J1277" i="26" s="1"/>
  <c r="C1277" i="26"/>
  <c r="N1276" i="26"/>
  <c r="O1276" i="26" s="1"/>
  <c r="P1276" i="26" s="1"/>
  <c r="M1276" i="26" s="1"/>
  <c r="L1276" i="26"/>
  <c r="I1276" i="26"/>
  <c r="J1276" i="26" s="1"/>
  <c r="C1276" i="26"/>
  <c r="N1275" i="26"/>
  <c r="O1275" i="26" s="1"/>
  <c r="P1275" i="26" s="1"/>
  <c r="M1275" i="26" s="1"/>
  <c r="L1275" i="26"/>
  <c r="I1275" i="26"/>
  <c r="J1275" i="26" s="1"/>
  <c r="C1275" i="26"/>
  <c r="N1274" i="26"/>
  <c r="O1274" i="26" s="1"/>
  <c r="P1274" i="26" s="1"/>
  <c r="M1274" i="26" s="1"/>
  <c r="L1274" i="26"/>
  <c r="I1274" i="26"/>
  <c r="J1274" i="26" s="1"/>
  <c r="C1274" i="26"/>
  <c r="N1273" i="26"/>
  <c r="O1273" i="26" s="1"/>
  <c r="P1273" i="26" s="1"/>
  <c r="M1273" i="26" s="1"/>
  <c r="L1273" i="26"/>
  <c r="I1273" i="26"/>
  <c r="J1273" i="26" s="1"/>
  <c r="C1273" i="26"/>
  <c r="N1272" i="26"/>
  <c r="O1272" i="26" s="1"/>
  <c r="P1272" i="26" s="1"/>
  <c r="M1272" i="26" s="1"/>
  <c r="L1272" i="26"/>
  <c r="I1272" i="26"/>
  <c r="J1272" i="26" s="1"/>
  <c r="C1272" i="26"/>
  <c r="N1271" i="26"/>
  <c r="O1271" i="26" s="1"/>
  <c r="P1271" i="26" s="1"/>
  <c r="M1271" i="26" s="1"/>
  <c r="L1271" i="26"/>
  <c r="I1271" i="26"/>
  <c r="J1271" i="26" s="1"/>
  <c r="C1271" i="26"/>
  <c r="N1270" i="26"/>
  <c r="O1270" i="26" s="1"/>
  <c r="P1270" i="26" s="1"/>
  <c r="M1270" i="26" s="1"/>
  <c r="L1270" i="26"/>
  <c r="I1270" i="26"/>
  <c r="J1270" i="26" s="1"/>
  <c r="C1270" i="26"/>
  <c r="N1269" i="26"/>
  <c r="O1269" i="26" s="1"/>
  <c r="P1269" i="26" s="1"/>
  <c r="M1269" i="26" s="1"/>
  <c r="L1269" i="26"/>
  <c r="I1269" i="26"/>
  <c r="J1269" i="26" s="1"/>
  <c r="C1269" i="26"/>
  <c r="N1268" i="26"/>
  <c r="O1268" i="26" s="1"/>
  <c r="P1268" i="26" s="1"/>
  <c r="M1268" i="26" s="1"/>
  <c r="L1268" i="26"/>
  <c r="I1268" i="26"/>
  <c r="J1268" i="26" s="1"/>
  <c r="C1268" i="26"/>
  <c r="N1267" i="26"/>
  <c r="O1267" i="26" s="1"/>
  <c r="P1267" i="26" s="1"/>
  <c r="M1267" i="26" s="1"/>
  <c r="L1267" i="26"/>
  <c r="I1267" i="26"/>
  <c r="J1267" i="26" s="1"/>
  <c r="C1267" i="26"/>
  <c r="N1266" i="26"/>
  <c r="O1266" i="26" s="1"/>
  <c r="P1266" i="26" s="1"/>
  <c r="M1266" i="26" s="1"/>
  <c r="L1266" i="26"/>
  <c r="I1266" i="26"/>
  <c r="J1266" i="26" s="1"/>
  <c r="C1266" i="26"/>
  <c r="N1265" i="26"/>
  <c r="O1265" i="26" s="1"/>
  <c r="P1265" i="26" s="1"/>
  <c r="M1265" i="26" s="1"/>
  <c r="L1265" i="26"/>
  <c r="I1265" i="26"/>
  <c r="J1265" i="26" s="1"/>
  <c r="C1265" i="26"/>
  <c r="N1264" i="26"/>
  <c r="O1264" i="26" s="1"/>
  <c r="P1264" i="26" s="1"/>
  <c r="M1264" i="26" s="1"/>
  <c r="L1264" i="26"/>
  <c r="I1264" i="26"/>
  <c r="J1264" i="26" s="1"/>
  <c r="C1264" i="26"/>
  <c r="N1263" i="26"/>
  <c r="O1263" i="26" s="1"/>
  <c r="P1263" i="26" s="1"/>
  <c r="M1263" i="26" s="1"/>
  <c r="L1263" i="26"/>
  <c r="I1263" i="26"/>
  <c r="J1263" i="26" s="1"/>
  <c r="C1263" i="26"/>
  <c r="N1262" i="26"/>
  <c r="O1262" i="26" s="1"/>
  <c r="P1262" i="26" s="1"/>
  <c r="M1262" i="26" s="1"/>
  <c r="L1262" i="26"/>
  <c r="I1262" i="26"/>
  <c r="J1262" i="26" s="1"/>
  <c r="C1262" i="26"/>
  <c r="N1261" i="26"/>
  <c r="O1261" i="26" s="1"/>
  <c r="P1261" i="26" s="1"/>
  <c r="M1261" i="26" s="1"/>
  <c r="L1261" i="26"/>
  <c r="I1261" i="26"/>
  <c r="J1261" i="26" s="1"/>
  <c r="C1261" i="26"/>
  <c r="N1260" i="26"/>
  <c r="O1260" i="26" s="1"/>
  <c r="P1260" i="26" s="1"/>
  <c r="M1260" i="26" s="1"/>
  <c r="L1260" i="26"/>
  <c r="I1260" i="26"/>
  <c r="J1260" i="26" s="1"/>
  <c r="C1260" i="26"/>
  <c r="N1259" i="26"/>
  <c r="O1259" i="26" s="1"/>
  <c r="P1259" i="26" s="1"/>
  <c r="M1259" i="26" s="1"/>
  <c r="L1259" i="26"/>
  <c r="I1259" i="26"/>
  <c r="J1259" i="26" s="1"/>
  <c r="C1259" i="26"/>
  <c r="N1258" i="26"/>
  <c r="O1258" i="26" s="1"/>
  <c r="P1258" i="26" s="1"/>
  <c r="M1258" i="26" s="1"/>
  <c r="L1258" i="26"/>
  <c r="I1258" i="26"/>
  <c r="J1258" i="26" s="1"/>
  <c r="C1258" i="26"/>
  <c r="N1257" i="26"/>
  <c r="O1257" i="26" s="1"/>
  <c r="P1257" i="26" s="1"/>
  <c r="M1257" i="26" s="1"/>
  <c r="L1257" i="26"/>
  <c r="I1257" i="26"/>
  <c r="J1257" i="26" s="1"/>
  <c r="C1257" i="26"/>
  <c r="N1256" i="26"/>
  <c r="O1256" i="26" s="1"/>
  <c r="P1256" i="26" s="1"/>
  <c r="M1256" i="26" s="1"/>
  <c r="L1256" i="26"/>
  <c r="I1256" i="26"/>
  <c r="J1256" i="26" s="1"/>
  <c r="C1256" i="26"/>
  <c r="N1255" i="26"/>
  <c r="O1255" i="26" s="1"/>
  <c r="P1255" i="26" s="1"/>
  <c r="M1255" i="26" s="1"/>
  <c r="L1255" i="26"/>
  <c r="I1255" i="26"/>
  <c r="J1255" i="26" s="1"/>
  <c r="C1255" i="26"/>
  <c r="N1254" i="26"/>
  <c r="O1254" i="26" s="1"/>
  <c r="P1254" i="26" s="1"/>
  <c r="M1254" i="26" s="1"/>
  <c r="L1254" i="26"/>
  <c r="I1254" i="26"/>
  <c r="J1254" i="26" s="1"/>
  <c r="C1254" i="26"/>
  <c r="N1253" i="26"/>
  <c r="O1253" i="26" s="1"/>
  <c r="P1253" i="26" s="1"/>
  <c r="M1253" i="26" s="1"/>
  <c r="L1253" i="26"/>
  <c r="I1253" i="26"/>
  <c r="J1253" i="26" s="1"/>
  <c r="C1253" i="26"/>
  <c r="N1252" i="26"/>
  <c r="O1252" i="26" s="1"/>
  <c r="P1252" i="26" s="1"/>
  <c r="M1252" i="26" s="1"/>
  <c r="L1252" i="26"/>
  <c r="I1252" i="26"/>
  <c r="J1252" i="26" s="1"/>
  <c r="C1252" i="26"/>
  <c r="N1251" i="26"/>
  <c r="O1251" i="26" s="1"/>
  <c r="P1251" i="26" s="1"/>
  <c r="M1251" i="26" s="1"/>
  <c r="L1251" i="26"/>
  <c r="I1251" i="26"/>
  <c r="J1251" i="26" s="1"/>
  <c r="C1251" i="26"/>
  <c r="N1250" i="26"/>
  <c r="O1250" i="26" s="1"/>
  <c r="P1250" i="26" s="1"/>
  <c r="M1250" i="26" s="1"/>
  <c r="L1250" i="26"/>
  <c r="I1250" i="26"/>
  <c r="J1250" i="26" s="1"/>
  <c r="C1250" i="26"/>
  <c r="N1249" i="26"/>
  <c r="O1249" i="26" s="1"/>
  <c r="P1249" i="26" s="1"/>
  <c r="M1249" i="26" s="1"/>
  <c r="L1249" i="26"/>
  <c r="I1249" i="26"/>
  <c r="J1249" i="26" s="1"/>
  <c r="C1249" i="26"/>
  <c r="N1248" i="26"/>
  <c r="O1248" i="26" s="1"/>
  <c r="P1248" i="26" s="1"/>
  <c r="M1248" i="26" s="1"/>
  <c r="L1248" i="26"/>
  <c r="I1248" i="26"/>
  <c r="J1248" i="26" s="1"/>
  <c r="C1248" i="26"/>
  <c r="N1247" i="26"/>
  <c r="O1247" i="26" s="1"/>
  <c r="P1247" i="26" s="1"/>
  <c r="M1247" i="26" s="1"/>
  <c r="L1247" i="26"/>
  <c r="I1247" i="26"/>
  <c r="J1247" i="26" s="1"/>
  <c r="C1247" i="26"/>
  <c r="N1246" i="26"/>
  <c r="O1246" i="26" s="1"/>
  <c r="P1246" i="26" s="1"/>
  <c r="M1246" i="26" s="1"/>
  <c r="L1246" i="26"/>
  <c r="I1246" i="26"/>
  <c r="J1246" i="26" s="1"/>
  <c r="C1246" i="26"/>
  <c r="N1245" i="26"/>
  <c r="O1245" i="26" s="1"/>
  <c r="P1245" i="26" s="1"/>
  <c r="M1245" i="26" s="1"/>
  <c r="L1245" i="26"/>
  <c r="I1245" i="26"/>
  <c r="J1245" i="26" s="1"/>
  <c r="C1245" i="26"/>
  <c r="N1244" i="26"/>
  <c r="O1244" i="26" s="1"/>
  <c r="P1244" i="26" s="1"/>
  <c r="M1244" i="26" s="1"/>
  <c r="L1244" i="26"/>
  <c r="I1244" i="26"/>
  <c r="J1244" i="26" s="1"/>
  <c r="C1244" i="26"/>
  <c r="N1243" i="26"/>
  <c r="O1243" i="26" s="1"/>
  <c r="P1243" i="26" s="1"/>
  <c r="M1243" i="26" s="1"/>
  <c r="L1243" i="26"/>
  <c r="I1243" i="26"/>
  <c r="J1243" i="26" s="1"/>
  <c r="C1243" i="26"/>
  <c r="N1242" i="26"/>
  <c r="O1242" i="26" s="1"/>
  <c r="P1242" i="26" s="1"/>
  <c r="M1242" i="26" s="1"/>
  <c r="L1242" i="26"/>
  <c r="I1242" i="26"/>
  <c r="J1242" i="26" s="1"/>
  <c r="C1242" i="26"/>
  <c r="N1241" i="26"/>
  <c r="O1241" i="26" s="1"/>
  <c r="P1241" i="26" s="1"/>
  <c r="M1241" i="26" s="1"/>
  <c r="L1241" i="26"/>
  <c r="I1241" i="26"/>
  <c r="J1241" i="26" s="1"/>
  <c r="C1241" i="26"/>
  <c r="N1240" i="26"/>
  <c r="O1240" i="26" s="1"/>
  <c r="P1240" i="26" s="1"/>
  <c r="M1240" i="26" s="1"/>
  <c r="L1240" i="26"/>
  <c r="I1240" i="26"/>
  <c r="J1240" i="26" s="1"/>
  <c r="C1240" i="26"/>
  <c r="N1239" i="26"/>
  <c r="O1239" i="26" s="1"/>
  <c r="P1239" i="26" s="1"/>
  <c r="M1239" i="26" s="1"/>
  <c r="L1239" i="26"/>
  <c r="I1239" i="26"/>
  <c r="J1239" i="26" s="1"/>
  <c r="C1239" i="26"/>
  <c r="N1238" i="26"/>
  <c r="O1238" i="26" s="1"/>
  <c r="P1238" i="26" s="1"/>
  <c r="M1238" i="26" s="1"/>
  <c r="L1238" i="26"/>
  <c r="J1238" i="26"/>
  <c r="C1238" i="26"/>
  <c r="P1237" i="26"/>
  <c r="M1237" i="26" s="1"/>
  <c r="O1237" i="26"/>
  <c r="N1237" i="26"/>
  <c r="L1237" i="26"/>
  <c r="J1237" i="26"/>
  <c r="I1237" i="26"/>
  <c r="C1237" i="26"/>
  <c r="P1236" i="26"/>
  <c r="M1236" i="26" s="1"/>
  <c r="O1236" i="26"/>
  <c r="N1236" i="26"/>
  <c r="L1236" i="26"/>
  <c r="J1236" i="26"/>
  <c r="I1236" i="26"/>
  <c r="C1236" i="26"/>
  <c r="P1235" i="26"/>
  <c r="M1235" i="26" s="1"/>
  <c r="O1235" i="26"/>
  <c r="N1235" i="26"/>
  <c r="L1235" i="26"/>
  <c r="J1235" i="26"/>
  <c r="I1235" i="26"/>
  <c r="C1235" i="26"/>
  <c r="P1234" i="26"/>
  <c r="M1234" i="26" s="1"/>
  <c r="O1234" i="26"/>
  <c r="N1234" i="26"/>
  <c r="L1234" i="26"/>
  <c r="J1234" i="26"/>
  <c r="I1234" i="26"/>
  <c r="C1234" i="26"/>
  <c r="P1233" i="26"/>
  <c r="M1233" i="26" s="1"/>
  <c r="O1233" i="26"/>
  <c r="N1233" i="26"/>
  <c r="L1233" i="26"/>
  <c r="J1233" i="26"/>
  <c r="I1233" i="26"/>
  <c r="C1233" i="26"/>
  <c r="P1232" i="26"/>
  <c r="M1232" i="26" s="1"/>
  <c r="O1232" i="26"/>
  <c r="N1232" i="26"/>
  <c r="L1232" i="26"/>
  <c r="J1232" i="26"/>
  <c r="I1232" i="26"/>
  <c r="C1232" i="26"/>
  <c r="P1231" i="26"/>
  <c r="M1231" i="26" s="1"/>
  <c r="O1231" i="26"/>
  <c r="N1231" i="26"/>
  <c r="L1231" i="26"/>
  <c r="J1231" i="26"/>
  <c r="I1231" i="26"/>
  <c r="C1231" i="26"/>
  <c r="P1230" i="26"/>
  <c r="M1230" i="26" s="1"/>
  <c r="O1230" i="26"/>
  <c r="N1230" i="26"/>
  <c r="L1230" i="26"/>
  <c r="J1230" i="26"/>
  <c r="I1230" i="26"/>
  <c r="C1230" i="26"/>
  <c r="P1229" i="26"/>
  <c r="M1229" i="26" s="1"/>
  <c r="O1229" i="26"/>
  <c r="N1229" i="26"/>
  <c r="L1229" i="26"/>
  <c r="J1229" i="26"/>
  <c r="I1229" i="26"/>
  <c r="C1229" i="26"/>
  <c r="P1228" i="26"/>
  <c r="M1228" i="26" s="1"/>
  <c r="O1228" i="26"/>
  <c r="N1228" i="26"/>
  <c r="L1228" i="26"/>
  <c r="J1228" i="26"/>
  <c r="I1228" i="26"/>
  <c r="C1228" i="26"/>
  <c r="P1227" i="26"/>
  <c r="M1227" i="26" s="1"/>
  <c r="O1227" i="26"/>
  <c r="N1227" i="26"/>
  <c r="L1227" i="26"/>
  <c r="J1227" i="26"/>
  <c r="I1227" i="26"/>
  <c r="C1227" i="26"/>
  <c r="P1226" i="26"/>
  <c r="M1226" i="26" s="1"/>
  <c r="O1226" i="26"/>
  <c r="N1226" i="26"/>
  <c r="L1226" i="26"/>
  <c r="J1226" i="26"/>
  <c r="I1226" i="26"/>
  <c r="C1226" i="26"/>
  <c r="P1225" i="26"/>
  <c r="M1225" i="26" s="1"/>
  <c r="O1225" i="26"/>
  <c r="N1225" i="26"/>
  <c r="L1225" i="26"/>
  <c r="J1225" i="26"/>
  <c r="I1225" i="26"/>
  <c r="C1225" i="26"/>
  <c r="P1224" i="26"/>
  <c r="M1224" i="26" s="1"/>
  <c r="O1224" i="26"/>
  <c r="N1224" i="26"/>
  <c r="L1224" i="26"/>
  <c r="J1224" i="26"/>
  <c r="I1224" i="26"/>
  <c r="C1224" i="26"/>
  <c r="P1223" i="26"/>
  <c r="M1223" i="26" s="1"/>
  <c r="O1223" i="26"/>
  <c r="N1223" i="26"/>
  <c r="L1223" i="26"/>
  <c r="J1223" i="26"/>
  <c r="I1223" i="26"/>
  <c r="C1223" i="26"/>
  <c r="P1222" i="26"/>
  <c r="M1222" i="26" s="1"/>
  <c r="O1222" i="26"/>
  <c r="N1222" i="26"/>
  <c r="L1222" i="26"/>
  <c r="J1222" i="26"/>
  <c r="I1222" i="26"/>
  <c r="C1222" i="26"/>
  <c r="P1221" i="26"/>
  <c r="M1221" i="26" s="1"/>
  <c r="O1221" i="26"/>
  <c r="N1221" i="26"/>
  <c r="L1221" i="26"/>
  <c r="J1221" i="26"/>
  <c r="I1221" i="26"/>
  <c r="C1221" i="26"/>
  <c r="P1220" i="26"/>
  <c r="M1220" i="26" s="1"/>
  <c r="O1220" i="26"/>
  <c r="N1220" i="26"/>
  <c r="L1220" i="26"/>
  <c r="J1220" i="26"/>
  <c r="I1220" i="26"/>
  <c r="C1220" i="26"/>
  <c r="P1219" i="26"/>
  <c r="M1219" i="26" s="1"/>
  <c r="O1219" i="26"/>
  <c r="N1219" i="26"/>
  <c r="L1219" i="26"/>
  <c r="J1219" i="26"/>
  <c r="I1219" i="26"/>
  <c r="C1219" i="26"/>
  <c r="P1218" i="26"/>
  <c r="M1218" i="26" s="1"/>
  <c r="O1218" i="26"/>
  <c r="N1218" i="26"/>
  <c r="L1218" i="26"/>
  <c r="J1218" i="26"/>
  <c r="I1218" i="26"/>
  <c r="C1218" i="26"/>
  <c r="P1217" i="26"/>
  <c r="M1217" i="26" s="1"/>
  <c r="O1217" i="26"/>
  <c r="N1217" i="26"/>
  <c r="L1217" i="26"/>
  <c r="J1217" i="26"/>
  <c r="I1217" i="26"/>
  <c r="C1217" i="26"/>
  <c r="P1216" i="26"/>
  <c r="M1216" i="26" s="1"/>
  <c r="O1216" i="26"/>
  <c r="N1216" i="26"/>
  <c r="L1216" i="26"/>
  <c r="J1216" i="26"/>
  <c r="I1216" i="26"/>
  <c r="C1216" i="26"/>
  <c r="P1215" i="26"/>
  <c r="M1215" i="26" s="1"/>
  <c r="O1215" i="26"/>
  <c r="N1215" i="26"/>
  <c r="L1215" i="26"/>
  <c r="J1215" i="26"/>
  <c r="I1215" i="26"/>
  <c r="C1215" i="26"/>
  <c r="N1214" i="26"/>
  <c r="O1214" i="26" s="1"/>
  <c r="L1214" i="26"/>
  <c r="I1214" i="26"/>
  <c r="J1214" i="26" s="1"/>
  <c r="C1214" i="26"/>
  <c r="N1213" i="26"/>
  <c r="O1213" i="26" s="1"/>
  <c r="L1213" i="26"/>
  <c r="I1213" i="26"/>
  <c r="J1213" i="26" s="1"/>
  <c r="C1213" i="26"/>
  <c r="N1212" i="26"/>
  <c r="O1212" i="26" s="1"/>
  <c r="L1212" i="26"/>
  <c r="I1212" i="26"/>
  <c r="J1212" i="26" s="1"/>
  <c r="C1212" i="26"/>
  <c r="N1211" i="26"/>
  <c r="O1211" i="26" s="1"/>
  <c r="L1211" i="26"/>
  <c r="I1211" i="26"/>
  <c r="J1211" i="26" s="1"/>
  <c r="C1211" i="26"/>
  <c r="N1210" i="26"/>
  <c r="O1210" i="26" s="1"/>
  <c r="L1210" i="26"/>
  <c r="I1210" i="26"/>
  <c r="J1210" i="26" s="1"/>
  <c r="C1210" i="26"/>
  <c r="N1209" i="26"/>
  <c r="O1209" i="26" s="1"/>
  <c r="L1209" i="26"/>
  <c r="I1209" i="26"/>
  <c r="J1209" i="26" s="1"/>
  <c r="C1209" i="26"/>
  <c r="N1208" i="26"/>
  <c r="O1208" i="26" s="1"/>
  <c r="L1208" i="26"/>
  <c r="I1208" i="26"/>
  <c r="J1208" i="26" s="1"/>
  <c r="C1208" i="26"/>
  <c r="N1207" i="26"/>
  <c r="O1207" i="26" s="1"/>
  <c r="L1207" i="26"/>
  <c r="I1207" i="26"/>
  <c r="J1207" i="26" s="1"/>
  <c r="C1207" i="26"/>
  <c r="N1206" i="26"/>
  <c r="O1206" i="26" s="1"/>
  <c r="L1206" i="26"/>
  <c r="I1206" i="26"/>
  <c r="J1206" i="26" s="1"/>
  <c r="C1206" i="26"/>
  <c r="N1205" i="26"/>
  <c r="O1205" i="26" s="1"/>
  <c r="L1205" i="26"/>
  <c r="I1205" i="26"/>
  <c r="J1205" i="26" s="1"/>
  <c r="C1205" i="26"/>
  <c r="N1204" i="26"/>
  <c r="O1204" i="26" s="1"/>
  <c r="L1204" i="26"/>
  <c r="I1204" i="26"/>
  <c r="J1204" i="26" s="1"/>
  <c r="C1204" i="26"/>
  <c r="N1203" i="26"/>
  <c r="O1203" i="26" s="1"/>
  <c r="L1203" i="26"/>
  <c r="I1203" i="26"/>
  <c r="J1203" i="26" s="1"/>
  <c r="C1203" i="26"/>
  <c r="N1202" i="26"/>
  <c r="O1202" i="26" s="1"/>
  <c r="L1202" i="26"/>
  <c r="I1202" i="26"/>
  <c r="J1202" i="26" s="1"/>
  <c r="C1202" i="26"/>
  <c r="N1201" i="26"/>
  <c r="O1201" i="26" s="1"/>
  <c r="L1201" i="26"/>
  <c r="I1201" i="26"/>
  <c r="J1201" i="26" s="1"/>
  <c r="C1201" i="26"/>
  <c r="N1200" i="26"/>
  <c r="O1200" i="26" s="1"/>
  <c r="L1200" i="26"/>
  <c r="I1200" i="26"/>
  <c r="J1200" i="26" s="1"/>
  <c r="C1200" i="26"/>
  <c r="N1199" i="26"/>
  <c r="O1199" i="26" s="1"/>
  <c r="L1199" i="26"/>
  <c r="I1199" i="26"/>
  <c r="J1199" i="26" s="1"/>
  <c r="C1199" i="26"/>
  <c r="N1198" i="26"/>
  <c r="O1198" i="26" s="1"/>
  <c r="L1198" i="26"/>
  <c r="I1198" i="26"/>
  <c r="J1198" i="26" s="1"/>
  <c r="C1198" i="26"/>
  <c r="N1197" i="26"/>
  <c r="O1197" i="26" s="1"/>
  <c r="L1197" i="26"/>
  <c r="I1197" i="26"/>
  <c r="J1197" i="26" s="1"/>
  <c r="C1197" i="26"/>
  <c r="N1196" i="26"/>
  <c r="O1196" i="26" s="1"/>
  <c r="L1196" i="26"/>
  <c r="I1196" i="26"/>
  <c r="J1196" i="26" s="1"/>
  <c r="C1196" i="26"/>
  <c r="N1195" i="26"/>
  <c r="O1195" i="26" s="1"/>
  <c r="L1195" i="26"/>
  <c r="I1195" i="26"/>
  <c r="J1195" i="26" s="1"/>
  <c r="C1195" i="26"/>
  <c r="N1194" i="26"/>
  <c r="O1194" i="26" s="1"/>
  <c r="L1194" i="26"/>
  <c r="I1194" i="26"/>
  <c r="J1194" i="26" s="1"/>
  <c r="C1194" i="26"/>
  <c r="N1193" i="26"/>
  <c r="O1193" i="26" s="1"/>
  <c r="L1193" i="26"/>
  <c r="I1193" i="26"/>
  <c r="J1193" i="26" s="1"/>
  <c r="C1193" i="26"/>
  <c r="N1192" i="26"/>
  <c r="O1192" i="26" s="1"/>
  <c r="L1192" i="26"/>
  <c r="I1192" i="26"/>
  <c r="J1192" i="26" s="1"/>
  <c r="C1192" i="26"/>
  <c r="N1191" i="26"/>
  <c r="O1191" i="26" s="1"/>
  <c r="L1191" i="26"/>
  <c r="I1191" i="26"/>
  <c r="J1191" i="26" s="1"/>
  <c r="C1191" i="26"/>
  <c r="N1190" i="26"/>
  <c r="O1190" i="26" s="1"/>
  <c r="L1190" i="26"/>
  <c r="I1190" i="26"/>
  <c r="J1190" i="26" s="1"/>
  <c r="C1190" i="26"/>
  <c r="N1189" i="26"/>
  <c r="O1189" i="26" s="1"/>
  <c r="L1189" i="26"/>
  <c r="I1189" i="26"/>
  <c r="J1189" i="26" s="1"/>
  <c r="C1189" i="26"/>
  <c r="N1188" i="26"/>
  <c r="O1188" i="26" s="1"/>
  <c r="L1188" i="26"/>
  <c r="I1188" i="26"/>
  <c r="J1188" i="26" s="1"/>
  <c r="C1188" i="26"/>
  <c r="N1187" i="26"/>
  <c r="O1187" i="26" s="1"/>
  <c r="L1187" i="26"/>
  <c r="I1187" i="26"/>
  <c r="J1187" i="26" s="1"/>
  <c r="C1187" i="26"/>
  <c r="N1186" i="26"/>
  <c r="O1186" i="26" s="1"/>
  <c r="L1186" i="26"/>
  <c r="I1186" i="26"/>
  <c r="J1186" i="26" s="1"/>
  <c r="C1186" i="26"/>
  <c r="N1185" i="26"/>
  <c r="O1185" i="26" s="1"/>
  <c r="L1185" i="26"/>
  <c r="I1185" i="26"/>
  <c r="J1185" i="26" s="1"/>
  <c r="C1185" i="26"/>
  <c r="N1184" i="26"/>
  <c r="O1184" i="26" s="1"/>
  <c r="L1184" i="26"/>
  <c r="I1184" i="26"/>
  <c r="J1184" i="26" s="1"/>
  <c r="C1184" i="26"/>
  <c r="N1183" i="26"/>
  <c r="O1183" i="26" s="1"/>
  <c r="L1183" i="26"/>
  <c r="I1183" i="26"/>
  <c r="J1183" i="26" s="1"/>
  <c r="C1183" i="26"/>
  <c r="N1182" i="26"/>
  <c r="O1182" i="26" s="1"/>
  <c r="L1182" i="26"/>
  <c r="I1182" i="26"/>
  <c r="J1182" i="26" s="1"/>
  <c r="C1182" i="26"/>
  <c r="N1181" i="26"/>
  <c r="O1181" i="26" s="1"/>
  <c r="L1181" i="26"/>
  <c r="I1181" i="26"/>
  <c r="J1181" i="26" s="1"/>
  <c r="C1181" i="26"/>
  <c r="N1180" i="26"/>
  <c r="O1180" i="26" s="1"/>
  <c r="L1180" i="26"/>
  <c r="I1180" i="26"/>
  <c r="J1180" i="26" s="1"/>
  <c r="C1180" i="26"/>
  <c r="N1179" i="26"/>
  <c r="O1179" i="26" s="1"/>
  <c r="L1179" i="26"/>
  <c r="I1179" i="26"/>
  <c r="J1179" i="26" s="1"/>
  <c r="C1179" i="26"/>
  <c r="N1178" i="26"/>
  <c r="O1178" i="26" s="1"/>
  <c r="L1178" i="26"/>
  <c r="I1178" i="26"/>
  <c r="J1178" i="26" s="1"/>
  <c r="C1178" i="26"/>
  <c r="N1177" i="26"/>
  <c r="O1177" i="26" s="1"/>
  <c r="L1177" i="26"/>
  <c r="I1177" i="26"/>
  <c r="J1177" i="26" s="1"/>
  <c r="C1177" i="26"/>
  <c r="N1176" i="26"/>
  <c r="O1176" i="26" s="1"/>
  <c r="L1176" i="26"/>
  <c r="I1176" i="26"/>
  <c r="J1176" i="26" s="1"/>
  <c r="C1176" i="26"/>
  <c r="N1175" i="26"/>
  <c r="O1175" i="26" s="1"/>
  <c r="L1175" i="26"/>
  <c r="I1175" i="26"/>
  <c r="J1175" i="26" s="1"/>
  <c r="C1175" i="26"/>
  <c r="N1174" i="26"/>
  <c r="O1174" i="26" s="1"/>
  <c r="L1174" i="26"/>
  <c r="I1174" i="26"/>
  <c r="J1174" i="26" s="1"/>
  <c r="C1174" i="26"/>
  <c r="N1173" i="26"/>
  <c r="O1173" i="26" s="1"/>
  <c r="L1173" i="26"/>
  <c r="I1173" i="26"/>
  <c r="J1173" i="26" s="1"/>
  <c r="C1173" i="26"/>
  <c r="N1172" i="26"/>
  <c r="O1172" i="26" s="1"/>
  <c r="L1172" i="26"/>
  <c r="I1172" i="26"/>
  <c r="J1172" i="26" s="1"/>
  <c r="C1172" i="26"/>
  <c r="N1171" i="26"/>
  <c r="O1171" i="26" s="1"/>
  <c r="L1171" i="26"/>
  <c r="I1171" i="26"/>
  <c r="J1171" i="26" s="1"/>
  <c r="C1171" i="26"/>
  <c r="N1170" i="26"/>
  <c r="O1170" i="26" s="1"/>
  <c r="L1170" i="26"/>
  <c r="I1170" i="26"/>
  <c r="J1170" i="26" s="1"/>
  <c r="C1170" i="26"/>
  <c r="N1169" i="26"/>
  <c r="O1169" i="26" s="1"/>
  <c r="L1169" i="26"/>
  <c r="I1169" i="26"/>
  <c r="J1169" i="26" s="1"/>
  <c r="C1169" i="26"/>
  <c r="N1168" i="26"/>
  <c r="O1168" i="26" s="1"/>
  <c r="L1168" i="26"/>
  <c r="I1168" i="26"/>
  <c r="J1168" i="26" s="1"/>
  <c r="C1168" i="26"/>
  <c r="N1167" i="26"/>
  <c r="O1167" i="26" s="1"/>
  <c r="L1167" i="26"/>
  <c r="I1167" i="26"/>
  <c r="J1167" i="26" s="1"/>
  <c r="C1167" i="26"/>
  <c r="N1166" i="26"/>
  <c r="O1166" i="26" s="1"/>
  <c r="L1166" i="26"/>
  <c r="I1166" i="26"/>
  <c r="J1166" i="26" s="1"/>
  <c r="C1166" i="26"/>
  <c r="N1165" i="26"/>
  <c r="O1165" i="26" s="1"/>
  <c r="L1165" i="26"/>
  <c r="I1165" i="26"/>
  <c r="J1165" i="26" s="1"/>
  <c r="C1165" i="26"/>
  <c r="N1164" i="26"/>
  <c r="O1164" i="26" s="1"/>
  <c r="L1164" i="26"/>
  <c r="I1164" i="26"/>
  <c r="J1164" i="26" s="1"/>
  <c r="C1164" i="26"/>
  <c r="N1163" i="26"/>
  <c r="O1163" i="26" s="1"/>
  <c r="L1163" i="26"/>
  <c r="I1163" i="26"/>
  <c r="J1163" i="26" s="1"/>
  <c r="C1163" i="26"/>
  <c r="N1162" i="26"/>
  <c r="O1162" i="26" s="1"/>
  <c r="L1162" i="26"/>
  <c r="I1162" i="26"/>
  <c r="J1162" i="26" s="1"/>
  <c r="C1162" i="26"/>
  <c r="N1161" i="26"/>
  <c r="O1161" i="26" s="1"/>
  <c r="L1161" i="26"/>
  <c r="I1161" i="26"/>
  <c r="J1161" i="26" s="1"/>
  <c r="C1161" i="26"/>
  <c r="N1160" i="26"/>
  <c r="O1160" i="26" s="1"/>
  <c r="L1160" i="26"/>
  <c r="I1160" i="26"/>
  <c r="J1160" i="26" s="1"/>
  <c r="C1160" i="26"/>
  <c r="N1159" i="26"/>
  <c r="O1159" i="26" s="1"/>
  <c r="L1159" i="26"/>
  <c r="I1159" i="26"/>
  <c r="J1159" i="26" s="1"/>
  <c r="C1159" i="26"/>
  <c r="N1158" i="26"/>
  <c r="O1158" i="26" s="1"/>
  <c r="L1158" i="26"/>
  <c r="I1158" i="26"/>
  <c r="J1158" i="26" s="1"/>
  <c r="C1158" i="26"/>
  <c r="N1157" i="26"/>
  <c r="O1157" i="26" s="1"/>
  <c r="L1157" i="26"/>
  <c r="I1157" i="26"/>
  <c r="J1157" i="26" s="1"/>
  <c r="C1157" i="26"/>
  <c r="N1156" i="26"/>
  <c r="O1156" i="26" s="1"/>
  <c r="L1156" i="26"/>
  <c r="I1156" i="26"/>
  <c r="J1156" i="26" s="1"/>
  <c r="C1156" i="26"/>
  <c r="N1155" i="26"/>
  <c r="O1155" i="26" s="1"/>
  <c r="L1155" i="26"/>
  <c r="I1155" i="26"/>
  <c r="J1155" i="26" s="1"/>
  <c r="C1155" i="26"/>
  <c r="N1154" i="26"/>
  <c r="O1154" i="26" s="1"/>
  <c r="L1154" i="26"/>
  <c r="I1154" i="26"/>
  <c r="J1154" i="26" s="1"/>
  <c r="C1154" i="26"/>
  <c r="N1153" i="26"/>
  <c r="O1153" i="26" s="1"/>
  <c r="L1153" i="26"/>
  <c r="I1153" i="26"/>
  <c r="J1153" i="26" s="1"/>
  <c r="C1153" i="26"/>
  <c r="N1152" i="26"/>
  <c r="O1152" i="26" s="1"/>
  <c r="L1152" i="26"/>
  <c r="I1152" i="26"/>
  <c r="J1152" i="26" s="1"/>
  <c r="C1152" i="26"/>
  <c r="N1151" i="26"/>
  <c r="O1151" i="26" s="1"/>
  <c r="L1151" i="26"/>
  <c r="I1151" i="26"/>
  <c r="J1151" i="26" s="1"/>
  <c r="C1151" i="26"/>
  <c r="N1150" i="26"/>
  <c r="O1150" i="26" s="1"/>
  <c r="L1150" i="26"/>
  <c r="I1150" i="26"/>
  <c r="J1150" i="26" s="1"/>
  <c r="C1150" i="26"/>
  <c r="N1149" i="26"/>
  <c r="O1149" i="26" s="1"/>
  <c r="L1149" i="26"/>
  <c r="I1149" i="26"/>
  <c r="J1149" i="26" s="1"/>
  <c r="C1149" i="26"/>
  <c r="N1148" i="26"/>
  <c r="O1148" i="26" s="1"/>
  <c r="L1148" i="26"/>
  <c r="I1148" i="26"/>
  <c r="J1148" i="26" s="1"/>
  <c r="C1148" i="26"/>
  <c r="N1147" i="26"/>
  <c r="O1147" i="26" s="1"/>
  <c r="L1147" i="26"/>
  <c r="I1147" i="26"/>
  <c r="J1147" i="26" s="1"/>
  <c r="C1147" i="26"/>
  <c r="N1146" i="26"/>
  <c r="O1146" i="26" s="1"/>
  <c r="L1146" i="26"/>
  <c r="I1146" i="26"/>
  <c r="J1146" i="26" s="1"/>
  <c r="C1146" i="26"/>
  <c r="N1145" i="26"/>
  <c r="O1145" i="26" s="1"/>
  <c r="L1145" i="26"/>
  <c r="I1145" i="26"/>
  <c r="J1145" i="26" s="1"/>
  <c r="C1145" i="26"/>
  <c r="N1144" i="26"/>
  <c r="O1144" i="26" s="1"/>
  <c r="L1144" i="26"/>
  <c r="I1144" i="26"/>
  <c r="J1144" i="26" s="1"/>
  <c r="C1144" i="26"/>
  <c r="N1143" i="26"/>
  <c r="O1143" i="26" s="1"/>
  <c r="L1143" i="26"/>
  <c r="I1143" i="26"/>
  <c r="J1143" i="26" s="1"/>
  <c r="C1143" i="26"/>
  <c r="N1142" i="26"/>
  <c r="O1142" i="26" s="1"/>
  <c r="L1142" i="26"/>
  <c r="I1142" i="26"/>
  <c r="J1142" i="26" s="1"/>
  <c r="C1142" i="26"/>
  <c r="N1141" i="26"/>
  <c r="O1141" i="26" s="1"/>
  <c r="L1141" i="26"/>
  <c r="I1141" i="26"/>
  <c r="J1141" i="26" s="1"/>
  <c r="C1141" i="26"/>
  <c r="N1140" i="26"/>
  <c r="O1140" i="26" s="1"/>
  <c r="L1140" i="26"/>
  <c r="I1140" i="26"/>
  <c r="J1140" i="26" s="1"/>
  <c r="C1140" i="26"/>
  <c r="N1139" i="26"/>
  <c r="O1139" i="26" s="1"/>
  <c r="L1139" i="26"/>
  <c r="I1139" i="26"/>
  <c r="J1139" i="26" s="1"/>
  <c r="C1139" i="26"/>
  <c r="N1138" i="26"/>
  <c r="O1138" i="26" s="1"/>
  <c r="L1138" i="26"/>
  <c r="I1138" i="26"/>
  <c r="J1138" i="26" s="1"/>
  <c r="C1138" i="26"/>
  <c r="N1137" i="26"/>
  <c r="O1137" i="26" s="1"/>
  <c r="L1137" i="26"/>
  <c r="I1137" i="26"/>
  <c r="J1137" i="26" s="1"/>
  <c r="C1137" i="26"/>
  <c r="N1136" i="26"/>
  <c r="O1136" i="26" s="1"/>
  <c r="L1136" i="26"/>
  <c r="I1136" i="26"/>
  <c r="J1136" i="26" s="1"/>
  <c r="C1136" i="26"/>
  <c r="N1135" i="26"/>
  <c r="O1135" i="26" s="1"/>
  <c r="L1135" i="26"/>
  <c r="I1135" i="26"/>
  <c r="J1135" i="26" s="1"/>
  <c r="C1135" i="26"/>
  <c r="N1134" i="26"/>
  <c r="O1134" i="26" s="1"/>
  <c r="L1134" i="26"/>
  <c r="I1134" i="26"/>
  <c r="J1134" i="26" s="1"/>
  <c r="C1134" i="26"/>
  <c r="N1133" i="26"/>
  <c r="O1133" i="26" s="1"/>
  <c r="L1133" i="26"/>
  <c r="I1133" i="26"/>
  <c r="J1133" i="26" s="1"/>
  <c r="C1133" i="26"/>
  <c r="N1132" i="26"/>
  <c r="O1132" i="26" s="1"/>
  <c r="L1132" i="26"/>
  <c r="I1132" i="26"/>
  <c r="J1132" i="26" s="1"/>
  <c r="C1132" i="26"/>
  <c r="N1131" i="26"/>
  <c r="O1131" i="26" s="1"/>
  <c r="L1131" i="26"/>
  <c r="I1131" i="26"/>
  <c r="J1131" i="26" s="1"/>
  <c r="C1131" i="26"/>
  <c r="N1130" i="26"/>
  <c r="O1130" i="26" s="1"/>
  <c r="L1130" i="26"/>
  <c r="I1130" i="26"/>
  <c r="J1130" i="26" s="1"/>
  <c r="C1130" i="26"/>
  <c r="N1129" i="26"/>
  <c r="O1129" i="26" s="1"/>
  <c r="P1129" i="26" s="1"/>
  <c r="M1129" i="26" s="1"/>
  <c r="L1129" i="26"/>
  <c r="I1129" i="26"/>
  <c r="J1129" i="26" s="1"/>
  <c r="C1129" i="26"/>
  <c r="N1128" i="26"/>
  <c r="O1128" i="26" s="1"/>
  <c r="P1128" i="26" s="1"/>
  <c r="M1128" i="26" s="1"/>
  <c r="L1128" i="26"/>
  <c r="I1128" i="26"/>
  <c r="J1128" i="26" s="1"/>
  <c r="C1128" i="26"/>
  <c r="N1127" i="26"/>
  <c r="O1127" i="26" s="1"/>
  <c r="P1127" i="26" s="1"/>
  <c r="M1127" i="26" s="1"/>
  <c r="L1127" i="26"/>
  <c r="I1127" i="26"/>
  <c r="J1127" i="26" s="1"/>
  <c r="C1127" i="26"/>
  <c r="N1126" i="26"/>
  <c r="O1126" i="26" s="1"/>
  <c r="P1126" i="26" s="1"/>
  <c r="M1126" i="26" s="1"/>
  <c r="L1126" i="26"/>
  <c r="I1126" i="26"/>
  <c r="J1126" i="26" s="1"/>
  <c r="C1126" i="26"/>
  <c r="N1125" i="26"/>
  <c r="O1125" i="26" s="1"/>
  <c r="P1125" i="26" s="1"/>
  <c r="M1125" i="26" s="1"/>
  <c r="L1125" i="26"/>
  <c r="I1125" i="26"/>
  <c r="J1125" i="26" s="1"/>
  <c r="C1125" i="26"/>
  <c r="N1124" i="26"/>
  <c r="O1124" i="26" s="1"/>
  <c r="P1124" i="26" s="1"/>
  <c r="M1124" i="26" s="1"/>
  <c r="L1124" i="26"/>
  <c r="I1124" i="26"/>
  <c r="J1124" i="26" s="1"/>
  <c r="C1124" i="26"/>
  <c r="N1123" i="26"/>
  <c r="O1123" i="26" s="1"/>
  <c r="P1123" i="26" s="1"/>
  <c r="M1123" i="26" s="1"/>
  <c r="L1123" i="26"/>
  <c r="I1123" i="26"/>
  <c r="J1123" i="26" s="1"/>
  <c r="C1123" i="26"/>
  <c r="N1122" i="26"/>
  <c r="O1122" i="26" s="1"/>
  <c r="P1122" i="26" s="1"/>
  <c r="M1122" i="26" s="1"/>
  <c r="L1122" i="26"/>
  <c r="I1122" i="26"/>
  <c r="J1122" i="26" s="1"/>
  <c r="C1122" i="26"/>
  <c r="N1121" i="26"/>
  <c r="O1121" i="26" s="1"/>
  <c r="P1121" i="26" s="1"/>
  <c r="M1121" i="26" s="1"/>
  <c r="L1121" i="26"/>
  <c r="I1121" i="26"/>
  <c r="J1121" i="26" s="1"/>
  <c r="C1121" i="26"/>
  <c r="N1120" i="26"/>
  <c r="O1120" i="26" s="1"/>
  <c r="P1120" i="26" s="1"/>
  <c r="M1120" i="26" s="1"/>
  <c r="L1120" i="26"/>
  <c r="I1120" i="26"/>
  <c r="J1120" i="26" s="1"/>
  <c r="C1120" i="26"/>
  <c r="N1119" i="26"/>
  <c r="O1119" i="26" s="1"/>
  <c r="P1119" i="26" s="1"/>
  <c r="M1119" i="26" s="1"/>
  <c r="L1119" i="26"/>
  <c r="I1119" i="26"/>
  <c r="J1119" i="26" s="1"/>
  <c r="C1119" i="26"/>
  <c r="N1118" i="26"/>
  <c r="O1118" i="26" s="1"/>
  <c r="P1118" i="26" s="1"/>
  <c r="M1118" i="26" s="1"/>
  <c r="L1118" i="26"/>
  <c r="I1118" i="26"/>
  <c r="J1118" i="26" s="1"/>
  <c r="C1118" i="26"/>
  <c r="N1117" i="26"/>
  <c r="O1117" i="26" s="1"/>
  <c r="P1117" i="26" s="1"/>
  <c r="M1117" i="26" s="1"/>
  <c r="L1117" i="26"/>
  <c r="I1117" i="26"/>
  <c r="J1117" i="26" s="1"/>
  <c r="C1117" i="26"/>
  <c r="N1116" i="26"/>
  <c r="O1116" i="26" s="1"/>
  <c r="P1116" i="26" s="1"/>
  <c r="M1116" i="26" s="1"/>
  <c r="L1116" i="26"/>
  <c r="I1116" i="26"/>
  <c r="J1116" i="26" s="1"/>
  <c r="C1116" i="26"/>
  <c r="N1115" i="26"/>
  <c r="O1115" i="26" s="1"/>
  <c r="P1115" i="26" s="1"/>
  <c r="M1115" i="26" s="1"/>
  <c r="L1115" i="26"/>
  <c r="I1115" i="26"/>
  <c r="J1115" i="26" s="1"/>
  <c r="C1115" i="26"/>
  <c r="N1114" i="26"/>
  <c r="O1114" i="26" s="1"/>
  <c r="P1114" i="26" s="1"/>
  <c r="M1114" i="26" s="1"/>
  <c r="L1114" i="26"/>
  <c r="I1114" i="26"/>
  <c r="J1114" i="26" s="1"/>
  <c r="C1114" i="26"/>
  <c r="N1113" i="26"/>
  <c r="O1113" i="26" s="1"/>
  <c r="P1113" i="26" s="1"/>
  <c r="M1113" i="26" s="1"/>
  <c r="L1113" i="26"/>
  <c r="I1113" i="26"/>
  <c r="J1113" i="26" s="1"/>
  <c r="C1113" i="26"/>
  <c r="N1112" i="26"/>
  <c r="O1112" i="26" s="1"/>
  <c r="P1112" i="26" s="1"/>
  <c r="M1112" i="26" s="1"/>
  <c r="L1112" i="26"/>
  <c r="I1112" i="26"/>
  <c r="J1112" i="26" s="1"/>
  <c r="C1112" i="26"/>
  <c r="N1111" i="26"/>
  <c r="O1111" i="26" s="1"/>
  <c r="P1111" i="26" s="1"/>
  <c r="M1111" i="26" s="1"/>
  <c r="L1111" i="26"/>
  <c r="I1111" i="26"/>
  <c r="J1111" i="26" s="1"/>
  <c r="C1111" i="26"/>
  <c r="N1110" i="26"/>
  <c r="O1110" i="26" s="1"/>
  <c r="P1110" i="26" s="1"/>
  <c r="M1110" i="26" s="1"/>
  <c r="L1110" i="26"/>
  <c r="I1110" i="26"/>
  <c r="J1110" i="26" s="1"/>
  <c r="C1110" i="26"/>
  <c r="N1109" i="26"/>
  <c r="O1109" i="26" s="1"/>
  <c r="P1109" i="26" s="1"/>
  <c r="M1109" i="26" s="1"/>
  <c r="L1109" i="26"/>
  <c r="I1109" i="26"/>
  <c r="J1109" i="26" s="1"/>
  <c r="C1109" i="26"/>
  <c r="N1108" i="26"/>
  <c r="O1108" i="26" s="1"/>
  <c r="P1108" i="26" s="1"/>
  <c r="M1108" i="26" s="1"/>
  <c r="L1108" i="26"/>
  <c r="I1108" i="26"/>
  <c r="J1108" i="26" s="1"/>
  <c r="C1108" i="26"/>
  <c r="N1107" i="26"/>
  <c r="O1107" i="26" s="1"/>
  <c r="P1107" i="26" s="1"/>
  <c r="M1107" i="26" s="1"/>
  <c r="L1107" i="26"/>
  <c r="I1107" i="26"/>
  <c r="J1107" i="26" s="1"/>
  <c r="C1107" i="26"/>
  <c r="N1106" i="26"/>
  <c r="O1106" i="26" s="1"/>
  <c r="P1106" i="26" s="1"/>
  <c r="M1106" i="26" s="1"/>
  <c r="L1106" i="26"/>
  <c r="I1106" i="26"/>
  <c r="J1106" i="26" s="1"/>
  <c r="C1106" i="26"/>
  <c r="N1105" i="26"/>
  <c r="O1105" i="26" s="1"/>
  <c r="P1105" i="26" s="1"/>
  <c r="M1105" i="26" s="1"/>
  <c r="L1105" i="26"/>
  <c r="I1105" i="26"/>
  <c r="J1105" i="26" s="1"/>
  <c r="C1105" i="26"/>
  <c r="N1104" i="26"/>
  <c r="O1104" i="26" s="1"/>
  <c r="P1104" i="26" s="1"/>
  <c r="M1104" i="26" s="1"/>
  <c r="L1104" i="26"/>
  <c r="I1104" i="26"/>
  <c r="J1104" i="26" s="1"/>
  <c r="C1104" i="26"/>
  <c r="N1103" i="26"/>
  <c r="O1103" i="26" s="1"/>
  <c r="P1103" i="26" s="1"/>
  <c r="M1103" i="26" s="1"/>
  <c r="L1103" i="26"/>
  <c r="I1103" i="26"/>
  <c r="J1103" i="26" s="1"/>
  <c r="C1103" i="26"/>
  <c r="N1102" i="26"/>
  <c r="O1102" i="26" s="1"/>
  <c r="P1102" i="26" s="1"/>
  <c r="M1102" i="26" s="1"/>
  <c r="L1102" i="26"/>
  <c r="I1102" i="26"/>
  <c r="J1102" i="26" s="1"/>
  <c r="C1102" i="26"/>
  <c r="O1101" i="26"/>
  <c r="P1101" i="26" s="1"/>
  <c r="M1101" i="26" s="1"/>
  <c r="N1101" i="26"/>
  <c r="L1101" i="26"/>
  <c r="J1101" i="26"/>
  <c r="I1101" i="26"/>
  <c r="C1101" i="26"/>
  <c r="O1100" i="26"/>
  <c r="P1100" i="26" s="1"/>
  <c r="M1100" i="26" s="1"/>
  <c r="N1100" i="26"/>
  <c r="L1100" i="26"/>
  <c r="J1100" i="26"/>
  <c r="I1100" i="26"/>
  <c r="C1100" i="26"/>
  <c r="O1099" i="26"/>
  <c r="P1099" i="26" s="1"/>
  <c r="M1099" i="26" s="1"/>
  <c r="N1099" i="26"/>
  <c r="L1099" i="26"/>
  <c r="J1099" i="26"/>
  <c r="I1099" i="26"/>
  <c r="C1099" i="26"/>
  <c r="O1098" i="26"/>
  <c r="P1098" i="26" s="1"/>
  <c r="M1098" i="26" s="1"/>
  <c r="N1098" i="26"/>
  <c r="L1098" i="26"/>
  <c r="J1098" i="26"/>
  <c r="I1098" i="26"/>
  <c r="C1098" i="26"/>
  <c r="O1097" i="26"/>
  <c r="P1097" i="26" s="1"/>
  <c r="M1097" i="26" s="1"/>
  <c r="N1097" i="26"/>
  <c r="L1097" i="26"/>
  <c r="J1097" i="26"/>
  <c r="I1097" i="26"/>
  <c r="C1097" i="26"/>
  <c r="O1096" i="26"/>
  <c r="P1096" i="26" s="1"/>
  <c r="M1096" i="26" s="1"/>
  <c r="N1096" i="26"/>
  <c r="L1096" i="26"/>
  <c r="J1096" i="26"/>
  <c r="I1096" i="26"/>
  <c r="C1096" i="26"/>
  <c r="O1095" i="26"/>
  <c r="P1095" i="26" s="1"/>
  <c r="M1095" i="26" s="1"/>
  <c r="N1095" i="26"/>
  <c r="L1095" i="26"/>
  <c r="J1095" i="26"/>
  <c r="I1095" i="26"/>
  <c r="C1095" i="26"/>
  <c r="O1094" i="26"/>
  <c r="P1094" i="26" s="1"/>
  <c r="M1094" i="26" s="1"/>
  <c r="N1094" i="26"/>
  <c r="L1094" i="26"/>
  <c r="J1094" i="26"/>
  <c r="I1094" i="26"/>
  <c r="C1094" i="26"/>
  <c r="O1093" i="26"/>
  <c r="P1093" i="26" s="1"/>
  <c r="M1093" i="26" s="1"/>
  <c r="N1093" i="26"/>
  <c r="L1093" i="26"/>
  <c r="J1093" i="26"/>
  <c r="I1093" i="26"/>
  <c r="C1093" i="26"/>
  <c r="O1092" i="26"/>
  <c r="P1092" i="26" s="1"/>
  <c r="M1092" i="26" s="1"/>
  <c r="N1092" i="26"/>
  <c r="L1092" i="26"/>
  <c r="J1092" i="26"/>
  <c r="I1092" i="26"/>
  <c r="C1092" i="26"/>
  <c r="O1091" i="26"/>
  <c r="P1091" i="26" s="1"/>
  <c r="M1091" i="26" s="1"/>
  <c r="N1091" i="26"/>
  <c r="L1091" i="26"/>
  <c r="J1091" i="26"/>
  <c r="I1091" i="26"/>
  <c r="C1091" i="26"/>
  <c r="O1090" i="26"/>
  <c r="P1090" i="26" s="1"/>
  <c r="M1090" i="26" s="1"/>
  <c r="N1090" i="26"/>
  <c r="L1090" i="26"/>
  <c r="J1090" i="26"/>
  <c r="I1090" i="26"/>
  <c r="C1090" i="26"/>
  <c r="O1089" i="26"/>
  <c r="P1089" i="26" s="1"/>
  <c r="M1089" i="26" s="1"/>
  <c r="N1089" i="26"/>
  <c r="L1089" i="26"/>
  <c r="J1089" i="26"/>
  <c r="I1089" i="26"/>
  <c r="C1089" i="26"/>
  <c r="O1088" i="26"/>
  <c r="P1088" i="26" s="1"/>
  <c r="M1088" i="26" s="1"/>
  <c r="N1088" i="26"/>
  <c r="L1088" i="26"/>
  <c r="J1088" i="26"/>
  <c r="I1088" i="26"/>
  <c r="C1088" i="26"/>
  <c r="O1087" i="26"/>
  <c r="P1087" i="26" s="1"/>
  <c r="M1087" i="26" s="1"/>
  <c r="N1087" i="26"/>
  <c r="L1087" i="26"/>
  <c r="J1087" i="26"/>
  <c r="I1087" i="26"/>
  <c r="C1087" i="26"/>
  <c r="O1086" i="26"/>
  <c r="P1086" i="26" s="1"/>
  <c r="M1086" i="26" s="1"/>
  <c r="N1086" i="26"/>
  <c r="L1086" i="26"/>
  <c r="J1086" i="26"/>
  <c r="I1086" i="26"/>
  <c r="C1086" i="26"/>
  <c r="O1085" i="26"/>
  <c r="P1085" i="26" s="1"/>
  <c r="M1085" i="26" s="1"/>
  <c r="N1085" i="26"/>
  <c r="L1085" i="26"/>
  <c r="J1085" i="26"/>
  <c r="I1085" i="26"/>
  <c r="C1085" i="26"/>
  <c r="O1084" i="26"/>
  <c r="P1084" i="26" s="1"/>
  <c r="M1084" i="26" s="1"/>
  <c r="N1084" i="26"/>
  <c r="L1084" i="26"/>
  <c r="J1084" i="26"/>
  <c r="I1084" i="26"/>
  <c r="C1084" i="26"/>
  <c r="O1083" i="26"/>
  <c r="P1083" i="26" s="1"/>
  <c r="M1083" i="26" s="1"/>
  <c r="N1083" i="26"/>
  <c r="L1083" i="26"/>
  <c r="J1083" i="26"/>
  <c r="I1083" i="26"/>
  <c r="C1083" i="26"/>
  <c r="O1082" i="26"/>
  <c r="P1082" i="26" s="1"/>
  <c r="M1082" i="26" s="1"/>
  <c r="N1082" i="26"/>
  <c r="L1082" i="26"/>
  <c r="J1082" i="26"/>
  <c r="I1082" i="26"/>
  <c r="C1082" i="26"/>
  <c r="O1081" i="26"/>
  <c r="P1081" i="26" s="1"/>
  <c r="M1081" i="26" s="1"/>
  <c r="N1081" i="26"/>
  <c r="L1081" i="26"/>
  <c r="J1081" i="26"/>
  <c r="I1081" i="26"/>
  <c r="C1081" i="26"/>
  <c r="O1080" i="26"/>
  <c r="P1080" i="26" s="1"/>
  <c r="M1080" i="26" s="1"/>
  <c r="N1080" i="26"/>
  <c r="L1080" i="26"/>
  <c r="J1080" i="26"/>
  <c r="I1080" i="26"/>
  <c r="C1080" i="26"/>
  <c r="O1079" i="26"/>
  <c r="P1079" i="26" s="1"/>
  <c r="M1079" i="26" s="1"/>
  <c r="N1079" i="26"/>
  <c r="L1079" i="26"/>
  <c r="J1079" i="26"/>
  <c r="I1079" i="26"/>
  <c r="C1079" i="26"/>
  <c r="O1078" i="26"/>
  <c r="P1078" i="26" s="1"/>
  <c r="M1078" i="26" s="1"/>
  <c r="N1078" i="26"/>
  <c r="L1078" i="26"/>
  <c r="J1078" i="26"/>
  <c r="I1078" i="26"/>
  <c r="C1078" i="26"/>
  <c r="O1077" i="26"/>
  <c r="P1077" i="26" s="1"/>
  <c r="M1077" i="26" s="1"/>
  <c r="N1077" i="26"/>
  <c r="L1077" i="26"/>
  <c r="J1077" i="26"/>
  <c r="I1077" i="26"/>
  <c r="C1077" i="26"/>
  <c r="O1076" i="26"/>
  <c r="P1076" i="26" s="1"/>
  <c r="M1076" i="26" s="1"/>
  <c r="N1076" i="26"/>
  <c r="L1076" i="26"/>
  <c r="J1076" i="26"/>
  <c r="I1076" i="26"/>
  <c r="C1076" i="26"/>
  <c r="O1075" i="26"/>
  <c r="P1075" i="26" s="1"/>
  <c r="M1075" i="26" s="1"/>
  <c r="N1075" i="26"/>
  <c r="L1075" i="26"/>
  <c r="J1075" i="26"/>
  <c r="I1075" i="26"/>
  <c r="C1075" i="26"/>
  <c r="O1074" i="26"/>
  <c r="P1074" i="26" s="1"/>
  <c r="M1074" i="26" s="1"/>
  <c r="N1074" i="26"/>
  <c r="L1074" i="26"/>
  <c r="J1074" i="26"/>
  <c r="I1074" i="26"/>
  <c r="C1074" i="26"/>
  <c r="O1073" i="26"/>
  <c r="P1073" i="26" s="1"/>
  <c r="M1073" i="26" s="1"/>
  <c r="N1073" i="26"/>
  <c r="L1073" i="26"/>
  <c r="J1073" i="26"/>
  <c r="I1073" i="26"/>
  <c r="C1073" i="26"/>
  <c r="O1072" i="26"/>
  <c r="P1072" i="26" s="1"/>
  <c r="M1072" i="26" s="1"/>
  <c r="N1072" i="26"/>
  <c r="L1072" i="26"/>
  <c r="J1072" i="26"/>
  <c r="I1072" i="26"/>
  <c r="C1072" i="26"/>
  <c r="O1071" i="26"/>
  <c r="P1071" i="26" s="1"/>
  <c r="M1071" i="26" s="1"/>
  <c r="N1071" i="26"/>
  <c r="L1071" i="26"/>
  <c r="J1071" i="26"/>
  <c r="I1071" i="26"/>
  <c r="C1071" i="26"/>
  <c r="O1070" i="26"/>
  <c r="P1070" i="26" s="1"/>
  <c r="M1070" i="26" s="1"/>
  <c r="N1070" i="26"/>
  <c r="L1070" i="26"/>
  <c r="J1070" i="26"/>
  <c r="I1070" i="26"/>
  <c r="C1070" i="26"/>
  <c r="O1069" i="26"/>
  <c r="P1069" i="26" s="1"/>
  <c r="M1069" i="26" s="1"/>
  <c r="N1069" i="26"/>
  <c r="L1069" i="26"/>
  <c r="J1069" i="26"/>
  <c r="I1069" i="26"/>
  <c r="C1069" i="26"/>
  <c r="O1068" i="26"/>
  <c r="P1068" i="26" s="1"/>
  <c r="M1068" i="26" s="1"/>
  <c r="N1068" i="26"/>
  <c r="L1068" i="26"/>
  <c r="J1068" i="26"/>
  <c r="I1068" i="26"/>
  <c r="C1068" i="26"/>
  <c r="O1067" i="26"/>
  <c r="P1067" i="26" s="1"/>
  <c r="M1067" i="26" s="1"/>
  <c r="N1067" i="26"/>
  <c r="L1067" i="26"/>
  <c r="J1067" i="26"/>
  <c r="I1067" i="26"/>
  <c r="C1067" i="26"/>
  <c r="O1066" i="26"/>
  <c r="P1066" i="26" s="1"/>
  <c r="M1066" i="26" s="1"/>
  <c r="N1066" i="26"/>
  <c r="L1066" i="26"/>
  <c r="J1066" i="26"/>
  <c r="I1066" i="26"/>
  <c r="C1066" i="26"/>
  <c r="O1065" i="26"/>
  <c r="P1065" i="26" s="1"/>
  <c r="M1065" i="26" s="1"/>
  <c r="N1065" i="26"/>
  <c r="L1065" i="26"/>
  <c r="J1065" i="26"/>
  <c r="I1065" i="26"/>
  <c r="C1065" i="26"/>
  <c r="O1064" i="26"/>
  <c r="P1064" i="26" s="1"/>
  <c r="M1064" i="26" s="1"/>
  <c r="N1064" i="26"/>
  <c r="L1064" i="26"/>
  <c r="J1064" i="26"/>
  <c r="I1064" i="26"/>
  <c r="C1064" i="26"/>
  <c r="O1063" i="26"/>
  <c r="P1063" i="26" s="1"/>
  <c r="M1063" i="26" s="1"/>
  <c r="N1063" i="26"/>
  <c r="L1063" i="26"/>
  <c r="J1063" i="26"/>
  <c r="I1063" i="26"/>
  <c r="C1063" i="26"/>
  <c r="O1062" i="26"/>
  <c r="P1062" i="26" s="1"/>
  <c r="M1062" i="26" s="1"/>
  <c r="N1062" i="26"/>
  <c r="L1062" i="26"/>
  <c r="J1062" i="26"/>
  <c r="I1062" i="26"/>
  <c r="C1062" i="26"/>
  <c r="O1061" i="26"/>
  <c r="P1061" i="26" s="1"/>
  <c r="M1061" i="26" s="1"/>
  <c r="N1061" i="26"/>
  <c r="L1061" i="26"/>
  <c r="J1061" i="26"/>
  <c r="I1061" i="26"/>
  <c r="C1061" i="26"/>
  <c r="O1060" i="26"/>
  <c r="P1060" i="26" s="1"/>
  <c r="M1060" i="26" s="1"/>
  <c r="N1060" i="26"/>
  <c r="L1060" i="26"/>
  <c r="J1060" i="26"/>
  <c r="I1060" i="26"/>
  <c r="C1060" i="26"/>
  <c r="O1059" i="26"/>
  <c r="P1059" i="26" s="1"/>
  <c r="M1059" i="26" s="1"/>
  <c r="N1059" i="26"/>
  <c r="L1059" i="26"/>
  <c r="J1059" i="26"/>
  <c r="I1059" i="26"/>
  <c r="C1059" i="26"/>
  <c r="O1058" i="26"/>
  <c r="P1058" i="26" s="1"/>
  <c r="M1058" i="26" s="1"/>
  <c r="N1058" i="26"/>
  <c r="L1058" i="26"/>
  <c r="J1058" i="26"/>
  <c r="I1058" i="26"/>
  <c r="C1058" i="26"/>
  <c r="O1057" i="26"/>
  <c r="P1057" i="26" s="1"/>
  <c r="M1057" i="26" s="1"/>
  <c r="N1057" i="26"/>
  <c r="L1057" i="26"/>
  <c r="J1057" i="26"/>
  <c r="I1057" i="26"/>
  <c r="C1057" i="26"/>
  <c r="O1056" i="26"/>
  <c r="P1056" i="26" s="1"/>
  <c r="M1056" i="26" s="1"/>
  <c r="N1056" i="26"/>
  <c r="L1056" i="26"/>
  <c r="J1056" i="26"/>
  <c r="I1056" i="26"/>
  <c r="C1056" i="26"/>
  <c r="O1055" i="26"/>
  <c r="P1055" i="26" s="1"/>
  <c r="M1055" i="26" s="1"/>
  <c r="N1055" i="26"/>
  <c r="L1055" i="26"/>
  <c r="J1055" i="26"/>
  <c r="I1055" i="26"/>
  <c r="C1055" i="26"/>
  <c r="O1054" i="26"/>
  <c r="P1054" i="26" s="1"/>
  <c r="M1054" i="26" s="1"/>
  <c r="N1054" i="26"/>
  <c r="L1054" i="26"/>
  <c r="J1054" i="26"/>
  <c r="I1054" i="26"/>
  <c r="C1054" i="26"/>
  <c r="O1053" i="26"/>
  <c r="P1053" i="26" s="1"/>
  <c r="M1053" i="26" s="1"/>
  <c r="N1053" i="26"/>
  <c r="L1053" i="26"/>
  <c r="J1053" i="26"/>
  <c r="I1053" i="26"/>
  <c r="C1053" i="26"/>
  <c r="O1052" i="26"/>
  <c r="P1052" i="26" s="1"/>
  <c r="M1052" i="26" s="1"/>
  <c r="N1052" i="26"/>
  <c r="L1052" i="26"/>
  <c r="J1052" i="26"/>
  <c r="I1052" i="26"/>
  <c r="C1052" i="26"/>
  <c r="O1051" i="26"/>
  <c r="P1051" i="26" s="1"/>
  <c r="M1051" i="26" s="1"/>
  <c r="N1051" i="26"/>
  <c r="L1051" i="26"/>
  <c r="J1051" i="26"/>
  <c r="I1051" i="26"/>
  <c r="C1051" i="26"/>
  <c r="O1050" i="26"/>
  <c r="P1050" i="26" s="1"/>
  <c r="M1050" i="26" s="1"/>
  <c r="N1050" i="26"/>
  <c r="L1050" i="26"/>
  <c r="J1050" i="26"/>
  <c r="I1050" i="26"/>
  <c r="C1050" i="26"/>
  <c r="O1049" i="26"/>
  <c r="P1049" i="26" s="1"/>
  <c r="M1049" i="26" s="1"/>
  <c r="N1049" i="26"/>
  <c r="L1049" i="26"/>
  <c r="J1049" i="26"/>
  <c r="I1049" i="26"/>
  <c r="C1049" i="26"/>
  <c r="O1048" i="26"/>
  <c r="P1048" i="26" s="1"/>
  <c r="M1048" i="26" s="1"/>
  <c r="N1048" i="26"/>
  <c r="L1048" i="26"/>
  <c r="J1048" i="26"/>
  <c r="I1048" i="26"/>
  <c r="C1048" i="26"/>
  <c r="O1047" i="26"/>
  <c r="P1047" i="26" s="1"/>
  <c r="M1047" i="26" s="1"/>
  <c r="N1047" i="26"/>
  <c r="L1047" i="26"/>
  <c r="J1047" i="26"/>
  <c r="I1047" i="26"/>
  <c r="C1047" i="26"/>
  <c r="O1046" i="26"/>
  <c r="P1046" i="26" s="1"/>
  <c r="M1046" i="26" s="1"/>
  <c r="N1046" i="26"/>
  <c r="L1046" i="26"/>
  <c r="J1046" i="26"/>
  <c r="I1046" i="26"/>
  <c r="C1046" i="26"/>
  <c r="O1045" i="26"/>
  <c r="P1045" i="26" s="1"/>
  <c r="M1045" i="26" s="1"/>
  <c r="N1045" i="26"/>
  <c r="L1045" i="26"/>
  <c r="J1045" i="26"/>
  <c r="I1045" i="26"/>
  <c r="C1045" i="26"/>
  <c r="O1044" i="26"/>
  <c r="P1044" i="26" s="1"/>
  <c r="M1044" i="26" s="1"/>
  <c r="N1044" i="26"/>
  <c r="L1044" i="26"/>
  <c r="J1044" i="26"/>
  <c r="I1044" i="26"/>
  <c r="C1044" i="26"/>
  <c r="O1043" i="26"/>
  <c r="P1043" i="26" s="1"/>
  <c r="M1043" i="26" s="1"/>
  <c r="N1043" i="26"/>
  <c r="L1043" i="26"/>
  <c r="J1043" i="26"/>
  <c r="I1043" i="26"/>
  <c r="C1043" i="26"/>
  <c r="O1042" i="26"/>
  <c r="P1042" i="26" s="1"/>
  <c r="M1042" i="26" s="1"/>
  <c r="N1042" i="26"/>
  <c r="L1042" i="26"/>
  <c r="J1042" i="26"/>
  <c r="I1042" i="26"/>
  <c r="C1042" i="26"/>
  <c r="O1041" i="26"/>
  <c r="P1041" i="26" s="1"/>
  <c r="M1041" i="26" s="1"/>
  <c r="N1041" i="26"/>
  <c r="L1041" i="26"/>
  <c r="J1041" i="26"/>
  <c r="I1041" i="26"/>
  <c r="C1041" i="26"/>
  <c r="O1040" i="26"/>
  <c r="P1040" i="26" s="1"/>
  <c r="M1040" i="26" s="1"/>
  <c r="N1040" i="26"/>
  <c r="L1040" i="26"/>
  <c r="J1040" i="26"/>
  <c r="I1040" i="26"/>
  <c r="C1040" i="26"/>
  <c r="O1039" i="26"/>
  <c r="P1039" i="26" s="1"/>
  <c r="M1039" i="26" s="1"/>
  <c r="N1039" i="26"/>
  <c r="L1039" i="26"/>
  <c r="J1039" i="26"/>
  <c r="I1039" i="26"/>
  <c r="C1039" i="26"/>
  <c r="O1038" i="26"/>
  <c r="P1038" i="26" s="1"/>
  <c r="M1038" i="26" s="1"/>
  <c r="N1038" i="26"/>
  <c r="L1038" i="26"/>
  <c r="J1038" i="26"/>
  <c r="I1038" i="26"/>
  <c r="C1038" i="26"/>
  <c r="O1037" i="26"/>
  <c r="P1037" i="26" s="1"/>
  <c r="M1037" i="26" s="1"/>
  <c r="N1037" i="26"/>
  <c r="L1037" i="26"/>
  <c r="J1037" i="26"/>
  <c r="I1037" i="26"/>
  <c r="C1037" i="26"/>
  <c r="O1036" i="26"/>
  <c r="P1036" i="26" s="1"/>
  <c r="M1036" i="26" s="1"/>
  <c r="N1036" i="26"/>
  <c r="L1036" i="26"/>
  <c r="J1036" i="26"/>
  <c r="I1036" i="26"/>
  <c r="C1036" i="26"/>
  <c r="O1035" i="26"/>
  <c r="P1035" i="26" s="1"/>
  <c r="M1035" i="26" s="1"/>
  <c r="N1035" i="26"/>
  <c r="L1035" i="26"/>
  <c r="J1035" i="26"/>
  <c r="I1035" i="26"/>
  <c r="C1035" i="26"/>
  <c r="O1034" i="26"/>
  <c r="P1034" i="26" s="1"/>
  <c r="M1034" i="26" s="1"/>
  <c r="N1034" i="26"/>
  <c r="L1034" i="26"/>
  <c r="J1034" i="26"/>
  <c r="I1034" i="26"/>
  <c r="C1034" i="26"/>
  <c r="O1033" i="26"/>
  <c r="P1033" i="26" s="1"/>
  <c r="M1033" i="26" s="1"/>
  <c r="N1033" i="26"/>
  <c r="L1033" i="26"/>
  <c r="J1033" i="26"/>
  <c r="I1033" i="26"/>
  <c r="C1033" i="26"/>
  <c r="O1032" i="26"/>
  <c r="P1032" i="26" s="1"/>
  <c r="M1032" i="26" s="1"/>
  <c r="N1032" i="26"/>
  <c r="L1032" i="26"/>
  <c r="J1032" i="26"/>
  <c r="I1032" i="26"/>
  <c r="C1032" i="26"/>
  <c r="O1031" i="26"/>
  <c r="P1031" i="26" s="1"/>
  <c r="M1031" i="26" s="1"/>
  <c r="N1031" i="26"/>
  <c r="L1031" i="26"/>
  <c r="J1031" i="26"/>
  <c r="I1031" i="26"/>
  <c r="C1031" i="26"/>
  <c r="O1030" i="26"/>
  <c r="P1030" i="26" s="1"/>
  <c r="M1030" i="26" s="1"/>
  <c r="N1030" i="26"/>
  <c r="L1030" i="26"/>
  <c r="J1030" i="26"/>
  <c r="I1030" i="26"/>
  <c r="C1030" i="26"/>
  <c r="O1029" i="26"/>
  <c r="P1029" i="26" s="1"/>
  <c r="M1029" i="26" s="1"/>
  <c r="N1029" i="26"/>
  <c r="L1029" i="26"/>
  <c r="J1029" i="26"/>
  <c r="I1029" i="26"/>
  <c r="C1029" i="26"/>
  <c r="O1028" i="26"/>
  <c r="P1028" i="26" s="1"/>
  <c r="M1028" i="26" s="1"/>
  <c r="N1028" i="26"/>
  <c r="L1028" i="26"/>
  <c r="J1028" i="26"/>
  <c r="I1028" i="26"/>
  <c r="C1028" i="26"/>
  <c r="O1027" i="26"/>
  <c r="P1027" i="26" s="1"/>
  <c r="M1027" i="26" s="1"/>
  <c r="N1027" i="26"/>
  <c r="L1027" i="26"/>
  <c r="J1027" i="26"/>
  <c r="I1027" i="26"/>
  <c r="C1027" i="26"/>
  <c r="O1026" i="26"/>
  <c r="P1026" i="26" s="1"/>
  <c r="M1026" i="26" s="1"/>
  <c r="N1026" i="26"/>
  <c r="L1026" i="26"/>
  <c r="J1026" i="26"/>
  <c r="I1026" i="26"/>
  <c r="C1026" i="26"/>
  <c r="O1025" i="26"/>
  <c r="P1025" i="26" s="1"/>
  <c r="M1025" i="26" s="1"/>
  <c r="N1025" i="26"/>
  <c r="L1025" i="26"/>
  <c r="J1025" i="26"/>
  <c r="I1025" i="26"/>
  <c r="C1025" i="26"/>
  <c r="O1024" i="26"/>
  <c r="P1024" i="26" s="1"/>
  <c r="M1024" i="26" s="1"/>
  <c r="N1024" i="26"/>
  <c r="L1024" i="26"/>
  <c r="J1024" i="26"/>
  <c r="I1024" i="26"/>
  <c r="C1024" i="26"/>
  <c r="O1023" i="26"/>
  <c r="P1023" i="26" s="1"/>
  <c r="M1023" i="26" s="1"/>
  <c r="N1023" i="26"/>
  <c r="L1023" i="26"/>
  <c r="J1023" i="26"/>
  <c r="I1023" i="26"/>
  <c r="C1023" i="26"/>
  <c r="J1022" i="26"/>
  <c r="I1022" i="26"/>
  <c r="H1022" i="26"/>
  <c r="N1022" i="26" s="1"/>
  <c r="O1022" i="26" s="1"/>
  <c r="P1022" i="26" s="1"/>
  <c r="M1022" i="26" s="1"/>
  <c r="C1022" i="26"/>
  <c r="O1021" i="26"/>
  <c r="N1021" i="26"/>
  <c r="L1021" i="26"/>
  <c r="I1021" i="26"/>
  <c r="J1021" i="26" s="1"/>
  <c r="C1021" i="26"/>
  <c r="P1021" i="26" s="1"/>
  <c r="M1021" i="26" s="1"/>
  <c r="O1020" i="26"/>
  <c r="N1020" i="26"/>
  <c r="L1020" i="26"/>
  <c r="I1020" i="26"/>
  <c r="J1020" i="26" s="1"/>
  <c r="C1020" i="26"/>
  <c r="P1020" i="26" s="1"/>
  <c r="M1020" i="26" s="1"/>
  <c r="O1019" i="26"/>
  <c r="N1019" i="26"/>
  <c r="L1019" i="26"/>
  <c r="I1019" i="26"/>
  <c r="J1019" i="26" s="1"/>
  <c r="C1019" i="26"/>
  <c r="P1019" i="26" s="1"/>
  <c r="M1019" i="26" s="1"/>
  <c r="O1018" i="26"/>
  <c r="N1018" i="26"/>
  <c r="L1018" i="26"/>
  <c r="I1018" i="26"/>
  <c r="J1018" i="26" s="1"/>
  <c r="C1018" i="26"/>
  <c r="P1018" i="26" s="1"/>
  <c r="M1018" i="26" s="1"/>
  <c r="O1017" i="26"/>
  <c r="N1017" i="26"/>
  <c r="L1017" i="26"/>
  <c r="I1017" i="26"/>
  <c r="J1017" i="26" s="1"/>
  <c r="C1017" i="26"/>
  <c r="P1017" i="26" s="1"/>
  <c r="M1017" i="26" s="1"/>
  <c r="O1016" i="26"/>
  <c r="N1016" i="26"/>
  <c r="L1016" i="26"/>
  <c r="I1016" i="26"/>
  <c r="J1016" i="26" s="1"/>
  <c r="C1016" i="26"/>
  <c r="P1016" i="26" s="1"/>
  <c r="M1016" i="26" s="1"/>
  <c r="O1015" i="26"/>
  <c r="N1015" i="26"/>
  <c r="L1015" i="26"/>
  <c r="I1015" i="26"/>
  <c r="J1015" i="26" s="1"/>
  <c r="C1015" i="26"/>
  <c r="P1015" i="26" s="1"/>
  <c r="M1015" i="26" s="1"/>
  <c r="O1014" i="26"/>
  <c r="N1014" i="26"/>
  <c r="L1014" i="26"/>
  <c r="I1014" i="26"/>
  <c r="J1014" i="26" s="1"/>
  <c r="C1014" i="26"/>
  <c r="P1014" i="26" s="1"/>
  <c r="M1014" i="26" s="1"/>
  <c r="O1013" i="26"/>
  <c r="N1013" i="26"/>
  <c r="L1013" i="26"/>
  <c r="I1013" i="26"/>
  <c r="J1013" i="26" s="1"/>
  <c r="C1013" i="26"/>
  <c r="P1013" i="26" s="1"/>
  <c r="M1013" i="26" s="1"/>
  <c r="O1012" i="26"/>
  <c r="N1012" i="26"/>
  <c r="L1012" i="26"/>
  <c r="I1012" i="26"/>
  <c r="J1012" i="26" s="1"/>
  <c r="C1012" i="26"/>
  <c r="P1012" i="26" s="1"/>
  <c r="M1012" i="26" s="1"/>
  <c r="O1011" i="26"/>
  <c r="N1011" i="26"/>
  <c r="L1011" i="26"/>
  <c r="I1011" i="26"/>
  <c r="J1011" i="26" s="1"/>
  <c r="C1011" i="26"/>
  <c r="P1011" i="26" s="1"/>
  <c r="M1011" i="26" s="1"/>
  <c r="O1010" i="26"/>
  <c r="N1010" i="26"/>
  <c r="L1010" i="26"/>
  <c r="I1010" i="26"/>
  <c r="J1010" i="26" s="1"/>
  <c r="C1010" i="26"/>
  <c r="P1010" i="26" s="1"/>
  <c r="M1010" i="26" s="1"/>
  <c r="O1009" i="26"/>
  <c r="N1009" i="26"/>
  <c r="L1009" i="26"/>
  <c r="I1009" i="26"/>
  <c r="J1009" i="26" s="1"/>
  <c r="C1009" i="26"/>
  <c r="P1009" i="26" s="1"/>
  <c r="M1009" i="26" s="1"/>
  <c r="N1008" i="26"/>
  <c r="O1008" i="26" s="1"/>
  <c r="P1008" i="26" s="1"/>
  <c r="M1008" i="26" s="1"/>
  <c r="L1008" i="26"/>
  <c r="I1008" i="26"/>
  <c r="J1008" i="26" s="1"/>
  <c r="C1008" i="26"/>
  <c r="N1007" i="26"/>
  <c r="O1007" i="26" s="1"/>
  <c r="P1007" i="26" s="1"/>
  <c r="M1007" i="26" s="1"/>
  <c r="L1007" i="26"/>
  <c r="I1007" i="26"/>
  <c r="J1007" i="26" s="1"/>
  <c r="C1007" i="26"/>
  <c r="N1006" i="26"/>
  <c r="O1006" i="26" s="1"/>
  <c r="P1006" i="26" s="1"/>
  <c r="M1006" i="26" s="1"/>
  <c r="L1006" i="26"/>
  <c r="I1006" i="26"/>
  <c r="J1006" i="26" s="1"/>
  <c r="C1006" i="26"/>
  <c r="N1005" i="26"/>
  <c r="O1005" i="26" s="1"/>
  <c r="P1005" i="26" s="1"/>
  <c r="M1005" i="26" s="1"/>
  <c r="L1005" i="26"/>
  <c r="J1005" i="26"/>
  <c r="I1005" i="26"/>
  <c r="C1005" i="26"/>
  <c r="N1004" i="26"/>
  <c r="O1004" i="26" s="1"/>
  <c r="P1004" i="26" s="1"/>
  <c r="M1004" i="26" s="1"/>
  <c r="L1004" i="26"/>
  <c r="J1004" i="26"/>
  <c r="I1004" i="26"/>
  <c r="C1004" i="26"/>
  <c r="N1003" i="26"/>
  <c r="O1003" i="26" s="1"/>
  <c r="P1003" i="26" s="1"/>
  <c r="M1003" i="26" s="1"/>
  <c r="L1003" i="26"/>
  <c r="J1003" i="26"/>
  <c r="I1003" i="26"/>
  <c r="C1003" i="26"/>
  <c r="N1002" i="26"/>
  <c r="O1002" i="26" s="1"/>
  <c r="P1002" i="26" s="1"/>
  <c r="M1002" i="26" s="1"/>
  <c r="L1002" i="26"/>
  <c r="J1002" i="26"/>
  <c r="I1002" i="26"/>
  <c r="C1002" i="26"/>
  <c r="N1001" i="26"/>
  <c r="O1001" i="26" s="1"/>
  <c r="P1001" i="26" s="1"/>
  <c r="M1001" i="26" s="1"/>
  <c r="L1001" i="26"/>
  <c r="J1001" i="26"/>
  <c r="I1001" i="26"/>
  <c r="C1001" i="26"/>
  <c r="N1000" i="26"/>
  <c r="O1000" i="26" s="1"/>
  <c r="P1000" i="26" s="1"/>
  <c r="M1000" i="26" s="1"/>
  <c r="L1000" i="26"/>
  <c r="J1000" i="26"/>
  <c r="I1000" i="26"/>
  <c r="C1000" i="26"/>
  <c r="N999" i="26"/>
  <c r="O999" i="26" s="1"/>
  <c r="P999" i="26" s="1"/>
  <c r="M999" i="26" s="1"/>
  <c r="L999" i="26"/>
  <c r="J999" i="26"/>
  <c r="I999" i="26"/>
  <c r="C999" i="26"/>
  <c r="L998" i="26"/>
  <c r="J998" i="26"/>
  <c r="I998" i="26"/>
  <c r="H998" i="26"/>
  <c r="N998" i="26" s="1"/>
  <c r="O998" i="26" s="1"/>
  <c r="P998" i="26" s="1"/>
  <c r="M998" i="26" s="1"/>
  <c r="C998" i="26"/>
  <c r="O997" i="26"/>
  <c r="P997" i="26" s="1"/>
  <c r="M997" i="26" s="1"/>
  <c r="N997" i="26"/>
  <c r="L997" i="26"/>
  <c r="I997" i="26"/>
  <c r="J997" i="26" s="1"/>
  <c r="C997" i="26"/>
  <c r="O996" i="26"/>
  <c r="P996" i="26" s="1"/>
  <c r="M996" i="26" s="1"/>
  <c r="N996" i="26"/>
  <c r="L996" i="26"/>
  <c r="I996" i="26"/>
  <c r="J996" i="26" s="1"/>
  <c r="C996" i="26"/>
  <c r="O995" i="26"/>
  <c r="P995" i="26" s="1"/>
  <c r="M995" i="26" s="1"/>
  <c r="N995" i="26"/>
  <c r="L995" i="26"/>
  <c r="I995" i="26"/>
  <c r="J995" i="26" s="1"/>
  <c r="C995" i="26"/>
  <c r="O994" i="26"/>
  <c r="P994" i="26" s="1"/>
  <c r="M994" i="26" s="1"/>
  <c r="N994" i="26"/>
  <c r="L994" i="26"/>
  <c r="I994" i="26"/>
  <c r="J994" i="26" s="1"/>
  <c r="C994" i="26"/>
  <c r="O993" i="26"/>
  <c r="P993" i="26" s="1"/>
  <c r="M993" i="26" s="1"/>
  <c r="N993" i="26"/>
  <c r="L993" i="26"/>
  <c r="I993" i="26"/>
  <c r="J993" i="26" s="1"/>
  <c r="C993" i="26"/>
  <c r="L992" i="26"/>
  <c r="I992" i="26"/>
  <c r="J992" i="26" s="1"/>
  <c r="H992" i="26"/>
  <c r="N992" i="26" s="1"/>
  <c r="O992" i="26" s="1"/>
  <c r="P992" i="26" s="1"/>
  <c r="M992" i="26" s="1"/>
  <c r="C992" i="26"/>
  <c r="N991" i="26"/>
  <c r="O991" i="26" s="1"/>
  <c r="P991" i="26" s="1"/>
  <c r="M991" i="26" s="1"/>
  <c r="L991" i="26"/>
  <c r="I991" i="26"/>
  <c r="J991" i="26" s="1"/>
  <c r="C991" i="26"/>
  <c r="N990" i="26"/>
  <c r="O990" i="26" s="1"/>
  <c r="P990" i="26" s="1"/>
  <c r="M990" i="26" s="1"/>
  <c r="L990" i="26"/>
  <c r="I990" i="26"/>
  <c r="J990" i="26" s="1"/>
  <c r="C990" i="26"/>
  <c r="N989" i="26"/>
  <c r="O989" i="26" s="1"/>
  <c r="P989" i="26" s="1"/>
  <c r="M989" i="26" s="1"/>
  <c r="L989" i="26"/>
  <c r="I989" i="26"/>
  <c r="J989" i="26" s="1"/>
  <c r="C989" i="26"/>
  <c r="N988" i="26"/>
  <c r="O988" i="26" s="1"/>
  <c r="P988" i="26" s="1"/>
  <c r="M988" i="26" s="1"/>
  <c r="L988" i="26"/>
  <c r="I988" i="26"/>
  <c r="J988" i="26" s="1"/>
  <c r="C988" i="26"/>
  <c r="N987" i="26"/>
  <c r="O987" i="26" s="1"/>
  <c r="P987" i="26" s="1"/>
  <c r="M987" i="26" s="1"/>
  <c r="L987" i="26"/>
  <c r="I987" i="26"/>
  <c r="J987" i="26" s="1"/>
  <c r="C987" i="26"/>
  <c r="N986" i="26"/>
  <c r="O986" i="26" s="1"/>
  <c r="P986" i="26" s="1"/>
  <c r="M986" i="26" s="1"/>
  <c r="L986" i="26"/>
  <c r="I986" i="26"/>
  <c r="J986" i="26" s="1"/>
  <c r="C986" i="26"/>
  <c r="N985" i="26"/>
  <c r="O985" i="26" s="1"/>
  <c r="P985" i="26" s="1"/>
  <c r="M985" i="26" s="1"/>
  <c r="L985" i="26"/>
  <c r="I985" i="26"/>
  <c r="J985" i="26" s="1"/>
  <c r="C985" i="26"/>
  <c r="N984" i="26"/>
  <c r="O984" i="26" s="1"/>
  <c r="P984" i="26" s="1"/>
  <c r="M984" i="26" s="1"/>
  <c r="L984" i="26"/>
  <c r="I984" i="26"/>
  <c r="J984" i="26" s="1"/>
  <c r="C984" i="26"/>
  <c r="N983" i="26"/>
  <c r="O983" i="26" s="1"/>
  <c r="P983" i="26" s="1"/>
  <c r="M983" i="26" s="1"/>
  <c r="L983" i="26"/>
  <c r="I983" i="26"/>
  <c r="J983" i="26" s="1"/>
  <c r="C983" i="26"/>
  <c r="N982" i="26"/>
  <c r="O982" i="26" s="1"/>
  <c r="P982" i="26" s="1"/>
  <c r="M982" i="26" s="1"/>
  <c r="L982" i="26"/>
  <c r="I982" i="26"/>
  <c r="J982" i="26" s="1"/>
  <c r="C982" i="26"/>
  <c r="N981" i="26"/>
  <c r="O981" i="26" s="1"/>
  <c r="P981" i="26" s="1"/>
  <c r="M981" i="26" s="1"/>
  <c r="L981" i="26"/>
  <c r="I981" i="26"/>
  <c r="J981" i="26" s="1"/>
  <c r="C981" i="26"/>
  <c r="N980" i="26"/>
  <c r="O980" i="26" s="1"/>
  <c r="P980" i="26" s="1"/>
  <c r="M980" i="26" s="1"/>
  <c r="L980" i="26"/>
  <c r="I980" i="26"/>
  <c r="J980" i="26" s="1"/>
  <c r="C980" i="26"/>
  <c r="N979" i="26"/>
  <c r="O979" i="26" s="1"/>
  <c r="P979" i="26" s="1"/>
  <c r="M979" i="26" s="1"/>
  <c r="L979" i="26"/>
  <c r="I979" i="26"/>
  <c r="J979" i="26" s="1"/>
  <c r="C979" i="26"/>
  <c r="N978" i="26"/>
  <c r="O978" i="26" s="1"/>
  <c r="P978" i="26" s="1"/>
  <c r="M978" i="26" s="1"/>
  <c r="L978" i="26"/>
  <c r="I978" i="26"/>
  <c r="J978" i="26" s="1"/>
  <c r="C978" i="26"/>
  <c r="N977" i="26"/>
  <c r="O977" i="26" s="1"/>
  <c r="P977" i="26" s="1"/>
  <c r="M977" i="26" s="1"/>
  <c r="L977" i="26"/>
  <c r="I977" i="26"/>
  <c r="J977" i="26" s="1"/>
  <c r="C977" i="26"/>
  <c r="N976" i="26"/>
  <c r="O976" i="26" s="1"/>
  <c r="P976" i="26" s="1"/>
  <c r="M976" i="26" s="1"/>
  <c r="L976" i="26"/>
  <c r="I976" i="26"/>
  <c r="J976" i="26" s="1"/>
  <c r="C976" i="26"/>
  <c r="N975" i="26"/>
  <c r="O975" i="26" s="1"/>
  <c r="P975" i="26" s="1"/>
  <c r="M975" i="26" s="1"/>
  <c r="L975" i="26"/>
  <c r="I975" i="26"/>
  <c r="J975" i="26" s="1"/>
  <c r="C975" i="26"/>
  <c r="N974" i="26"/>
  <c r="O974" i="26" s="1"/>
  <c r="P974" i="26" s="1"/>
  <c r="M974" i="26" s="1"/>
  <c r="L974" i="26"/>
  <c r="I974" i="26"/>
  <c r="J974" i="26" s="1"/>
  <c r="C974" i="26"/>
  <c r="N973" i="26"/>
  <c r="O973" i="26" s="1"/>
  <c r="P973" i="26" s="1"/>
  <c r="M973" i="26" s="1"/>
  <c r="L973" i="26"/>
  <c r="I973" i="26"/>
  <c r="J973" i="26" s="1"/>
  <c r="C973" i="26"/>
  <c r="N972" i="26"/>
  <c r="O972" i="26" s="1"/>
  <c r="P972" i="26" s="1"/>
  <c r="M972" i="26" s="1"/>
  <c r="L972" i="26"/>
  <c r="I972" i="26"/>
  <c r="J972" i="26" s="1"/>
  <c r="C972" i="26"/>
  <c r="N971" i="26"/>
  <c r="O971" i="26" s="1"/>
  <c r="P971" i="26" s="1"/>
  <c r="M971" i="26" s="1"/>
  <c r="I971" i="26"/>
  <c r="J971" i="26" s="1"/>
  <c r="H971" i="26"/>
  <c r="L971" i="26" s="1"/>
  <c r="C971" i="26"/>
  <c r="N970" i="26"/>
  <c r="O970" i="26" s="1"/>
  <c r="P970" i="26" s="1"/>
  <c r="M970" i="26" s="1"/>
  <c r="L970" i="26"/>
  <c r="J970" i="26"/>
  <c r="I970" i="26"/>
  <c r="C970" i="26"/>
  <c r="N969" i="26"/>
  <c r="O969" i="26" s="1"/>
  <c r="P969" i="26" s="1"/>
  <c r="M969" i="26" s="1"/>
  <c r="L969" i="26"/>
  <c r="J969" i="26"/>
  <c r="I969" i="26"/>
  <c r="C969" i="26"/>
  <c r="N968" i="26"/>
  <c r="O968" i="26" s="1"/>
  <c r="P968" i="26" s="1"/>
  <c r="M968" i="26" s="1"/>
  <c r="L968" i="26"/>
  <c r="J968" i="26"/>
  <c r="I968" i="26"/>
  <c r="C968" i="26"/>
  <c r="N967" i="26"/>
  <c r="O967" i="26" s="1"/>
  <c r="P967" i="26" s="1"/>
  <c r="M967" i="26" s="1"/>
  <c r="L967" i="26"/>
  <c r="J967" i="26"/>
  <c r="I967" i="26"/>
  <c r="C967" i="26"/>
  <c r="N966" i="26"/>
  <c r="O966" i="26" s="1"/>
  <c r="P966" i="26" s="1"/>
  <c r="M966" i="26" s="1"/>
  <c r="L966" i="26"/>
  <c r="J966" i="26"/>
  <c r="I966" i="26"/>
  <c r="C966" i="26"/>
  <c r="N965" i="26"/>
  <c r="O965" i="26" s="1"/>
  <c r="P965" i="26" s="1"/>
  <c r="M965" i="26" s="1"/>
  <c r="L965" i="26"/>
  <c r="J965" i="26"/>
  <c r="I965" i="26"/>
  <c r="C965" i="26"/>
  <c r="N964" i="26"/>
  <c r="O964" i="26" s="1"/>
  <c r="P964" i="26" s="1"/>
  <c r="M964" i="26" s="1"/>
  <c r="L964" i="26"/>
  <c r="J964" i="26"/>
  <c r="I964" i="26"/>
  <c r="C964" i="26"/>
  <c r="N963" i="26"/>
  <c r="O963" i="26" s="1"/>
  <c r="P963" i="26" s="1"/>
  <c r="M963" i="26" s="1"/>
  <c r="L963" i="26"/>
  <c r="J963" i="26"/>
  <c r="I963" i="26"/>
  <c r="C963" i="26"/>
  <c r="N962" i="26"/>
  <c r="O962" i="26" s="1"/>
  <c r="P962" i="26" s="1"/>
  <c r="M962" i="26" s="1"/>
  <c r="L962" i="26"/>
  <c r="J962" i="26"/>
  <c r="I962" i="26"/>
  <c r="C962" i="26"/>
  <c r="N961" i="26"/>
  <c r="O961" i="26" s="1"/>
  <c r="P961" i="26" s="1"/>
  <c r="M961" i="26" s="1"/>
  <c r="L961" i="26"/>
  <c r="J961" i="26"/>
  <c r="I961" i="26"/>
  <c r="C961" i="26"/>
  <c r="N960" i="26"/>
  <c r="O960" i="26" s="1"/>
  <c r="P960" i="26" s="1"/>
  <c r="M960" i="26" s="1"/>
  <c r="L960" i="26"/>
  <c r="J960" i="26"/>
  <c r="I960" i="26"/>
  <c r="C960" i="26"/>
  <c r="N959" i="26"/>
  <c r="O959" i="26" s="1"/>
  <c r="P959" i="26" s="1"/>
  <c r="M959" i="26" s="1"/>
  <c r="L959" i="26"/>
  <c r="J959" i="26"/>
  <c r="I959" i="26"/>
  <c r="C959" i="26"/>
  <c r="N958" i="26"/>
  <c r="O958" i="26" s="1"/>
  <c r="P958" i="26" s="1"/>
  <c r="M958" i="26" s="1"/>
  <c r="L958" i="26"/>
  <c r="J958" i="26"/>
  <c r="I958" i="26"/>
  <c r="C958" i="26"/>
  <c r="N957" i="26"/>
  <c r="O957" i="26" s="1"/>
  <c r="P957" i="26" s="1"/>
  <c r="M957" i="26" s="1"/>
  <c r="L957" i="26"/>
  <c r="J957" i="26"/>
  <c r="I957" i="26"/>
  <c r="C957" i="26"/>
  <c r="N956" i="26"/>
  <c r="O956" i="26" s="1"/>
  <c r="P956" i="26" s="1"/>
  <c r="M956" i="26" s="1"/>
  <c r="L956" i="26"/>
  <c r="J956" i="26"/>
  <c r="I956" i="26"/>
  <c r="C956" i="26"/>
  <c r="N955" i="26"/>
  <c r="O955" i="26" s="1"/>
  <c r="P955" i="26" s="1"/>
  <c r="M955" i="26" s="1"/>
  <c r="L955" i="26"/>
  <c r="J955" i="26"/>
  <c r="I955" i="26"/>
  <c r="C955" i="26"/>
  <c r="N954" i="26"/>
  <c r="O954" i="26" s="1"/>
  <c r="P954" i="26" s="1"/>
  <c r="M954" i="26" s="1"/>
  <c r="L954" i="26"/>
  <c r="J954" i="26"/>
  <c r="I954" i="26"/>
  <c r="C954" i="26"/>
  <c r="N953" i="26"/>
  <c r="O953" i="26" s="1"/>
  <c r="P953" i="26" s="1"/>
  <c r="M953" i="26" s="1"/>
  <c r="L953" i="26"/>
  <c r="J953" i="26"/>
  <c r="I953" i="26"/>
  <c r="C953" i="26"/>
  <c r="N952" i="26"/>
  <c r="O952" i="26" s="1"/>
  <c r="P952" i="26" s="1"/>
  <c r="M952" i="26" s="1"/>
  <c r="L952" i="26"/>
  <c r="J952" i="26"/>
  <c r="I952" i="26"/>
  <c r="C952" i="26"/>
  <c r="N951" i="26"/>
  <c r="O951" i="26" s="1"/>
  <c r="P951" i="26" s="1"/>
  <c r="M951" i="26" s="1"/>
  <c r="L951" i="26"/>
  <c r="J951" i="26"/>
  <c r="I951" i="26"/>
  <c r="C951" i="26"/>
  <c r="N950" i="26"/>
  <c r="O950" i="26" s="1"/>
  <c r="P950" i="26" s="1"/>
  <c r="M950" i="26" s="1"/>
  <c r="L950" i="26"/>
  <c r="J950" i="26"/>
  <c r="I950" i="26"/>
  <c r="C950" i="26"/>
  <c r="N949" i="26"/>
  <c r="O949" i="26" s="1"/>
  <c r="P949" i="26" s="1"/>
  <c r="M949" i="26" s="1"/>
  <c r="L949" i="26"/>
  <c r="J949" i="26"/>
  <c r="I949" i="26"/>
  <c r="C949" i="26"/>
  <c r="N948" i="26"/>
  <c r="O948" i="26" s="1"/>
  <c r="P948" i="26" s="1"/>
  <c r="M948" i="26" s="1"/>
  <c r="L948" i="26"/>
  <c r="J948" i="26"/>
  <c r="I948" i="26"/>
  <c r="C948" i="26"/>
  <c r="N947" i="26"/>
  <c r="O947" i="26" s="1"/>
  <c r="P947" i="26" s="1"/>
  <c r="M947" i="26" s="1"/>
  <c r="L947" i="26"/>
  <c r="J947" i="26"/>
  <c r="I947" i="26"/>
  <c r="C947" i="26"/>
  <c r="N946" i="26"/>
  <c r="O946" i="26" s="1"/>
  <c r="P946" i="26" s="1"/>
  <c r="M946" i="26" s="1"/>
  <c r="L946" i="26"/>
  <c r="J946" i="26"/>
  <c r="I946" i="26"/>
  <c r="C946" i="26"/>
  <c r="N945" i="26"/>
  <c r="O945" i="26" s="1"/>
  <c r="P945" i="26" s="1"/>
  <c r="M945" i="26" s="1"/>
  <c r="L945" i="26"/>
  <c r="J945" i="26"/>
  <c r="I945" i="26"/>
  <c r="C945" i="26"/>
  <c r="N944" i="26"/>
  <c r="O944" i="26" s="1"/>
  <c r="P944" i="26" s="1"/>
  <c r="M944" i="26" s="1"/>
  <c r="L944" i="26"/>
  <c r="J944" i="26"/>
  <c r="I944" i="26"/>
  <c r="C944" i="26"/>
  <c r="N943" i="26"/>
  <c r="O943" i="26" s="1"/>
  <c r="P943" i="26" s="1"/>
  <c r="M943" i="26" s="1"/>
  <c r="L943" i="26"/>
  <c r="J943" i="26"/>
  <c r="I943" i="26"/>
  <c r="C943" i="26"/>
  <c r="O942" i="26"/>
  <c r="P942" i="26" s="1"/>
  <c r="M942" i="26" s="1"/>
  <c r="N942" i="26"/>
  <c r="L942" i="26"/>
  <c r="J942" i="26"/>
  <c r="I942" i="26"/>
  <c r="C942" i="26"/>
  <c r="O941" i="26"/>
  <c r="P941" i="26" s="1"/>
  <c r="M941" i="26" s="1"/>
  <c r="N941" i="26"/>
  <c r="L941" i="26"/>
  <c r="J941" i="26"/>
  <c r="I941" i="26"/>
  <c r="C941" i="26"/>
  <c r="O940" i="26"/>
  <c r="P940" i="26" s="1"/>
  <c r="M940" i="26" s="1"/>
  <c r="N940" i="26"/>
  <c r="L940" i="26"/>
  <c r="J940" i="26"/>
  <c r="I940" i="26"/>
  <c r="C940" i="26"/>
  <c r="O939" i="26"/>
  <c r="P939" i="26" s="1"/>
  <c r="M939" i="26" s="1"/>
  <c r="N939" i="26"/>
  <c r="L939" i="26"/>
  <c r="J939" i="26"/>
  <c r="I939" i="26"/>
  <c r="C939" i="26"/>
  <c r="O938" i="26"/>
  <c r="P938" i="26" s="1"/>
  <c r="M938" i="26" s="1"/>
  <c r="N938" i="26"/>
  <c r="L938" i="26"/>
  <c r="J938" i="26"/>
  <c r="I938" i="26"/>
  <c r="C938" i="26"/>
  <c r="O937" i="26"/>
  <c r="P937" i="26" s="1"/>
  <c r="M937" i="26" s="1"/>
  <c r="N937" i="26"/>
  <c r="L937" i="26"/>
  <c r="J937" i="26"/>
  <c r="I937" i="26"/>
  <c r="C937" i="26"/>
  <c r="O936" i="26"/>
  <c r="P936" i="26" s="1"/>
  <c r="M936" i="26" s="1"/>
  <c r="N936" i="26"/>
  <c r="L936" i="26"/>
  <c r="J936" i="26"/>
  <c r="I936" i="26"/>
  <c r="C936" i="26"/>
  <c r="O935" i="26"/>
  <c r="P935" i="26" s="1"/>
  <c r="M935" i="26" s="1"/>
  <c r="N935" i="26"/>
  <c r="L935" i="26"/>
  <c r="J935" i="26"/>
  <c r="I935" i="26"/>
  <c r="C935" i="26"/>
  <c r="O934" i="26"/>
  <c r="P934" i="26" s="1"/>
  <c r="M934" i="26" s="1"/>
  <c r="N934" i="26"/>
  <c r="L934" i="26"/>
  <c r="J934" i="26"/>
  <c r="I934" i="26"/>
  <c r="C934" i="26"/>
  <c r="O933" i="26"/>
  <c r="P933" i="26" s="1"/>
  <c r="M933" i="26" s="1"/>
  <c r="N933" i="26"/>
  <c r="L933" i="26"/>
  <c r="J933" i="26"/>
  <c r="I933" i="26"/>
  <c r="C933" i="26"/>
  <c r="O932" i="26"/>
  <c r="P932" i="26" s="1"/>
  <c r="M932" i="26" s="1"/>
  <c r="N932" i="26"/>
  <c r="L932" i="26"/>
  <c r="J932" i="26"/>
  <c r="I932" i="26"/>
  <c r="C932" i="26"/>
  <c r="O931" i="26"/>
  <c r="P931" i="26" s="1"/>
  <c r="M931" i="26" s="1"/>
  <c r="N931" i="26"/>
  <c r="L931" i="26"/>
  <c r="J931" i="26"/>
  <c r="I931" i="26"/>
  <c r="C931" i="26"/>
  <c r="O930" i="26"/>
  <c r="P930" i="26" s="1"/>
  <c r="M930" i="26" s="1"/>
  <c r="N930" i="26"/>
  <c r="L930" i="26"/>
  <c r="J930" i="26"/>
  <c r="I930" i="26"/>
  <c r="C930" i="26"/>
  <c r="O929" i="26"/>
  <c r="P929" i="26" s="1"/>
  <c r="M929" i="26" s="1"/>
  <c r="N929" i="26"/>
  <c r="L929" i="26"/>
  <c r="J929" i="26"/>
  <c r="I929" i="26"/>
  <c r="C929" i="26"/>
  <c r="O928" i="26"/>
  <c r="P928" i="26" s="1"/>
  <c r="M928" i="26" s="1"/>
  <c r="N928" i="26"/>
  <c r="L928" i="26"/>
  <c r="J928" i="26"/>
  <c r="I928" i="26"/>
  <c r="C928" i="26"/>
  <c r="O927" i="26"/>
  <c r="P927" i="26" s="1"/>
  <c r="M927" i="26" s="1"/>
  <c r="N927" i="26"/>
  <c r="L927" i="26"/>
  <c r="J927" i="26"/>
  <c r="I927" i="26"/>
  <c r="C927" i="26"/>
  <c r="O926" i="26"/>
  <c r="P926" i="26" s="1"/>
  <c r="M926" i="26" s="1"/>
  <c r="N926" i="26"/>
  <c r="L926" i="26"/>
  <c r="J926" i="26"/>
  <c r="I926" i="26"/>
  <c r="C926" i="26"/>
  <c r="O925" i="26"/>
  <c r="P925" i="26" s="1"/>
  <c r="M925" i="26" s="1"/>
  <c r="N925" i="26"/>
  <c r="L925" i="26"/>
  <c r="J925" i="26"/>
  <c r="I925" i="26"/>
  <c r="C925" i="26"/>
  <c r="O924" i="26"/>
  <c r="P924" i="26" s="1"/>
  <c r="M924" i="26" s="1"/>
  <c r="N924" i="26"/>
  <c r="L924" i="26"/>
  <c r="J924" i="26"/>
  <c r="I924" i="26"/>
  <c r="C924" i="26"/>
  <c r="O923" i="26"/>
  <c r="P923" i="26" s="1"/>
  <c r="M923" i="26" s="1"/>
  <c r="N923" i="26"/>
  <c r="L923" i="26"/>
  <c r="J923" i="26"/>
  <c r="I923" i="26"/>
  <c r="C923" i="26"/>
  <c r="O922" i="26"/>
  <c r="P922" i="26" s="1"/>
  <c r="M922" i="26" s="1"/>
  <c r="N922" i="26"/>
  <c r="L922" i="26"/>
  <c r="J922" i="26"/>
  <c r="I922" i="26"/>
  <c r="C922" i="26"/>
  <c r="O921" i="26"/>
  <c r="P921" i="26" s="1"/>
  <c r="M921" i="26" s="1"/>
  <c r="N921" i="26"/>
  <c r="L921" i="26"/>
  <c r="J921" i="26"/>
  <c r="I921" i="26"/>
  <c r="C921" i="26"/>
  <c r="O920" i="26"/>
  <c r="P920" i="26" s="1"/>
  <c r="M920" i="26" s="1"/>
  <c r="N920" i="26"/>
  <c r="L920" i="26"/>
  <c r="J920" i="26"/>
  <c r="I920" i="26"/>
  <c r="C920" i="26"/>
  <c r="O919" i="26"/>
  <c r="P919" i="26" s="1"/>
  <c r="M919" i="26" s="1"/>
  <c r="N919" i="26"/>
  <c r="L919" i="26"/>
  <c r="J919" i="26"/>
  <c r="I919" i="26"/>
  <c r="C919" i="26"/>
  <c r="O918" i="26"/>
  <c r="P918" i="26" s="1"/>
  <c r="M918" i="26" s="1"/>
  <c r="N918" i="26"/>
  <c r="L918" i="26"/>
  <c r="J918" i="26"/>
  <c r="I918" i="26"/>
  <c r="C918" i="26"/>
  <c r="O917" i="26"/>
  <c r="P917" i="26" s="1"/>
  <c r="M917" i="26" s="1"/>
  <c r="N917" i="26"/>
  <c r="L917" i="26"/>
  <c r="J917" i="26"/>
  <c r="I917" i="26"/>
  <c r="C917" i="26"/>
  <c r="O916" i="26"/>
  <c r="P916" i="26" s="1"/>
  <c r="M916" i="26" s="1"/>
  <c r="N916" i="26"/>
  <c r="L916" i="26"/>
  <c r="J916" i="26"/>
  <c r="I916" i="26"/>
  <c r="C916" i="26"/>
  <c r="O915" i="26"/>
  <c r="P915" i="26" s="1"/>
  <c r="M915" i="26" s="1"/>
  <c r="N915" i="26"/>
  <c r="L915" i="26"/>
  <c r="J915" i="26"/>
  <c r="I915" i="26"/>
  <c r="C915" i="26"/>
  <c r="N914" i="26"/>
  <c r="O914" i="26" s="1"/>
  <c r="P914" i="26" s="1"/>
  <c r="M914" i="26" s="1"/>
  <c r="L914" i="26"/>
  <c r="J914" i="26"/>
  <c r="I914" i="26"/>
  <c r="C914" i="26"/>
  <c r="N913" i="26"/>
  <c r="O913" i="26" s="1"/>
  <c r="P913" i="26" s="1"/>
  <c r="M913" i="26" s="1"/>
  <c r="L913" i="26"/>
  <c r="J913" i="26"/>
  <c r="I913" i="26"/>
  <c r="C913" i="26"/>
  <c r="N912" i="26"/>
  <c r="O912" i="26" s="1"/>
  <c r="P912" i="26" s="1"/>
  <c r="M912" i="26" s="1"/>
  <c r="L912" i="26"/>
  <c r="J912" i="26"/>
  <c r="I912" i="26"/>
  <c r="C912" i="26"/>
  <c r="N911" i="26"/>
  <c r="O911" i="26" s="1"/>
  <c r="P911" i="26" s="1"/>
  <c r="M911" i="26" s="1"/>
  <c r="L911" i="26"/>
  <c r="J911" i="26"/>
  <c r="I911" i="26"/>
  <c r="C911" i="26"/>
  <c r="N910" i="26"/>
  <c r="O910" i="26" s="1"/>
  <c r="P910" i="26" s="1"/>
  <c r="M910" i="26" s="1"/>
  <c r="L910" i="26"/>
  <c r="J910" i="26"/>
  <c r="I910" i="26"/>
  <c r="C910" i="26"/>
  <c r="N909" i="26"/>
  <c r="O909" i="26" s="1"/>
  <c r="P909" i="26" s="1"/>
  <c r="M909" i="26" s="1"/>
  <c r="L909" i="26"/>
  <c r="J909" i="26"/>
  <c r="I909" i="26"/>
  <c r="C909" i="26"/>
  <c r="N908" i="26"/>
  <c r="O908" i="26" s="1"/>
  <c r="P908" i="26" s="1"/>
  <c r="M908" i="26" s="1"/>
  <c r="L908" i="26"/>
  <c r="J908" i="26"/>
  <c r="I908" i="26"/>
  <c r="C908" i="26"/>
  <c r="N907" i="26"/>
  <c r="O907" i="26" s="1"/>
  <c r="P907" i="26" s="1"/>
  <c r="M907" i="26" s="1"/>
  <c r="L907" i="26"/>
  <c r="J907" i="26"/>
  <c r="I907" i="26"/>
  <c r="C907" i="26"/>
  <c r="N906" i="26"/>
  <c r="O906" i="26" s="1"/>
  <c r="P906" i="26" s="1"/>
  <c r="M906" i="26" s="1"/>
  <c r="L906" i="26"/>
  <c r="J906" i="26"/>
  <c r="I906" i="26"/>
  <c r="C906" i="26"/>
  <c r="N905" i="26"/>
  <c r="O905" i="26" s="1"/>
  <c r="P905" i="26" s="1"/>
  <c r="M905" i="26" s="1"/>
  <c r="L905" i="26"/>
  <c r="J905" i="26"/>
  <c r="I905" i="26"/>
  <c r="C905" i="26"/>
  <c r="N904" i="26"/>
  <c r="O904" i="26" s="1"/>
  <c r="P904" i="26" s="1"/>
  <c r="M904" i="26" s="1"/>
  <c r="L904" i="26"/>
  <c r="J904" i="26"/>
  <c r="I904" i="26"/>
  <c r="C904" i="26"/>
  <c r="N903" i="26"/>
  <c r="O903" i="26" s="1"/>
  <c r="P903" i="26" s="1"/>
  <c r="M903" i="26" s="1"/>
  <c r="L903" i="26"/>
  <c r="J903" i="26"/>
  <c r="I903" i="26"/>
  <c r="C903" i="26"/>
  <c r="N902" i="26"/>
  <c r="O902" i="26" s="1"/>
  <c r="P902" i="26" s="1"/>
  <c r="M902" i="26" s="1"/>
  <c r="L902" i="26"/>
  <c r="J902" i="26"/>
  <c r="I902" i="26"/>
  <c r="C902" i="26"/>
  <c r="N901" i="26"/>
  <c r="O901" i="26" s="1"/>
  <c r="P901" i="26" s="1"/>
  <c r="M901" i="26" s="1"/>
  <c r="L901" i="26"/>
  <c r="J901" i="26"/>
  <c r="I901" i="26"/>
  <c r="C901" i="26"/>
  <c r="N900" i="26"/>
  <c r="O900" i="26" s="1"/>
  <c r="P900" i="26" s="1"/>
  <c r="M900" i="26" s="1"/>
  <c r="L900" i="26"/>
  <c r="J900" i="26"/>
  <c r="I900" i="26"/>
  <c r="C900" i="26"/>
  <c r="N899" i="26"/>
  <c r="O899" i="26" s="1"/>
  <c r="P899" i="26" s="1"/>
  <c r="M899" i="26" s="1"/>
  <c r="L899" i="26"/>
  <c r="J899" i="26"/>
  <c r="I899" i="26"/>
  <c r="C899" i="26"/>
  <c r="N898" i="26"/>
  <c r="O898" i="26" s="1"/>
  <c r="P898" i="26" s="1"/>
  <c r="M898" i="26" s="1"/>
  <c r="L898" i="26"/>
  <c r="J898" i="26"/>
  <c r="I898" i="26"/>
  <c r="C898" i="26"/>
  <c r="N897" i="26"/>
  <c r="O897" i="26" s="1"/>
  <c r="P897" i="26" s="1"/>
  <c r="M897" i="26" s="1"/>
  <c r="L897" i="26"/>
  <c r="J897" i="26"/>
  <c r="I897" i="26"/>
  <c r="C897" i="26"/>
  <c r="N896" i="26"/>
  <c r="O896" i="26" s="1"/>
  <c r="P896" i="26" s="1"/>
  <c r="M896" i="26" s="1"/>
  <c r="L896" i="26"/>
  <c r="J896" i="26"/>
  <c r="I896" i="26"/>
  <c r="C896" i="26"/>
  <c r="N895" i="26"/>
  <c r="O895" i="26" s="1"/>
  <c r="P895" i="26" s="1"/>
  <c r="M895" i="26" s="1"/>
  <c r="L895" i="26"/>
  <c r="J895" i="26"/>
  <c r="I895" i="26"/>
  <c r="C895" i="26"/>
  <c r="N894" i="26"/>
  <c r="O894" i="26" s="1"/>
  <c r="P894" i="26" s="1"/>
  <c r="M894" i="26" s="1"/>
  <c r="L894" i="26"/>
  <c r="J894" i="26"/>
  <c r="I894" i="26"/>
  <c r="C894" i="26"/>
  <c r="N893" i="26"/>
  <c r="O893" i="26" s="1"/>
  <c r="P893" i="26" s="1"/>
  <c r="M893" i="26" s="1"/>
  <c r="L893" i="26"/>
  <c r="J893" i="26"/>
  <c r="I893" i="26"/>
  <c r="C893" i="26"/>
  <c r="N892" i="26"/>
  <c r="O892" i="26" s="1"/>
  <c r="P892" i="26" s="1"/>
  <c r="M892" i="26" s="1"/>
  <c r="L892" i="26"/>
  <c r="J892" i="26"/>
  <c r="I892" i="26"/>
  <c r="C892" i="26"/>
  <c r="N891" i="26"/>
  <c r="O891" i="26" s="1"/>
  <c r="P891" i="26" s="1"/>
  <c r="M891" i="26" s="1"/>
  <c r="L891" i="26"/>
  <c r="J891" i="26"/>
  <c r="I891" i="26"/>
  <c r="C891" i="26"/>
  <c r="N890" i="26"/>
  <c r="O890" i="26" s="1"/>
  <c r="P890" i="26" s="1"/>
  <c r="M890" i="26" s="1"/>
  <c r="L890" i="26"/>
  <c r="J890" i="26"/>
  <c r="I890" i="26"/>
  <c r="C890" i="26"/>
  <c r="N889" i="26"/>
  <c r="O889" i="26" s="1"/>
  <c r="P889" i="26" s="1"/>
  <c r="M889" i="26" s="1"/>
  <c r="L889" i="26"/>
  <c r="J889" i="26"/>
  <c r="I889" i="26"/>
  <c r="C889" i="26"/>
  <c r="N888" i="26"/>
  <c r="O888" i="26" s="1"/>
  <c r="P888" i="26" s="1"/>
  <c r="M888" i="26" s="1"/>
  <c r="L888" i="26"/>
  <c r="J888" i="26"/>
  <c r="I888" i="26"/>
  <c r="C888" i="26"/>
  <c r="N887" i="26"/>
  <c r="O887" i="26" s="1"/>
  <c r="P887" i="26" s="1"/>
  <c r="M887" i="26" s="1"/>
  <c r="L887" i="26"/>
  <c r="J887" i="26"/>
  <c r="I887" i="26"/>
  <c r="C887" i="26"/>
  <c r="N886" i="26"/>
  <c r="O886" i="26" s="1"/>
  <c r="P886" i="26" s="1"/>
  <c r="M886" i="26" s="1"/>
  <c r="L886" i="26"/>
  <c r="J886" i="26"/>
  <c r="I886" i="26"/>
  <c r="C886" i="26"/>
  <c r="N885" i="26"/>
  <c r="O885" i="26" s="1"/>
  <c r="P885" i="26" s="1"/>
  <c r="M885" i="26" s="1"/>
  <c r="L885" i="26"/>
  <c r="J885" i="26"/>
  <c r="I885" i="26"/>
  <c r="C885" i="26"/>
  <c r="N884" i="26"/>
  <c r="O884" i="26" s="1"/>
  <c r="P884" i="26" s="1"/>
  <c r="M884" i="26" s="1"/>
  <c r="L884" i="26"/>
  <c r="J884" i="26"/>
  <c r="I884" i="26"/>
  <c r="C884" i="26"/>
  <c r="N883" i="26"/>
  <c r="O883" i="26" s="1"/>
  <c r="P883" i="26" s="1"/>
  <c r="M883" i="26" s="1"/>
  <c r="L883" i="26"/>
  <c r="J883" i="26"/>
  <c r="I883" i="26"/>
  <c r="C883" i="26"/>
  <c r="N882" i="26"/>
  <c r="O882" i="26" s="1"/>
  <c r="P882" i="26" s="1"/>
  <c r="M882" i="26" s="1"/>
  <c r="L882" i="26"/>
  <c r="J882" i="26"/>
  <c r="I882" i="26"/>
  <c r="C882" i="26"/>
  <c r="N881" i="26"/>
  <c r="O881" i="26" s="1"/>
  <c r="P881" i="26" s="1"/>
  <c r="M881" i="26" s="1"/>
  <c r="L881" i="26"/>
  <c r="J881" i="26"/>
  <c r="I881" i="26"/>
  <c r="C881" i="26"/>
  <c r="N880" i="26"/>
  <c r="O880" i="26" s="1"/>
  <c r="P880" i="26" s="1"/>
  <c r="M880" i="26" s="1"/>
  <c r="L880" i="26"/>
  <c r="J880" i="26"/>
  <c r="I880" i="26"/>
  <c r="C880" i="26"/>
  <c r="N879" i="26"/>
  <c r="O879" i="26" s="1"/>
  <c r="P879" i="26" s="1"/>
  <c r="M879" i="26" s="1"/>
  <c r="L879" i="26"/>
  <c r="J879" i="26"/>
  <c r="I879" i="26"/>
  <c r="C879" i="26"/>
  <c r="N878" i="26"/>
  <c r="O878" i="26" s="1"/>
  <c r="P878" i="26" s="1"/>
  <c r="M878" i="26" s="1"/>
  <c r="L878" i="26"/>
  <c r="J878" i="26"/>
  <c r="I878" i="26"/>
  <c r="C878" i="26"/>
  <c r="N877" i="26"/>
  <c r="O877" i="26" s="1"/>
  <c r="P877" i="26" s="1"/>
  <c r="M877" i="26" s="1"/>
  <c r="L877" i="26"/>
  <c r="J877" i="26"/>
  <c r="I877" i="26"/>
  <c r="C877" i="26"/>
  <c r="N876" i="26"/>
  <c r="O876" i="26" s="1"/>
  <c r="P876" i="26" s="1"/>
  <c r="M876" i="26" s="1"/>
  <c r="L876" i="26"/>
  <c r="J876" i="26"/>
  <c r="I876" i="26"/>
  <c r="C876" i="26"/>
  <c r="N875" i="26"/>
  <c r="O875" i="26" s="1"/>
  <c r="P875" i="26" s="1"/>
  <c r="M875" i="26" s="1"/>
  <c r="L875" i="26"/>
  <c r="J875" i="26"/>
  <c r="I875" i="26"/>
  <c r="C875" i="26"/>
  <c r="N874" i="26"/>
  <c r="O874" i="26" s="1"/>
  <c r="P874" i="26" s="1"/>
  <c r="M874" i="26" s="1"/>
  <c r="L874" i="26"/>
  <c r="J874" i="26"/>
  <c r="I874" i="26"/>
  <c r="C874" i="26"/>
  <c r="N873" i="26"/>
  <c r="O873" i="26" s="1"/>
  <c r="P873" i="26" s="1"/>
  <c r="M873" i="26" s="1"/>
  <c r="L873" i="26"/>
  <c r="J873" i="26"/>
  <c r="I873" i="26"/>
  <c r="C873" i="26"/>
  <c r="N872" i="26"/>
  <c r="O872" i="26" s="1"/>
  <c r="P872" i="26" s="1"/>
  <c r="M872" i="26" s="1"/>
  <c r="L872" i="26"/>
  <c r="J872" i="26"/>
  <c r="I872" i="26"/>
  <c r="C872" i="26"/>
  <c r="N871" i="26"/>
  <c r="O871" i="26" s="1"/>
  <c r="P871" i="26" s="1"/>
  <c r="M871" i="26" s="1"/>
  <c r="L871" i="26"/>
  <c r="I871" i="26"/>
  <c r="J871" i="26" s="1"/>
  <c r="C871" i="26"/>
  <c r="N870" i="26"/>
  <c r="O870" i="26" s="1"/>
  <c r="P870" i="26" s="1"/>
  <c r="M870" i="26" s="1"/>
  <c r="L870" i="26"/>
  <c r="I870" i="26"/>
  <c r="J870" i="26" s="1"/>
  <c r="C870" i="26"/>
  <c r="N869" i="26"/>
  <c r="O869" i="26" s="1"/>
  <c r="P869" i="26" s="1"/>
  <c r="M869" i="26" s="1"/>
  <c r="L869" i="26"/>
  <c r="I869" i="26"/>
  <c r="J869" i="26" s="1"/>
  <c r="C869" i="26"/>
  <c r="N868" i="26"/>
  <c r="O868" i="26" s="1"/>
  <c r="P868" i="26" s="1"/>
  <c r="M868" i="26" s="1"/>
  <c r="L868" i="26"/>
  <c r="I868" i="26"/>
  <c r="J868" i="26" s="1"/>
  <c r="C868" i="26"/>
  <c r="N867" i="26"/>
  <c r="O867" i="26" s="1"/>
  <c r="P867" i="26" s="1"/>
  <c r="M867" i="26" s="1"/>
  <c r="L867" i="26"/>
  <c r="I867" i="26"/>
  <c r="J867" i="26" s="1"/>
  <c r="C867" i="26"/>
  <c r="N866" i="26"/>
  <c r="O866" i="26" s="1"/>
  <c r="P866" i="26" s="1"/>
  <c r="M866" i="26" s="1"/>
  <c r="L866" i="26"/>
  <c r="I866" i="26"/>
  <c r="J866" i="26" s="1"/>
  <c r="C866" i="26"/>
  <c r="N865" i="26"/>
  <c r="O865" i="26" s="1"/>
  <c r="P865" i="26" s="1"/>
  <c r="M865" i="26" s="1"/>
  <c r="L865" i="26"/>
  <c r="I865" i="26"/>
  <c r="J865" i="26" s="1"/>
  <c r="C865" i="26"/>
  <c r="N864" i="26"/>
  <c r="O864" i="26" s="1"/>
  <c r="P864" i="26" s="1"/>
  <c r="M864" i="26" s="1"/>
  <c r="L864" i="26"/>
  <c r="I864" i="26"/>
  <c r="J864" i="26" s="1"/>
  <c r="C864" i="26"/>
  <c r="N863" i="26"/>
  <c r="O863" i="26" s="1"/>
  <c r="P863" i="26" s="1"/>
  <c r="M863" i="26" s="1"/>
  <c r="L863" i="26"/>
  <c r="I863" i="26"/>
  <c r="J863" i="26" s="1"/>
  <c r="C863" i="26"/>
  <c r="N862" i="26"/>
  <c r="O862" i="26" s="1"/>
  <c r="P862" i="26" s="1"/>
  <c r="M862" i="26" s="1"/>
  <c r="L862" i="26"/>
  <c r="I862" i="26"/>
  <c r="J862" i="26" s="1"/>
  <c r="C862" i="26"/>
  <c r="N861" i="26"/>
  <c r="O861" i="26" s="1"/>
  <c r="P861" i="26" s="1"/>
  <c r="M861" i="26" s="1"/>
  <c r="L861" i="26"/>
  <c r="I861" i="26"/>
  <c r="J861" i="26" s="1"/>
  <c r="C861" i="26"/>
  <c r="N860" i="26"/>
  <c r="O860" i="26" s="1"/>
  <c r="P860" i="26" s="1"/>
  <c r="M860" i="26" s="1"/>
  <c r="L860" i="26"/>
  <c r="I860" i="26"/>
  <c r="J860" i="26" s="1"/>
  <c r="C860" i="26"/>
  <c r="N859" i="26"/>
  <c r="O859" i="26" s="1"/>
  <c r="P859" i="26" s="1"/>
  <c r="M859" i="26" s="1"/>
  <c r="L859" i="26"/>
  <c r="I859" i="26"/>
  <c r="J859" i="26" s="1"/>
  <c r="C859" i="26"/>
  <c r="N858" i="26"/>
  <c r="O858" i="26" s="1"/>
  <c r="P858" i="26" s="1"/>
  <c r="M858" i="26" s="1"/>
  <c r="L858" i="26"/>
  <c r="I858" i="26"/>
  <c r="J858" i="26" s="1"/>
  <c r="C858" i="26"/>
  <c r="N857" i="26"/>
  <c r="O857" i="26" s="1"/>
  <c r="P857" i="26" s="1"/>
  <c r="M857" i="26" s="1"/>
  <c r="L857" i="26"/>
  <c r="I857" i="26"/>
  <c r="J857" i="26" s="1"/>
  <c r="C857" i="26"/>
  <c r="N856" i="26"/>
  <c r="O856" i="26" s="1"/>
  <c r="P856" i="26" s="1"/>
  <c r="M856" i="26" s="1"/>
  <c r="L856" i="26"/>
  <c r="I856" i="26"/>
  <c r="J856" i="26" s="1"/>
  <c r="C856" i="26"/>
  <c r="N855" i="26"/>
  <c r="O855" i="26" s="1"/>
  <c r="P855" i="26" s="1"/>
  <c r="M855" i="26" s="1"/>
  <c r="L855" i="26"/>
  <c r="I855" i="26"/>
  <c r="J855" i="26" s="1"/>
  <c r="C855" i="26"/>
  <c r="N854" i="26"/>
  <c r="O854" i="26" s="1"/>
  <c r="P854" i="26" s="1"/>
  <c r="M854" i="26" s="1"/>
  <c r="L854" i="26"/>
  <c r="I854" i="26"/>
  <c r="J854" i="26" s="1"/>
  <c r="C854" i="26"/>
  <c r="N853" i="26"/>
  <c r="O853" i="26" s="1"/>
  <c r="P853" i="26" s="1"/>
  <c r="M853" i="26" s="1"/>
  <c r="L853" i="26"/>
  <c r="I853" i="26"/>
  <c r="J853" i="26" s="1"/>
  <c r="C853" i="26"/>
  <c r="N852" i="26"/>
  <c r="O852" i="26" s="1"/>
  <c r="P852" i="26" s="1"/>
  <c r="M852" i="26" s="1"/>
  <c r="L852" i="26"/>
  <c r="I852" i="26"/>
  <c r="J852" i="26" s="1"/>
  <c r="C852" i="26"/>
  <c r="N851" i="26"/>
  <c r="O851" i="26" s="1"/>
  <c r="P851" i="26" s="1"/>
  <c r="M851" i="26" s="1"/>
  <c r="L851" i="26"/>
  <c r="I851" i="26"/>
  <c r="J851" i="26" s="1"/>
  <c r="C851" i="26"/>
  <c r="N850" i="26"/>
  <c r="O850" i="26" s="1"/>
  <c r="P850" i="26" s="1"/>
  <c r="M850" i="26" s="1"/>
  <c r="L850" i="26"/>
  <c r="I850" i="26"/>
  <c r="J850" i="26" s="1"/>
  <c r="C850" i="26"/>
  <c r="N849" i="26"/>
  <c r="O849" i="26" s="1"/>
  <c r="P849" i="26" s="1"/>
  <c r="M849" i="26" s="1"/>
  <c r="L849" i="26"/>
  <c r="I849" i="26"/>
  <c r="J849" i="26" s="1"/>
  <c r="C849" i="26"/>
  <c r="N848" i="26"/>
  <c r="O848" i="26" s="1"/>
  <c r="P848" i="26" s="1"/>
  <c r="M848" i="26" s="1"/>
  <c r="L848" i="26"/>
  <c r="I848" i="26"/>
  <c r="J848" i="26" s="1"/>
  <c r="C848" i="26"/>
  <c r="N847" i="26"/>
  <c r="O847" i="26" s="1"/>
  <c r="P847" i="26" s="1"/>
  <c r="M847" i="26" s="1"/>
  <c r="L847" i="26"/>
  <c r="I847" i="26"/>
  <c r="J847" i="26" s="1"/>
  <c r="C847" i="26"/>
  <c r="N846" i="26"/>
  <c r="O846" i="26" s="1"/>
  <c r="P846" i="26" s="1"/>
  <c r="M846" i="26" s="1"/>
  <c r="L846" i="26"/>
  <c r="I846" i="26"/>
  <c r="J846" i="26" s="1"/>
  <c r="C846" i="26"/>
  <c r="N845" i="26"/>
  <c r="O845" i="26" s="1"/>
  <c r="P845" i="26" s="1"/>
  <c r="M845" i="26" s="1"/>
  <c r="L845" i="26"/>
  <c r="I845" i="26"/>
  <c r="J845" i="26" s="1"/>
  <c r="C845" i="26"/>
  <c r="N844" i="26"/>
  <c r="O844" i="26" s="1"/>
  <c r="P844" i="26" s="1"/>
  <c r="M844" i="26" s="1"/>
  <c r="L844" i="26"/>
  <c r="I844" i="26"/>
  <c r="J844" i="26" s="1"/>
  <c r="C844" i="26"/>
  <c r="N843" i="26"/>
  <c r="O843" i="26" s="1"/>
  <c r="P843" i="26" s="1"/>
  <c r="M843" i="26" s="1"/>
  <c r="L843" i="26"/>
  <c r="I843" i="26"/>
  <c r="J843" i="26" s="1"/>
  <c r="C843" i="26"/>
  <c r="N842" i="26"/>
  <c r="O842" i="26" s="1"/>
  <c r="P842" i="26" s="1"/>
  <c r="M842" i="26" s="1"/>
  <c r="L842" i="26"/>
  <c r="I842" i="26"/>
  <c r="J842" i="26" s="1"/>
  <c r="C842" i="26"/>
  <c r="N841" i="26"/>
  <c r="O841" i="26" s="1"/>
  <c r="P841" i="26" s="1"/>
  <c r="M841" i="26" s="1"/>
  <c r="L841" i="26"/>
  <c r="I841" i="26"/>
  <c r="J841" i="26" s="1"/>
  <c r="C841" i="26"/>
  <c r="N840" i="26"/>
  <c r="O840" i="26" s="1"/>
  <c r="P840" i="26" s="1"/>
  <c r="M840" i="26" s="1"/>
  <c r="L840" i="26"/>
  <c r="I840" i="26"/>
  <c r="J840" i="26" s="1"/>
  <c r="C840" i="26"/>
  <c r="N839" i="26"/>
  <c r="O839" i="26" s="1"/>
  <c r="P839" i="26" s="1"/>
  <c r="M839" i="26" s="1"/>
  <c r="L839" i="26"/>
  <c r="I839" i="26"/>
  <c r="J839" i="26" s="1"/>
  <c r="C839" i="26"/>
  <c r="N838" i="26"/>
  <c r="O838" i="26" s="1"/>
  <c r="P838" i="26" s="1"/>
  <c r="M838" i="26" s="1"/>
  <c r="L838" i="26"/>
  <c r="I838" i="26"/>
  <c r="J838" i="26" s="1"/>
  <c r="C838" i="26"/>
  <c r="N837" i="26"/>
  <c r="O837" i="26" s="1"/>
  <c r="P837" i="26" s="1"/>
  <c r="M837" i="26" s="1"/>
  <c r="L837" i="26"/>
  <c r="I837" i="26"/>
  <c r="J837" i="26" s="1"/>
  <c r="C837" i="26"/>
  <c r="N836" i="26"/>
  <c r="O836" i="26" s="1"/>
  <c r="P836" i="26" s="1"/>
  <c r="M836" i="26" s="1"/>
  <c r="L836" i="26"/>
  <c r="I836" i="26"/>
  <c r="J836" i="26" s="1"/>
  <c r="C836" i="26"/>
  <c r="N835" i="26"/>
  <c r="O835" i="26" s="1"/>
  <c r="P835" i="26" s="1"/>
  <c r="M835" i="26" s="1"/>
  <c r="L835" i="26"/>
  <c r="I835" i="26"/>
  <c r="J835" i="26" s="1"/>
  <c r="C835" i="26"/>
  <c r="N834" i="26"/>
  <c r="O834" i="26" s="1"/>
  <c r="P834" i="26" s="1"/>
  <c r="M834" i="26" s="1"/>
  <c r="L834" i="26"/>
  <c r="I834" i="26"/>
  <c r="J834" i="26" s="1"/>
  <c r="C834" i="26"/>
  <c r="N833" i="26"/>
  <c r="O833" i="26" s="1"/>
  <c r="P833" i="26" s="1"/>
  <c r="M833" i="26" s="1"/>
  <c r="L833" i="26"/>
  <c r="I833" i="26"/>
  <c r="J833" i="26" s="1"/>
  <c r="C833" i="26"/>
  <c r="N832" i="26"/>
  <c r="O832" i="26" s="1"/>
  <c r="P832" i="26" s="1"/>
  <c r="M832" i="26" s="1"/>
  <c r="L832" i="26"/>
  <c r="I832" i="26"/>
  <c r="J832" i="26" s="1"/>
  <c r="C832" i="26"/>
  <c r="N831" i="26"/>
  <c r="O831" i="26" s="1"/>
  <c r="P831" i="26" s="1"/>
  <c r="M831" i="26" s="1"/>
  <c r="L831" i="26"/>
  <c r="I831" i="26"/>
  <c r="J831" i="26" s="1"/>
  <c r="C831" i="26"/>
  <c r="N830" i="26"/>
  <c r="O830" i="26" s="1"/>
  <c r="P830" i="26" s="1"/>
  <c r="M830" i="26" s="1"/>
  <c r="L830" i="26"/>
  <c r="I830" i="26"/>
  <c r="J830" i="26" s="1"/>
  <c r="C830" i="26"/>
  <c r="F829" i="26"/>
  <c r="N829" i="26" s="1"/>
  <c r="O829" i="26" s="1"/>
  <c r="P829" i="26" s="1"/>
  <c r="M829" i="26" s="1"/>
  <c r="C829" i="26"/>
  <c r="O828" i="26"/>
  <c r="P828" i="26" s="1"/>
  <c r="M828" i="26" s="1"/>
  <c r="N828" i="26"/>
  <c r="L828" i="26"/>
  <c r="I828" i="26"/>
  <c r="J828" i="26" s="1"/>
  <c r="C828" i="26"/>
  <c r="O827" i="26"/>
  <c r="P827" i="26" s="1"/>
  <c r="M827" i="26" s="1"/>
  <c r="N827" i="26"/>
  <c r="L827" i="26"/>
  <c r="I827" i="26"/>
  <c r="J827" i="26" s="1"/>
  <c r="C827" i="26"/>
  <c r="O826" i="26"/>
  <c r="P826" i="26" s="1"/>
  <c r="M826" i="26" s="1"/>
  <c r="N826" i="26"/>
  <c r="L826" i="26"/>
  <c r="I826" i="26"/>
  <c r="J826" i="26" s="1"/>
  <c r="C826" i="26"/>
  <c r="O825" i="26"/>
  <c r="P825" i="26" s="1"/>
  <c r="M825" i="26" s="1"/>
  <c r="N825" i="26"/>
  <c r="L825" i="26"/>
  <c r="I825" i="26"/>
  <c r="J825" i="26" s="1"/>
  <c r="C825" i="26"/>
  <c r="O824" i="26"/>
  <c r="P824" i="26" s="1"/>
  <c r="M824" i="26" s="1"/>
  <c r="N824" i="26"/>
  <c r="L824" i="26"/>
  <c r="I824" i="26"/>
  <c r="J824" i="26" s="1"/>
  <c r="C824" i="26"/>
  <c r="O823" i="26"/>
  <c r="P823" i="26" s="1"/>
  <c r="M823" i="26" s="1"/>
  <c r="N823" i="26"/>
  <c r="L823" i="26"/>
  <c r="I823" i="26"/>
  <c r="J823" i="26" s="1"/>
  <c r="C823" i="26"/>
  <c r="O822" i="26"/>
  <c r="P822" i="26" s="1"/>
  <c r="M822" i="26" s="1"/>
  <c r="N822" i="26"/>
  <c r="L822" i="26"/>
  <c r="I822" i="26"/>
  <c r="J822" i="26" s="1"/>
  <c r="C822" i="26"/>
  <c r="O821" i="26"/>
  <c r="P821" i="26" s="1"/>
  <c r="M821" i="26" s="1"/>
  <c r="N821" i="26"/>
  <c r="L821" i="26"/>
  <c r="I821" i="26"/>
  <c r="J821" i="26" s="1"/>
  <c r="C821" i="26"/>
  <c r="O820" i="26"/>
  <c r="P820" i="26" s="1"/>
  <c r="M820" i="26" s="1"/>
  <c r="N820" i="26"/>
  <c r="L820" i="26"/>
  <c r="I820" i="26"/>
  <c r="J820" i="26" s="1"/>
  <c r="C820" i="26"/>
  <c r="O819" i="26"/>
  <c r="P819" i="26" s="1"/>
  <c r="M819" i="26" s="1"/>
  <c r="N819" i="26"/>
  <c r="L819" i="26"/>
  <c r="I819" i="26"/>
  <c r="J819" i="26" s="1"/>
  <c r="C819" i="26"/>
  <c r="O818" i="26"/>
  <c r="P818" i="26" s="1"/>
  <c r="M818" i="26" s="1"/>
  <c r="N818" i="26"/>
  <c r="L818" i="26"/>
  <c r="I818" i="26"/>
  <c r="J818" i="26" s="1"/>
  <c r="C818" i="26"/>
  <c r="O817" i="26"/>
  <c r="P817" i="26" s="1"/>
  <c r="M817" i="26" s="1"/>
  <c r="N817" i="26"/>
  <c r="L817" i="26"/>
  <c r="I817" i="26"/>
  <c r="J817" i="26" s="1"/>
  <c r="C817" i="26"/>
  <c r="O816" i="26"/>
  <c r="P816" i="26" s="1"/>
  <c r="M816" i="26" s="1"/>
  <c r="N816" i="26"/>
  <c r="L816" i="26"/>
  <c r="I816" i="26"/>
  <c r="J816" i="26" s="1"/>
  <c r="C816" i="26"/>
  <c r="O815" i="26"/>
  <c r="P815" i="26" s="1"/>
  <c r="M815" i="26" s="1"/>
  <c r="N815" i="26"/>
  <c r="L815" i="26"/>
  <c r="I815" i="26"/>
  <c r="J815" i="26" s="1"/>
  <c r="C815" i="26"/>
  <c r="O814" i="26"/>
  <c r="P814" i="26" s="1"/>
  <c r="M814" i="26" s="1"/>
  <c r="N814" i="26"/>
  <c r="L814" i="26"/>
  <c r="I814" i="26"/>
  <c r="J814" i="26" s="1"/>
  <c r="C814" i="26"/>
  <c r="O813" i="26"/>
  <c r="P813" i="26" s="1"/>
  <c r="M813" i="26" s="1"/>
  <c r="N813" i="26"/>
  <c r="L813" i="26"/>
  <c r="I813" i="26"/>
  <c r="J813" i="26" s="1"/>
  <c r="C813" i="26"/>
  <c r="O812" i="26"/>
  <c r="P812" i="26" s="1"/>
  <c r="M812" i="26" s="1"/>
  <c r="N812" i="26"/>
  <c r="L812" i="26"/>
  <c r="I812" i="26"/>
  <c r="J812" i="26" s="1"/>
  <c r="C812" i="26"/>
  <c r="O811" i="26"/>
  <c r="P811" i="26" s="1"/>
  <c r="M811" i="26" s="1"/>
  <c r="N811" i="26"/>
  <c r="L811" i="26"/>
  <c r="I811" i="26"/>
  <c r="J811" i="26" s="1"/>
  <c r="C811" i="26"/>
  <c r="O810" i="26"/>
  <c r="P810" i="26" s="1"/>
  <c r="M810" i="26" s="1"/>
  <c r="N810" i="26"/>
  <c r="L810" i="26"/>
  <c r="I810" i="26"/>
  <c r="J810" i="26" s="1"/>
  <c r="C810" i="26"/>
  <c r="O809" i="26"/>
  <c r="P809" i="26" s="1"/>
  <c r="M809" i="26" s="1"/>
  <c r="N809" i="26"/>
  <c r="L809" i="26"/>
  <c r="I809" i="26"/>
  <c r="J809" i="26" s="1"/>
  <c r="C809" i="26"/>
  <c r="O808" i="26"/>
  <c r="P808" i="26" s="1"/>
  <c r="M808" i="26" s="1"/>
  <c r="N808" i="26"/>
  <c r="L808" i="26"/>
  <c r="I808" i="26"/>
  <c r="J808" i="26" s="1"/>
  <c r="C808" i="26"/>
  <c r="O807" i="26"/>
  <c r="P807" i="26" s="1"/>
  <c r="M807" i="26" s="1"/>
  <c r="N807" i="26"/>
  <c r="L807" i="26"/>
  <c r="I807" i="26"/>
  <c r="J807" i="26" s="1"/>
  <c r="C807" i="26"/>
  <c r="O806" i="26"/>
  <c r="P806" i="26" s="1"/>
  <c r="M806" i="26" s="1"/>
  <c r="N806" i="26"/>
  <c r="L806" i="26"/>
  <c r="I806" i="26"/>
  <c r="J806" i="26" s="1"/>
  <c r="C806" i="26"/>
  <c r="O805" i="26"/>
  <c r="P805" i="26" s="1"/>
  <c r="M805" i="26" s="1"/>
  <c r="N805" i="26"/>
  <c r="L805" i="26"/>
  <c r="I805" i="26"/>
  <c r="J805" i="26" s="1"/>
  <c r="C805" i="26"/>
  <c r="O804" i="26"/>
  <c r="P804" i="26" s="1"/>
  <c r="M804" i="26" s="1"/>
  <c r="N804" i="26"/>
  <c r="L804" i="26"/>
  <c r="I804" i="26"/>
  <c r="J804" i="26" s="1"/>
  <c r="C804" i="26"/>
  <c r="O803" i="26"/>
  <c r="P803" i="26" s="1"/>
  <c r="M803" i="26" s="1"/>
  <c r="N803" i="26"/>
  <c r="L803" i="26"/>
  <c r="I803" i="26"/>
  <c r="J803" i="26" s="1"/>
  <c r="C803" i="26"/>
  <c r="O802" i="26"/>
  <c r="P802" i="26" s="1"/>
  <c r="M802" i="26" s="1"/>
  <c r="N802" i="26"/>
  <c r="L802" i="26"/>
  <c r="I802" i="26"/>
  <c r="J802" i="26" s="1"/>
  <c r="C802" i="26"/>
  <c r="O801" i="26"/>
  <c r="P801" i="26" s="1"/>
  <c r="M801" i="26" s="1"/>
  <c r="N801" i="26"/>
  <c r="L801" i="26"/>
  <c r="J801" i="26"/>
  <c r="I801" i="26"/>
  <c r="C801" i="26"/>
  <c r="O800" i="26"/>
  <c r="P800" i="26" s="1"/>
  <c r="M800" i="26" s="1"/>
  <c r="N800" i="26"/>
  <c r="L800" i="26"/>
  <c r="J800" i="26"/>
  <c r="I800" i="26"/>
  <c r="C800" i="26"/>
  <c r="O799" i="26"/>
  <c r="P799" i="26" s="1"/>
  <c r="M799" i="26" s="1"/>
  <c r="N799" i="26"/>
  <c r="L799" i="26"/>
  <c r="J799" i="26"/>
  <c r="I799" i="26"/>
  <c r="C799" i="26"/>
  <c r="O798" i="26"/>
  <c r="P798" i="26" s="1"/>
  <c r="M798" i="26" s="1"/>
  <c r="N798" i="26"/>
  <c r="L798" i="26"/>
  <c r="J798" i="26"/>
  <c r="I798" i="26"/>
  <c r="C798" i="26"/>
  <c r="O797" i="26"/>
  <c r="P797" i="26" s="1"/>
  <c r="M797" i="26" s="1"/>
  <c r="N797" i="26"/>
  <c r="L797" i="26"/>
  <c r="J797" i="26"/>
  <c r="I797" i="26"/>
  <c r="C797" i="26"/>
  <c r="O796" i="26"/>
  <c r="P796" i="26" s="1"/>
  <c r="M796" i="26" s="1"/>
  <c r="N796" i="26"/>
  <c r="L796" i="26"/>
  <c r="J796" i="26"/>
  <c r="I796" i="26"/>
  <c r="C796" i="26"/>
  <c r="N795" i="26"/>
  <c r="O795" i="26" s="1"/>
  <c r="P795" i="26" s="1"/>
  <c r="M795" i="26" s="1"/>
  <c r="L795" i="26"/>
  <c r="J795" i="26"/>
  <c r="I795" i="26"/>
  <c r="C795" i="26"/>
  <c r="N794" i="26"/>
  <c r="O794" i="26" s="1"/>
  <c r="P794" i="26" s="1"/>
  <c r="M794" i="26" s="1"/>
  <c r="L794" i="26"/>
  <c r="J794" i="26"/>
  <c r="I794" i="26"/>
  <c r="C794" i="26"/>
  <c r="N793" i="26"/>
  <c r="O793" i="26" s="1"/>
  <c r="P793" i="26" s="1"/>
  <c r="M793" i="26" s="1"/>
  <c r="L793" i="26"/>
  <c r="J793" i="26"/>
  <c r="I793" i="26"/>
  <c r="C793" i="26"/>
  <c r="N792" i="26"/>
  <c r="O792" i="26" s="1"/>
  <c r="P792" i="26" s="1"/>
  <c r="M792" i="26" s="1"/>
  <c r="L792" i="26"/>
  <c r="J792" i="26"/>
  <c r="I792" i="26"/>
  <c r="C792" i="26"/>
  <c r="N791" i="26"/>
  <c r="O791" i="26" s="1"/>
  <c r="P791" i="26" s="1"/>
  <c r="M791" i="26" s="1"/>
  <c r="L791" i="26"/>
  <c r="J791" i="26"/>
  <c r="I791" i="26"/>
  <c r="C791" i="26"/>
  <c r="N790" i="26"/>
  <c r="O790" i="26" s="1"/>
  <c r="P790" i="26" s="1"/>
  <c r="M790" i="26" s="1"/>
  <c r="L790" i="26"/>
  <c r="J790" i="26"/>
  <c r="I790" i="26"/>
  <c r="C790" i="26"/>
  <c r="N789" i="26"/>
  <c r="O789" i="26" s="1"/>
  <c r="P789" i="26" s="1"/>
  <c r="M789" i="26" s="1"/>
  <c r="L789" i="26"/>
  <c r="J789" i="26"/>
  <c r="I789" i="26"/>
  <c r="C789" i="26"/>
  <c r="N788" i="26"/>
  <c r="O788" i="26" s="1"/>
  <c r="P788" i="26" s="1"/>
  <c r="M788" i="26" s="1"/>
  <c r="L788" i="26"/>
  <c r="J788" i="26"/>
  <c r="I788" i="26"/>
  <c r="C788" i="26"/>
  <c r="N787" i="26"/>
  <c r="O787" i="26" s="1"/>
  <c r="P787" i="26" s="1"/>
  <c r="M787" i="26" s="1"/>
  <c r="L787" i="26"/>
  <c r="J787" i="26"/>
  <c r="I787" i="26"/>
  <c r="C787" i="26"/>
  <c r="N786" i="26"/>
  <c r="O786" i="26" s="1"/>
  <c r="P786" i="26" s="1"/>
  <c r="M786" i="26" s="1"/>
  <c r="L786" i="26"/>
  <c r="I786" i="26"/>
  <c r="J786" i="26" s="1"/>
  <c r="C786" i="26"/>
  <c r="N785" i="26"/>
  <c r="O785" i="26" s="1"/>
  <c r="P785" i="26" s="1"/>
  <c r="M785" i="26" s="1"/>
  <c r="L785" i="26"/>
  <c r="I785" i="26"/>
  <c r="J785" i="26" s="1"/>
  <c r="C785" i="26"/>
  <c r="N784" i="26"/>
  <c r="O784" i="26" s="1"/>
  <c r="P784" i="26" s="1"/>
  <c r="M784" i="26" s="1"/>
  <c r="L784" i="26"/>
  <c r="I784" i="26"/>
  <c r="J784" i="26" s="1"/>
  <c r="C784" i="26"/>
  <c r="N783" i="26"/>
  <c r="O783" i="26" s="1"/>
  <c r="P783" i="26" s="1"/>
  <c r="M783" i="26" s="1"/>
  <c r="L783" i="26"/>
  <c r="I783" i="26"/>
  <c r="J783" i="26" s="1"/>
  <c r="C783" i="26"/>
  <c r="N782" i="26"/>
  <c r="O782" i="26" s="1"/>
  <c r="P782" i="26" s="1"/>
  <c r="M782" i="26" s="1"/>
  <c r="L782" i="26"/>
  <c r="I782" i="26"/>
  <c r="J782" i="26" s="1"/>
  <c r="C782" i="26"/>
  <c r="N781" i="26"/>
  <c r="O781" i="26" s="1"/>
  <c r="P781" i="26" s="1"/>
  <c r="M781" i="26" s="1"/>
  <c r="L781" i="26"/>
  <c r="I781" i="26"/>
  <c r="J781" i="26" s="1"/>
  <c r="C781" i="26"/>
  <c r="N780" i="26"/>
  <c r="O780" i="26" s="1"/>
  <c r="P780" i="26" s="1"/>
  <c r="M780" i="26" s="1"/>
  <c r="L780" i="26"/>
  <c r="I780" i="26"/>
  <c r="J780" i="26" s="1"/>
  <c r="C780" i="26"/>
  <c r="N779" i="26"/>
  <c r="O779" i="26" s="1"/>
  <c r="P779" i="26" s="1"/>
  <c r="M779" i="26" s="1"/>
  <c r="L779" i="26"/>
  <c r="I779" i="26"/>
  <c r="J779" i="26" s="1"/>
  <c r="C779" i="26"/>
  <c r="N778" i="26"/>
  <c r="O778" i="26" s="1"/>
  <c r="P778" i="26" s="1"/>
  <c r="M778" i="26" s="1"/>
  <c r="L778" i="26"/>
  <c r="I778" i="26"/>
  <c r="J778" i="26" s="1"/>
  <c r="C778" i="26"/>
  <c r="N777" i="26"/>
  <c r="O777" i="26" s="1"/>
  <c r="P777" i="26" s="1"/>
  <c r="M777" i="26" s="1"/>
  <c r="L777" i="26"/>
  <c r="I777" i="26"/>
  <c r="J777" i="26" s="1"/>
  <c r="C777" i="26"/>
  <c r="N776" i="26"/>
  <c r="O776" i="26" s="1"/>
  <c r="P776" i="26" s="1"/>
  <c r="M776" i="26" s="1"/>
  <c r="L776" i="26"/>
  <c r="I776" i="26"/>
  <c r="J776" i="26" s="1"/>
  <c r="C776" i="26"/>
  <c r="N775" i="26"/>
  <c r="O775" i="26" s="1"/>
  <c r="P775" i="26" s="1"/>
  <c r="M775" i="26" s="1"/>
  <c r="L775" i="26"/>
  <c r="I775" i="26"/>
  <c r="J775" i="26" s="1"/>
  <c r="C775" i="26"/>
  <c r="N774" i="26"/>
  <c r="O774" i="26" s="1"/>
  <c r="P774" i="26" s="1"/>
  <c r="M774" i="26" s="1"/>
  <c r="L774" i="26"/>
  <c r="I774" i="26"/>
  <c r="J774" i="26" s="1"/>
  <c r="C774" i="26"/>
  <c r="N773" i="26"/>
  <c r="O773" i="26" s="1"/>
  <c r="P773" i="26" s="1"/>
  <c r="M773" i="26" s="1"/>
  <c r="L773" i="26"/>
  <c r="I773" i="26"/>
  <c r="J773" i="26" s="1"/>
  <c r="C773" i="26"/>
  <c r="N772" i="26"/>
  <c r="O772" i="26" s="1"/>
  <c r="P772" i="26" s="1"/>
  <c r="M772" i="26" s="1"/>
  <c r="L772" i="26"/>
  <c r="I772" i="26"/>
  <c r="J772" i="26" s="1"/>
  <c r="C772" i="26"/>
  <c r="N771" i="26"/>
  <c r="O771" i="26" s="1"/>
  <c r="P771" i="26" s="1"/>
  <c r="M771" i="26" s="1"/>
  <c r="L771" i="26"/>
  <c r="I771" i="26"/>
  <c r="J771" i="26" s="1"/>
  <c r="C771" i="26"/>
  <c r="N770" i="26"/>
  <c r="O770" i="26" s="1"/>
  <c r="P770" i="26" s="1"/>
  <c r="M770" i="26" s="1"/>
  <c r="L770" i="26"/>
  <c r="I770" i="26"/>
  <c r="J770" i="26" s="1"/>
  <c r="C770" i="26"/>
  <c r="N769" i="26"/>
  <c r="O769" i="26" s="1"/>
  <c r="P769" i="26" s="1"/>
  <c r="M769" i="26" s="1"/>
  <c r="L769" i="26"/>
  <c r="I769" i="26"/>
  <c r="J769" i="26" s="1"/>
  <c r="C769" i="26"/>
  <c r="N768" i="26"/>
  <c r="O768" i="26" s="1"/>
  <c r="P768" i="26" s="1"/>
  <c r="M768" i="26" s="1"/>
  <c r="L768" i="26"/>
  <c r="I768" i="26"/>
  <c r="J768" i="26" s="1"/>
  <c r="C768" i="26"/>
  <c r="N767" i="26"/>
  <c r="O767" i="26" s="1"/>
  <c r="P767" i="26" s="1"/>
  <c r="M767" i="26" s="1"/>
  <c r="L767" i="26"/>
  <c r="I767" i="26"/>
  <c r="J767" i="26" s="1"/>
  <c r="C767" i="26"/>
  <c r="N766" i="26"/>
  <c r="O766" i="26" s="1"/>
  <c r="P766" i="26" s="1"/>
  <c r="M766" i="26" s="1"/>
  <c r="L766" i="26"/>
  <c r="I766" i="26"/>
  <c r="J766" i="26" s="1"/>
  <c r="C766" i="26"/>
  <c r="N765" i="26"/>
  <c r="O765" i="26" s="1"/>
  <c r="P765" i="26" s="1"/>
  <c r="M765" i="26" s="1"/>
  <c r="L765" i="26"/>
  <c r="I765" i="26"/>
  <c r="J765" i="26" s="1"/>
  <c r="C765" i="26"/>
  <c r="N764" i="26"/>
  <c r="O764" i="26" s="1"/>
  <c r="P764" i="26" s="1"/>
  <c r="M764" i="26" s="1"/>
  <c r="L764" i="26"/>
  <c r="I764" i="26"/>
  <c r="J764" i="26" s="1"/>
  <c r="C764" i="26"/>
  <c r="N763" i="26"/>
  <c r="O763" i="26" s="1"/>
  <c r="P763" i="26" s="1"/>
  <c r="M763" i="26" s="1"/>
  <c r="L763" i="26"/>
  <c r="I763" i="26"/>
  <c r="J763" i="26" s="1"/>
  <c r="C763" i="26"/>
  <c r="N762" i="26"/>
  <c r="O762" i="26" s="1"/>
  <c r="P762" i="26" s="1"/>
  <c r="M762" i="26" s="1"/>
  <c r="L762" i="26"/>
  <c r="I762" i="26"/>
  <c r="J762" i="26" s="1"/>
  <c r="C762" i="26"/>
  <c r="N761" i="26"/>
  <c r="O761" i="26" s="1"/>
  <c r="P761" i="26" s="1"/>
  <c r="M761" i="26" s="1"/>
  <c r="L761" i="26"/>
  <c r="I761" i="26"/>
  <c r="J761" i="26" s="1"/>
  <c r="C761" i="26"/>
  <c r="N760" i="26"/>
  <c r="O760" i="26" s="1"/>
  <c r="P760" i="26" s="1"/>
  <c r="M760" i="26" s="1"/>
  <c r="L760" i="26"/>
  <c r="I760" i="26"/>
  <c r="J760" i="26" s="1"/>
  <c r="C760" i="26"/>
  <c r="N759" i="26"/>
  <c r="O759" i="26" s="1"/>
  <c r="P759" i="26" s="1"/>
  <c r="M759" i="26" s="1"/>
  <c r="L759" i="26"/>
  <c r="I759" i="26"/>
  <c r="J759" i="26" s="1"/>
  <c r="C759" i="26"/>
  <c r="N758" i="26"/>
  <c r="O758" i="26" s="1"/>
  <c r="P758" i="26" s="1"/>
  <c r="M758" i="26" s="1"/>
  <c r="L758" i="26"/>
  <c r="I758" i="26"/>
  <c r="J758" i="26" s="1"/>
  <c r="C758" i="26"/>
  <c r="N757" i="26"/>
  <c r="O757" i="26" s="1"/>
  <c r="P757" i="26" s="1"/>
  <c r="M757" i="26" s="1"/>
  <c r="L757" i="26"/>
  <c r="I757" i="26"/>
  <c r="C757" i="26"/>
  <c r="N756" i="26"/>
  <c r="O756" i="26" s="1"/>
  <c r="P756" i="26" s="1"/>
  <c r="M756" i="26" s="1"/>
  <c r="L756" i="26"/>
  <c r="J756" i="26"/>
  <c r="I756" i="26"/>
  <c r="C756" i="26"/>
  <c r="N755" i="26"/>
  <c r="O755" i="26" s="1"/>
  <c r="P755" i="26" s="1"/>
  <c r="M755" i="26" s="1"/>
  <c r="L755" i="26"/>
  <c r="J755" i="26"/>
  <c r="I755" i="26"/>
  <c r="C755" i="26"/>
  <c r="N754" i="26"/>
  <c r="O754" i="26" s="1"/>
  <c r="P754" i="26" s="1"/>
  <c r="M754" i="26" s="1"/>
  <c r="L754" i="26"/>
  <c r="J754" i="26"/>
  <c r="I754" i="26"/>
  <c r="C754" i="26"/>
  <c r="N753" i="26"/>
  <c r="O753" i="26" s="1"/>
  <c r="P753" i="26" s="1"/>
  <c r="M753" i="26" s="1"/>
  <c r="L753" i="26"/>
  <c r="J753" i="26"/>
  <c r="I753" i="26"/>
  <c r="C753" i="26"/>
  <c r="N752" i="26"/>
  <c r="O752" i="26" s="1"/>
  <c r="P752" i="26" s="1"/>
  <c r="M752" i="26" s="1"/>
  <c r="L752" i="26"/>
  <c r="J752" i="26"/>
  <c r="I752" i="26"/>
  <c r="C752" i="26"/>
  <c r="N751" i="26"/>
  <c r="O751" i="26" s="1"/>
  <c r="P751" i="26" s="1"/>
  <c r="M751" i="26" s="1"/>
  <c r="L751" i="26"/>
  <c r="J751" i="26"/>
  <c r="I751" i="26"/>
  <c r="C751" i="26"/>
  <c r="N750" i="26"/>
  <c r="O750" i="26" s="1"/>
  <c r="P750" i="26" s="1"/>
  <c r="M750" i="26" s="1"/>
  <c r="L750" i="26"/>
  <c r="J750" i="26"/>
  <c r="I750" i="26"/>
  <c r="C750" i="26"/>
  <c r="N749" i="26"/>
  <c r="O749" i="26" s="1"/>
  <c r="P749" i="26" s="1"/>
  <c r="M749" i="26" s="1"/>
  <c r="L749" i="26"/>
  <c r="J749" i="26"/>
  <c r="I749" i="26"/>
  <c r="C749" i="26"/>
  <c r="N748" i="26"/>
  <c r="O748" i="26" s="1"/>
  <c r="P748" i="26" s="1"/>
  <c r="M748" i="26" s="1"/>
  <c r="L748" i="26"/>
  <c r="J748" i="26"/>
  <c r="I748" i="26"/>
  <c r="C748" i="26"/>
  <c r="N747" i="26"/>
  <c r="O747" i="26" s="1"/>
  <c r="P747" i="26" s="1"/>
  <c r="M747" i="26" s="1"/>
  <c r="L747" i="26"/>
  <c r="J747" i="26"/>
  <c r="I747" i="26"/>
  <c r="C747" i="26"/>
  <c r="O746" i="26"/>
  <c r="N746" i="26"/>
  <c r="L746" i="26"/>
  <c r="I746" i="26"/>
  <c r="J746" i="26" s="1"/>
  <c r="C746" i="26"/>
  <c r="O745" i="26"/>
  <c r="N745" i="26"/>
  <c r="L745" i="26"/>
  <c r="I745" i="26"/>
  <c r="J745" i="26" s="1"/>
  <c r="C745" i="26"/>
  <c r="O744" i="26"/>
  <c r="N744" i="26"/>
  <c r="L744" i="26"/>
  <c r="I744" i="26"/>
  <c r="J744" i="26" s="1"/>
  <c r="C744" i="26"/>
  <c r="O743" i="26"/>
  <c r="P743" i="26" s="1"/>
  <c r="M743" i="26" s="1"/>
  <c r="N743" i="26"/>
  <c r="L743" i="26"/>
  <c r="I743" i="26"/>
  <c r="J743" i="26" s="1"/>
  <c r="C743" i="26"/>
  <c r="O742" i="26"/>
  <c r="P742" i="26" s="1"/>
  <c r="M742" i="26" s="1"/>
  <c r="N742" i="26"/>
  <c r="L742" i="26"/>
  <c r="I742" i="26"/>
  <c r="J742" i="26" s="1"/>
  <c r="C742" i="26"/>
  <c r="O741" i="26"/>
  <c r="P741" i="26" s="1"/>
  <c r="M741" i="26" s="1"/>
  <c r="N741" i="26"/>
  <c r="L741" i="26"/>
  <c r="I741" i="26"/>
  <c r="J741" i="26" s="1"/>
  <c r="C741" i="26"/>
  <c r="O740" i="26"/>
  <c r="N740" i="26"/>
  <c r="L740" i="26"/>
  <c r="I740" i="26"/>
  <c r="J740" i="26" s="1"/>
  <c r="C740" i="26"/>
  <c r="O739" i="26"/>
  <c r="N739" i="26"/>
  <c r="L739" i="26"/>
  <c r="I739" i="26"/>
  <c r="J739" i="26" s="1"/>
  <c r="C739" i="26"/>
  <c r="O738" i="26"/>
  <c r="N738" i="26"/>
  <c r="L738" i="26"/>
  <c r="I738" i="26"/>
  <c r="J738" i="26" s="1"/>
  <c r="C738" i="26"/>
  <c r="O737" i="26"/>
  <c r="N737" i="26"/>
  <c r="L737" i="26"/>
  <c r="I737" i="26"/>
  <c r="J737" i="26" s="1"/>
  <c r="C737" i="26"/>
  <c r="O736" i="26"/>
  <c r="P736" i="26" s="1"/>
  <c r="M736" i="26" s="1"/>
  <c r="N736" i="26"/>
  <c r="L736" i="26"/>
  <c r="I736" i="26"/>
  <c r="J736" i="26" s="1"/>
  <c r="C736" i="26"/>
  <c r="O735" i="26"/>
  <c r="P735" i="26" s="1"/>
  <c r="M735" i="26" s="1"/>
  <c r="N735" i="26"/>
  <c r="L735" i="26"/>
  <c r="I735" i="26"/>
  <c r="J735" i="26" s="1"/>
  <c r="C735" i="26"/>
  <c r="O734" i="26"/>
  <c r="P734" i="26" s="1"/>
  <c r="M734" i="26" s="1"/>
  <c r="N734" i="26"/>
  <c r="L734" i="26"/>
  <c r="I734" i="26"/>
  <c r="J734" i="26" s="1"/>
  <c r="C734" i="26"/>
  <c r="O733" i="26"/>
  <c r="P733" i="26" s="1"/>
  <c r="M733" i="26" s="1"/>
  <c r="N733" i="26"/>
  <c r="L733" i="26"/>
  <c r="I733" i="26"/>
  <c r="J733" i="26" s="1"/>
  <c r="C733" i="26"/>
  <c r="O732" i="26"/>
  <c r="N732" i="26"/>
  <c r="L732" i="26"/>
  <c r="I732" i="26"/>
  <c r="J732" i="26" s="1"/>
  <c r="C732" i="26"/>
  <c r="O731" i="26"/>
  <c r="N731" i="26"/>
  <c r="L731" i="26"/>
  <c r="I731" i="26"/>
  <c r="J731" i="26" s="1"/>
  <c r="C731" i="26"/>
  <c r="O730" i="26"/>
  <c r="N730" i="26"/>
  <c r="L730" i="26"/>
  <c r="I730" i="26"/>
  <c r="J730" i="26" s="1"/>
  <c r="C730" i="26"/>
  <c r="O729" i="26"/>
  <c r="N729" i="26"/>
  <c r="L729" i="26"/>
  <c r="I729" i="26"/>
  <c r="J729" i="26" s="1"/>
  <c r="C729" i="26"/>
  <c r="O728" i="26"/>
  <c r="P728" i="26" s="1"/>
  <c r="M728" i="26" s="1"/>
  <c r="N728" i="26"/>
  <c r="L728" i="26"/>
  <c r="I728" i="26"/>
  <c r="J728" i="26" s="1"/>
  <c r="C728" i="26"/>
  <c r="O727" i="26"/>
  <c r="P727" i="26" s="1"/>
  <c r="M727" i="26" s="1"/>
  <c r="N727" i="26"/>
  <c r="L727" i="26"/>
  <c r="I727" i="26"/>
  <c r="J727" i="26" s="1"/>
  <c r="C727" i="26"/>
  <c r="O726" i="26"/>
  <c r="P726" i="26" s="1"/>
  <c r="M726" i="26" s="1"/>
  <c r="N726" i="26"/>
  <c r="L726" i="26"/>
  <c r="I726" i="26"/>
  <c r="J726" i="26" s="1"/>
  <c r="C726" i="26"/>
  <c r="O725" i="26"/>
  <c r="P725" i="26" s="1"/>
  <c r="M725" i="26" s="1"/>
  <c r="N725" i="26"/>
  <c r="L725" i="26"/>
  <c r="I725" i="26"/>
  <c r="J725" i="26" s="1"/>
  <c r="C725" i="26"/>
  <c r="O724" i="26"/>
  <c r="N724" i="26"/>
  <c r="L724" i="26"/>
  <c r="I724" i="26"/>
  <c r="J724" i="26" s="1"/>
  <c r="C724" i="26"/>
  <c r="O723" i="26"/>
  <c r="N723" i="26"/>
  <c r="L723" i="26"/>
  <c r="I723" i="26"/>
  <c r="J723" i="26" s="1"/>
  <c r="C723" i="26"/>
  <c r="O722" i="26"/>
  <c r="N722" i="26"/>
  <c r="L722" i="26"/>
  <c r="I722" i="26"/>
  <c r="J722" i="26" s="1"/>
  <c r="C722" i="26"/>
  <c r="O721" i="26"/>
  <c r="N721" i="26"/>
  <c r="L721" i="26"/>
  <c r="I721" i="26"/>
  <c r="J721" i="26" s="1"/>
  <c r="C721" i="26"/>
  <c r="O720" i="26"/>
  <c r="P720" i="26" s="1"/>
  <c r="M720" i="26" s="1"/>
  <c r="N720" i="26"/>
  <c r="L720" i="26"/>
  <c r="I720" i="26"/>
  <c r="J720" i="26" s="1"/>
  <c r="C720" i="26"/>
  <c r="O719" i="26"/>
  <c r="P719" i="26" s="1"/>
  <c r="M719" i="26" s="1"/>
  <c r="N719" i="26"/>
  <c r="L719" i="26"/>
  <c r="I719" i="26"/>
  <c r="J719" i="26" s="1"/>
  <c r="C719" i="26"/>
  <c r="O718" i="26"/>
  <c r="P718" i="26" s="1"/>
  <c r="M718" i="26" s="1"/>
  <c r="N718" i="26"/>
  <c r="L718" i="26"/>
  <c r="I718" i="26"/>
  <c r="J718" i="26" s="1"/>
  <c r="C718" i="26"/>
  <c r="O717" i="26"/>
  <c r="P717" i="26" s="1"/>
  <c r="M717" i="26" s="1"/>
  <c r="N717" i="26"/>
  <c r="L717" i="26"/>
  <c r="I717" i="26"/>
  <c r="J717" i="26" s="1"/>
  <c r="C717" i="26"/>
  <c r="O716" i="26"/>
  <c r="N716" i="26"/>
  <c r="L716" i="26"/>
  <c r="I716" i="26"/>
  <c r="J716" i="26" s="1"/>
  <c r="C716" i="26"/>
  <c r="O715" i="26"/>
  <c r="N715" i="26"/>
  <c r="L715" i="26"/>
  <c r="I715" i="26"/>
  <c r="J715" i="26" s="1"/>
  <c r="C715" i="26"/>
  <c r="O714" i="26"/>
  <c r="N714" i="26"/>
  <c r="L714" i="26"/>
  <c r="I714" i="26"/>
  <c r="J714" i="26" s="1"/>
  <c r="C714" i="26"/>
  <c r="O713" i="26"/>
  <c r="N713" i="26"/>
  <c r="L713" i="26"/>
  <c r="I713" i="26"/>
  <c r="J713" i="26" s="1"/>
  <c r="C713" i="26"/>
  <c r="O712" i="26"/>
  <c r="P712" i="26" s="1"/>
  <c r="M712" i="26" s="1"/>
  <c r="N712" i="26"/>
  <c r="L712" i="26"/>
  <c r="I712" i="26"/>
  <c r="J712" i="26" s="1"/>
  <c r="C712" i="26"/>
  <c r="O711" i="26"/>
  <c r="P711" i="26" s="1"/>
  <c r="M711" i="26" s="1"/>
  <c r="N711" i="26"/>
  <c r="L711" i="26"/>
  <c r="I711" i="26"/>
  <c r="J711" i="26" s="1"/>
  <c r="C711" i="26"/>
  <c r="O710" i="26"/>
  <c r="P710" i="26" s="1"/>
  <c r="M710" i="26" s="1"/>
  <c r="N710" i="26"/>
  <c r="L710" i="26"/>
  <c r="I710" i="26"/>
  <c r="J710" i="26" s="1"/>
  <c r="C710" i="26"/>
  <c r="O709" i="26"/>
  <c r="P709" i="26" s="1"/>
  <c r="M709" i="26" s="1"/>
  <c r="N709" i="26"/>
  <c r="L709" i="26"/>
  <c r="I709" i="26"/>
  <c r="J709" i="26" s="1"/>
  <c r="C709" i="26"/>
  <c r="O708" i="26"/>
  <c r="N708" i="26"/>
  <c r="L708" i="26"/>
  <c r="I708" i="26"/>
  <c r="J708" i="26" s="1"/>
  <c r="C708" i="26"/>
  <c r="O707" i="26"/>
  <c r="N707" i="26"/>
  <c r="L707" i="26"/>
  <c r="I707" i="26"/>
  <c r="J707" i="26" s="1"/>
  <c r="C707" i="26"/>
  <c r="O706" i="26"/>
  <c r="N706" i="26"/>
  <c r="L706" i="26"/>
  <c r="I706" i="26"/>
  <c r="J706" i="26" s="1"/>
  <c r="C706" i="26"/>
  <c r="O705" i="26"/>
  <c r="N705" i="26"/>
  <c r="L705" i="26"/>
  <c r="I705" i="26"/>
  <c r="J705" i="26" s="1"/>
  <c r="C705" i="26"/>
  <c r="O704" i="26"/>
  <c r="P704" i="26" s="1"/>
  <c r="M704" i="26" s="1"/>
  <c r="N704" i="26"/>
  <c r="L704" i="26"/>
  <c r="I704" i="26"/>
  <c r="J704" i="26" s="1"/>
  <c r="C704" i="26"/>
  <c r="O703" i="26"/>
  <c r="P703" i="26" s="1"/>
  <c r="M703" i="26" s="1"/>
  <c r="N703" i="26"/>
  <c r="L703" i="26"/>
  <c r="I703" i="26"/>
  <c r="J703" i="26" s="1"/>
  <c r="C703" i="26"/>
  <c r="O702" i="26"/>
  <c r="P702" i="26" s="1"/>
  <c r="M702" i="26" s="1"/>
  <c r="N702" i="26"/>
  <c r="L702" i="26"/>
  <c r="I702" i="26"/>
  <c r="J702" i="26" s="1"/>
  <c r="C702" i="26"/>
  <c r="O701" i="26"/>
  <c r="P701" i="26" s="1"/>
  <c r="M701" i="26" s="1"/>
  <c r="N701" i="26"/>
  <c r="L701" i="26"/>
  <c r="I701" i="26"/>
  <c r="J701" i="26" s="1"/>
  <c r="C701" i="26"/>
  <c r="O700" i="26"/>
  <c r="N700" i="26"/>
  <c r="L700" i="26"/>
  <c r="I700" i="26"/>
  <c r="J700" i="26" s="1"/>
  <c r="C700" i="26"/>
  <c r="O699" i="26"/>
  <c r="N699" i="26"/>
  <c r="L699" i="26"/>
  <c r="I699" i="26"/>
  <c r="J699" i="26" s="1"/>
  <c r="C699" i="26"/>
  <c r="O698" i="26"/>
  <c r="N698" i="26"/>
  <c r="L698" i="26"/>
  <c r="I698" i="26"/>
  <c r="J698" i="26" s="1"/>
  <c r="C698" i="26"/>
  <c r="O697" i="26"/>
  <c r="N697" i="26"/>
  <c r="L697" i="26"/>
  <c r="I697" i="26"/>
  <c r="J697" i="26" s="1"/>
  <c r="C697" i="26"/>
  <c r="O696" i="26"/>
  <c r="P696" i="26" s="1"/>
  <c r="M696" i="26" s="1"/>
  <c r="N696" i="26"/>
  <c r="L696" i="26"/>
  <c r="I696" i="26"/>
  <c r="J696" i="26" s="1"/>
  <c r="C696" i="26"/>
  <c r="O695" i="26"/>
  <c r="P695" i="26" s="1"/>
  <c r="M695" i="26" s="1"/>
  <c r="N695" i="26"/>
  <c r="L695" i="26"/>
  <c r="I695" i="26"/>
  <c r="J695" i="26" s="1"/>
  <c r="C695" i="26"/>
  <c r="O694" i="26"/>
  <c r="P694" i="26" s="1"/>
  <c r="M694" i="26" s="1"/>
  <c r="N694" i="26"/>
  <c r="L694" i="26"/>
  <c r="I694" i="26"/>
  <c r="J694" i="26" s="1"/>
  <c r="C694" i="26"/>
  <c r="O693" i="26"/>
  <c r="P693" i="26" s="1"/>
  <c r="M693" i="26" s="1"/>
  <c r="N693" i="26"/>
  <c r="L693" i="26"/>
  <c r="I693" i="26"/>
  <c r="J693" i="26" s="1"/>
  <c r="C693" i="26"/>
  <c r="N692" i="26"/>
  <c r="O692" i="26" s="1"/>
  <c r="P692" i="26" s="1"/>
  <c r="M692" i="26" s="1"/>
  <c r="L692" i="26"/>
  <c r="I692" i="26"/>
  <c r="J692" i="26" s="1"/>
  <c r="C692" i="26"/>
  <c r="N691" i="26"/>
  <c r="O691" i="26" s="1"/>
  <c r="P691" i="26" s="1"/>
  <c r="M691" i="26" s="1"/>
  <c r="L691" i="26"/>
  <c r="I691" i="26"/>
  <c r="J691" i="26" s="1"/>
  <c r="C691" i="26"/>
  <c r="N690" i="26"/>
  <c r="O690" i="26" s="1"/>
  <c r="P690" i="26" s="1"/>
  <c r="M690" i="26" s="1"/>
  <c r="L690" i="26"/>
  <c r="I690" i="26"/>
  <c r="J690" i="26" s="1"/>
  <c r="C690" i="26"/>
  <c r="N689" i="26"/>
  <c r="O689" i="26" s="1"/>
  <c r="P689" i="26" s="1"/>
  <c r="M689" i="26" s="1"/>
  <c r="L689" i="26"/>
  <c r="I689" i="26"/>
  <c r="J689" i="26" s="1"/>
  <c r="C689" i="26"/>
  <c r="O688" i="26"/>
  <c r="P688" i="26" s="1"/>
  <c r="M688" i="26" s="1"/>
  <c r="N688" i="26"/>
  <c r="L688" i="26"/>
  <c r="I688" i="26"/>
  <c r="J688" i="26" s="1"/>
  <c r="C688" i="26"/>
  <c r="O687" i="26"/>
  <c r="P687" i="26" s="1"/>
  <c r="M687" i="26" s="1"/>
  <c r="N687" i="26"/>
  <c r="L687" i="26"/>
  <c r="I687" i="26"/>
  <c r="J687" i="26" s="1"/>
  <c r="C687" i="26"/>
  <c r="O686" i="26"/>
  <c r="P686" i="26" s="1"/>
  <c r="M686" i="26" s="1"/>
  <c r="N686" i="26"/>
  <c r="L686" i="26"/>
  <c r="I686" i="26"/>
  <c r="J686" i="26" s="1"/>
  <c r="C686" i="26"/>
  <c r="O685" i="26"/>
  <c r="P685" i="26" s="1"/>
  <c r="M685" i="26" s="1"/>
  <c r="N685" i="26"/>
  <c r="L685" i="26"/>
  <c r="I685" i="26"/>
  <c r="J685" i="26" s="1"/>
  <c r="C685" i="26"/>
  <c r="N684" i="26"/>
  <c r="O684" i="26" s="1"/>
  <c r="P684" i="26" s="1"/>
  <c r="M684" i="26" s="1"/>
  <c r="L684" i="26"/>
  <c r="I684" i="26"/>
  <c r="J684" i="26" s="1"/>
  <c r="C684" i="26"/>
  <c r="N683" i="26"/>
  <c r="O683" i="26" s="1"/>
  <c r="P683" i="26" s="1"/>
  <c r="M683" i="26" s="1"/>
  <c r="L683" i="26"/>
  <c r="I683" i="26"/>
  <c r="J683" i="26" s="1"/>
  <c r="C683" i="26"/>
  <c r="N682" i="26"/>
  <c r="O682" i="26" s="1"/>
  <c r="P682" i="26" s="1"/>
  <c r="M682" i="26" s="1"/>
  <c r="L682" i="26"/>
  <c r="I682" i="26"/>
  <c r="J682" i="26" s="1"/>
  <c r="C682" i="26"/>
  <c r="N681" i="26"/>
  <c r="O681" i="26" s="1"/>
  <c r="P681" i="26" s="1"/>
  <c r="M681" i="26" s="1"/>
  <c r="L681" i="26"/>
  <c r="I681" i="26"/>
  <c r="J681" i="26" s="1"/>
  <c r="C681" i="26"/>
  <c r="O680" i="26"/>
  <c r="P680" i="26" s="1"/>
  <c r="M680" i="26" s="1"/>
  <c r="N680" i="26"/>
  <c r="L680" i="26"/>
  <c r="I680" i="26"/>
  <c r="J680" i="26" s="1"/>
  <c r="C680" i="26"/>
  <c r="O679" i="26"/>
  <c r="P679" i="26" s="1"/>
  <c r="M679" i="26" s="1"/>
  <c r="N679" i="26"/>
  <c r="L679" i="26"/>
  <c r="I679" i="26"/>
  <c r="J679" i="26" s="1"/>
  <c r="C679" i="26"/>
  <c r="O678" i="26"/>
  <c r="P678" i="26" s="1"/>
  <c r="M678" i="26" s="1"/>
  <c r="N678" i="26"/>
  <c r="L678" i="26"/>
  <c r="I678" i="26"/>
  <c r="J678" i="26" s="1"/>
  <c r="C678" i="26"/>
  <c r="O677" i="26"/>
  <c r="P677" i="26" s="1"/>
  <c r="M677" i="26" s="1"/>
  <c r="N677" i="26"/>
  <c r="L677" i="26"/>
  <c r="I677" i="26"/>
  <c r="J677" i="26" s="1"/>
  <c r="C677" i="26"/>
  <c r="N676" i="26"/>
  <c r="O676" i="26" s="1"/>
  <c r="P676" i="26" s="1"/>
  <c r="M676" i="26" s="1"/>
  <c r="L676" i="26"/>
  <c r="I676" i="26"/>
  <c r="J676" i="26" s="1"/>
  <c r="C676" i="26"/>
  <c r="N675" i="26"/>
  <c r="O675" i="26" s="1"/>
  <c r="P675" i="26" s="1"/>
  <c r="M675" i="26" s="1"/>
  <c r="L675" i="26"/>
  <c r="I675" i="26"/>
  <c r="J675" i="26" s="1"/>
  <c r="C675" i="26"/>
  <c r="N674" i="26"/>
  <c r="O674" i="26" s="1"/>
  <c r="P674" i="26" s="1"/>
  <c r="M674" i="26" s="1"/>
  <c r="L674" i="26"/>
  <c r="I674" i="26"/>
  <c r="J674" i="26" s="1"/>
  <c r="C674" i="26"/>
  <c r="N673" i="26"/>
  <c r="O673" i="26" s="1"/>
  <c r="P673" i="26" s="1"/>
  <c r="M673" i="26" s="1"/>
  <c r="L673" i="26"/>
  <c r="I673" i="26"/>
  <c r="J673" i="26" s="1"/>
  <c r="C673" i="26"/>
  <c r="O672" i="26"/>
  <c r="P672" i="26" s="1"/>
  <c r="M672" i="26" s="1"/>
  <c r="N672" i="26"/>
  <c r="L672" i="26"/>
  <c r="I672" i="26"/>
  <c r="J672" i="26" s="1"/>
  <c r="C672" i="26"/>
  <c r="O671" i="26"/>
  <c r="P671" i="26" s="1"/>
  <c r="M671" i="26" s="1"/>
  <c r="N671" i="26"/>
  <c r="L671" i="26"/>
  <c r="I671" i="26"/>
  <c r="J671" i="26" s="1"/>
  <c r="C671" i="26"/>
  <c r="O670" i="26"/>
  <c r="P670" i="26" s="1"/>
  <c r="M670" i="26" s="1"/>
  <c r="N670" i="26"/>
  <c r="L670" i="26"/>
  <c r="I670" i="26"/>
  <c r="J670" i="26" s="1"/>
  <c r="C670" i="26"/>
  <c r="O669" i="26"/>
  <c r="P669" i="26" s="1"/>
  <c r="M669" i="26" s="1"/>
  <c r="N669" i="26"/>
  <c r="L669" i="26"/>
  <c r="I669" i="26"/>
  <c r="J669" i="26" s="1"/>
  <c r="C669" i="26"/>
  <c r="N668" i="26"/>
  <c r="O668" i="26" s="1"/>
  <c r="P668" i="26" s="1"/>
  <c r="M668" i="26" s="1"/>
  <c r="L668" i="26"/>
  <c r="I668" i="26"/>
  <c r="J668" i="26" s="1"/>
  <c r="C668" i="26"/>
  <c r="N667" i="26"/>
  <c r="O667" i="26" s="1"/>
  <c r="P667" i="26" s="1"/>
  <c r="M667" i="26" s="1"/>
  <c r="L667" i="26"/>
  <c r="I667" i="26"/>
  <c r="J667" i="26" s="1"/>
  <c r="C667" i="26"/>
  <c r="N666" i="26"/>
  <c r="O666" i="26" s="1"/>
  <c r="P666" i="26" s="1"/>
  <c r="M666" i="26" s="1"/>
  <c r="L666" i="26"/>
  <c r="I666" i="26"/>
  <c r="J666" i="26" s="1"/>
  <c r="C666" i="26"/>
  <c r="N665" i="26"/>
  <c r="O665" i="26" s="1"/>
  <c r="P665" i="26" s="1"/>
  <c r="M665" i="26" s="1"/>
  <c r="L665" i="26"/>
  <c r="I665" i="26"/>
  <c r="J665" i="26" s="1"/>
  <c r="C665" i="26"/>
  <c r="O664" i="26"/>
  <c r="P664" i="26" s="1"/>
  <c r="M664" i="26" s="1"/>
  <c r="N664" i="26"/>
  <c r="L664" i="26"/>
  <c r="I664" i="26"/>
  <c r="J664" i="26" s="1"/>
  <c r="C664" i="26"/>
  <c r="O663" i="26"/>
  <c r="P663" i="26" s="1"/>
  <c r="M663" i="26" s="1"/>
  <c r="N663" i="26"/>
  <c r="L663" i="26"/>
  <c r="I663" i="26"/>
  <c r="J663" i="26" s="1"/>
  <c r="C663" i="26"/>
  <c r="O662" i="26"/>
  <c r="P662" i="26" s="1"/>
  <c r="M662" i="26" s="1"/>
  <c r="N662" i="26"/>
  <c r="L662" i="26"/>
  <c r="I662" i="26"/>
  <c r="J662" i="26" s="1"/>
  <c r="C662" i="26"/>
  <c r="P661" i="26"/>
  <c r="M661" i="26" s="1"/>
  <c r="O661" i="26"/>
  <c r="N661" i="26"/>
  <c r="L661" i="26"/>
  <c r="I661" i="26"/>
  <c r="J661" i="26" s="1"/>
  <c r="C661" i="26"/>
  <c r="P660" i="26"/>
  <c r="M660" i="26" s="1"/>
  <c r="O660" i="26"/>
  <c r="N660" i="26"/>
  <c r="L660" i="26"/>
  <c r="I660" i="26"/>
  <c r="J660" i="26" s="1"/>
  <c r="C660" i="26"/>
  <c r="O659" i="26"/>
  <c r="N659" i="26"/>
  <c r="L659" i="26"/>
  <c r="I659" i="26"/>
  <c r="J659" i="26" s="1"/>
  <c r="C659" i="26"/>
  <c r="P659" i="26" s="1"/>
  <c r="M659" i="26" s="1"/>
  <c r="O658" i="26"/>
  <c r="N658" i="26"/>
  <c r="L658" i="26"/>
  <c r="I658" i="26"/>
  <c r="J658" i="26" s="1"/>
  <c r="C658" i="26"/>
  <c r="P658" i="26" s="1"/>
  <c r="M658" i="26" s="1"/>
  <c r="O657" i="26"/>
  <c r="N657" i="26"/>
  <c r="L657" i="26"/>
  <c r="I657" i="26"/>
  <c r="J657" i="26" s="1"/>
  <c r="C657" i="26"/>
  <c r="P657" i="26" s="1"/>
  <c r="M657" i="26" s="1"/>
  <c r="O656" i="26"/>
  <c r="N656" i="26"/>
  <c r="L656" i="26"/>
  <c r="I656" i="26"/>
  <c r="J656" i="26" s="1"/>
  <c r="C656" i="26"/>
  <c r="P656" i="26" s="1"/>
  <c r="M656" i="26" s="1"/>
  <c r="O655" i="26"/>
  <c r="N655" i="26"/>
  <c r="L655" i="26"/>
  <c r="I655" i="26"/>
  <c r="J655" i="26" s="1"/>
  <c r="C655" i="26"/>
  <c r="P655" i="26" s="1"/>
  <c r="M655" i="26" s="1"/>
  <c r="O654" i="26"/>
  <c r="N654" i="26"/>
  <c r="L654" i="26"/>
  <c r="I654" i="26"/>
  <c r="J654" i="26" s="1"/>
  <c r="C654" i="26"/>
  <c r="P654" i="26" s="1"/>
  <c r="M654" i="26" s="1"/>
  <c r="O653" i="26"/>
  <c r="P653" i="26" s="1"/>
  <c r="M653" i="26" s="1"/>
  <c r="N653" i="26"/>
  <c r="L653" i="26"/>
  <c r="J653" i="26"/>
  <c r="I653" i="26"/>
  <c r="C653" i="26"/>
  <c r="O652" i="26"/>
  <c r="P652" i="26" s="1"/>
  <c r="M652" i="26" s="1"/>
  <c r="N652" i="26"/>
  <c r="L652" i="26"/>
  <c r="J652" i="26"/>
  <c r="I652" i="26"/>
  <c r="C652" i="26"/>
  <c r="O651" i="26"/>
  <c r="P651" i="26" s="1"/>
  <c r="M651" i="26" s="1"/>
  <c r="N651" i="26"/>
  <c r="L651" i="26"/>
  <c r="J651" i="26"/>
  <c r="I651" i="26"/>
  <c r="C651" i="26"/>
  <c r="O650" i="26"/>
  <c r="P650" i="26" s="1"/>
  <c r="M650" i="26" s="1"/>
  <c r="N650" i="26"/>
  <c r="L650" i="26"/>
  <c r="J650" i="26"/>
  <c r="I650" i="26"/>
  <c r="C650" i="26"/>
  <c r="O649" i="26"/>
  <c r="P649" i="26" s="1"/>
  <c r="M649" i="26" s="1"/>
  <c r="N649" i="26"/>
  <c r="L649" i="26"/>
  <c r="J649" i="26"/>
  <c r="I649" i="26"/>
  <c r="C649" i="26"/>
  <c r="O648" i="26"/>
  <c r="P648" i="26" s="1"/>
  <c r="M648" i="26" s="1"/>
  <c r="N648" i="26"/>
  <c r="L648" i="26"/>
  <c r="J648" i="26"/>
  <c r="I648" i="26"/>
  <c r="C648" i="26"/>
  <c r="O647" i="26"/>
  <c r="P647" i="26" s="1"/>
  <c r="M647" i="26" s="1"/>
  <c r="N647" i="26"/>
  <c r="L647" i="26"/>
  <c r="J647" i="26"/>
  <c r="I647" i="26"/>
  <c r="C647" i="26"/>
  <c r="O646" i="26"/>
  <c r="P646" i="26" s="1"/>
  <c r="M646" i="26" s="1"/>
  <c r="N646" i="26"/>
  <c r="L646" i="26"/>
  <c r="J646" i="26"/>
  <c r="I646" i="26"/>
  <c r="C646" i="26"/>
  <c r="O645" i="26"/>
  <c r="P645" i="26" s="1"/>
  <c r="M645" i="26" s="1"/>
  <c r="N645" i="26"/>
  <c r="L645" i="26"/>
  <c r="J645" i="26"/>
  <c r="I645" i="26"/>
  <c r="C645" i="26"/>
  <c r="O644" i="26"/>
  <c r="P644" i="26" s="1"/>
  <c r="M644" i="26" s="1"/>
  <c r="N644" i="26"/>
  <c r="L644" i="26"/>
  <c r="J644" i="26"/>
  <c r="I644" i="26"/>
  <c r="C644" i="26"/>
  <c r="O643" i="26"/>
  <c r="P643" i="26" s="1"/>
  <c r="M643" i="26" s="1"/>
  <c r="N643" i="26"/>
  <c r="L643" i="26"/>
  <c r="J643" i="26"/>
  <c r="I643" i="26"/>
  <c r="C643" i="26"/>
  <c r="O642" i="26"/>
  <c r="P642" i="26" s="1"/>
  <c r="M642" i="26" s="1"/>
  <c r="N642" i="26"/>
  <c r="L642" i="26"/>
  <c r="J642" i="26"/>
  <c r="I642" i="26"/>
  <c r="C642" i="26"/>
  <c r="O641" i="26"/>
  <c r="P641" i="26" s="1"/>
  <c r="M641" i="26" s="1"/>
  <c r="N641" i="26"/>
  <c r="L641" i="26"/>
  <c r="J641" i="26"/>
  <c r="I641" i="26"/>
  <c r="C641" i="26"/>
  <c r="O640" i="26"/>
  <c r="P640" i="26" s="1"/>
  <c r="M640" i="26" s="1"/>
  <c r="N640" i="26"/>
  <c r="L640" i="26"/>
  <c r="J640" i="26"/>
  <c r="I640" i="26"/>
  <c r="C640" i="26"/>
  <c r="O639" i="26"/>
  <c r="P639" i="26" s="1"/>
  <c r="M639" i="26" s="1"/>
  <c r="N639" i="26"/>
  <c r="L639" i="26"/>
  <c r="J639" i="26"/>
  <c r="I639" i="26"/>
  <c r="C639" i="26"/>
  <c r="O638" i="26"/>
  <c r="P638" i="26" s="1"/>
  <c r="M638" i="26" s="1"/>
  <c r="N638" i="26"/>
  <c r="L638" i="26"/>
  <c r="J638" i="26"/>
  <c r="I638" i="26"/>
  <c r="C638" i="26"/>
  <c r="O637" i="26"/>
  <c r="P637" i="26" s="1"/>
  <c r="M637" i="26" s="1"/>
  <c r="N637" i="26"/>
  <c r="L637" i="26"/>
  <c r="J637" i="26"/>
  <c r="I637" i="26"/>
  <c r="C637" i="26"/>
  <c r="O636" i="26"/>
  <c r="P636" i="26" s="1"/>
  <c r="M636" i="26" s="1"/>
  <c r="N636" i="26"/>
  <c r="L636" i="26"/>
  <c r="J636" i="26"/>
  <c r="I636" i="26"/>
  <c r="C636" i="26"/>
  <c r="O635" i="26"/>
  <c r="P635" i="26" s="1"/>
  <c r="M635" i="26" s="1"/>
  <c r="N635" i="26"/>
  <c r="L635" i="26"/>
  <c r="J635" i="26"/>
  <c r="I635" i="26"/>
  <c r="C635" i="26"/>
  <c r="O634" i="26"/>
  <c r="P634" i="26" s="1"/>
  <c r="M634" i="26" s="1"/>
  <c r="N634" i="26"/>
  <c r="L634" i="26"/>
  <c r="J634" i="26"/>
  <c r="I634" i="26"/>
  <c r="C634" i="26"/>
  <c r="O633" i="26"/>
  <c r="P633" i="26" s="1"/>
  <c r="M633" i="26" s="1"/>
  <c r="N633" i="26"/>
  <c r="L633" i="26"/>
  <c r="J633" i="26"/>
  <c r="I633" i="26"/>
  <c r="C633" i="26"/>
  <c r="O632" i="26"/>
  <c r="P632" i="26" s="1"/>
  <c r="M632" i="26" s="1"/>
  <c r="N632" i="26"/>
  <c r="L632" i="26"/>
  <c r="J632" i="26"/>
  <c r="I632" i="26"/>
  <c r="C632" i="26"/>
  <c r="O631" i="26"/>
  <c r="P631" i="26" s="1"/>
  <c r="M631" i="26" s="1"/>
  <c r="N631" i="26"/>
  <c r="L631" i="26"/>
  <c r="J631" i="26"/>
  <c r="I631" i="26"/>
  <c r="C631" i="26"/>
  <c r="O630" i="26"/>
  <c r="P630" i="26" s="1"/>
  <c r="M630" i="26" s="1"/>
  <c r="N630" i="26"/>
  <c r="L630" i="26"/>
  <c r="J630" i="26"/>
  <c r="I630" i="26"/>
  <c r="C630" i="26"/>
  <c r="O629" i="26"/>
  <c r="P629" i="26" s="1"/>
  <c r="M629" i="26" s="1"/>
  <c r="N629" i="26"/>
  <c r="L629" i="26"/>
  <c r="J629" i="26"/>
  <c r="I629" i="26"/>
  <c r="C629" i="26"/>
  <c r="O628" i="26"/>
  <c r="P628" i="26" s="1"/>
  <c r="M628" i="26" s="1"/>
  <c r="N628" i="26"/>
  <c r="L628" i="26"/>
  <c r="J628" i="26"/>
  <c r="I628" i="26"/>
  <c r="C628" i="26"/>
  <c r="O627" i="26"/>
  <c r="P627" i="26" s="1"/>
  <c r="M627" i="26" s="1"/>
  <c r="N627" i="26"/>
  <c r="L627" i="26"/>
  <c r="J627" i="26"/>
  <c r="I627" i="26"/>
  <c r="C627" i="26"/>
  <c r="O626" i="26"/>
  <c r="P626" i="26" s="1"/>
  <c r="M626" i="26" s="1"/>
  <c r="N626" i="26"/>
  <c r="L626" i="26"/>
  <c r="J626" i="26"/>
  <c r="I626" i="26"/>
  <c r="C626" i="26"/>
  <c r="O625" i="26"/>
  <c r="P625" i="26" s="1"/>
  <c r="M625" i="26" s="1"/>
  <c r="N625" i="26"/>
  <c r="L625" i="26"/>
  <c r="J625" i="26"/>
  <c r="I625" i="26"/>
  <c r="C625" i="26"/>
  <c r="O624" i="26"/>
  <c r="P624" i="26" s="1"/>
  <c r="M624" i="26" s="1"/>
  <c r="N624" i="26"/>
  <c r="L624" i="26"/>
  <c r="J624" i="26"/>
  <c r="I624" i="26"/>
  <c r="C624" i="26"/>
  <c r="O623" i="26"/>
  <c r="P623" i="26" s="1"/>
  <c r="M623" i="26" s="1"/>
  <c r="N623" i="26"/>
  <c r="L623" i="26"/>
  <c r="J623" i="26"/>
  <c r="I623" i="26"/>
  <c r="C623" i="26"/>
  <c r="O622" i="26"/>
  <c r="P622" i="26" s="1"/>
  <c r="M622" i="26" s="1"/>
  <c r="N622" i="26"/>
  <c r="L622" i="26"/>
  <c r="J622" i="26"/>
  <c r="I622" i="26"/>
  <c r="C622" i="26"/>
  <c r="O621" i="26"/>
  <c r="P621" i="26" s="1"/>
  <c r="M621" i="26" s="1"/>
  <c r="N621" i="26"/>
  <c r="L621" i="26"/>
  <c r="J621" i="26"/>
  <c r="I621" i="26"/>
  <c r="C621" i="26"/>
  <c r="O620" i="26"/>
  <c r="P620" i="26" s="1"/>
  <c r="M620" i="26" s="1"/>
  <c r="N620" i="26"/>
  <c r="L620" i="26"/>
  <c r="J620" i="26"/>
  <c r="I620" i="26"/>
  <c r="C620" i="26"/>
  <c r="O619" i="26"/>
  <c r="P619" i="26" s="1"/>
  <c r="M619" i="26" s="1"/>
  <c r="N619" i="26"/>
  <c r="L619" i="26"/>
  <c r="J619" i="26"/>
  <c r="I619" i="26"/>
  <c r="C619" i="26"/>
  <c r="O618" i="26"/>
  <c r="P618" i="26" s="1"/>
  <c r="M618" i="26" s="1"/>
  <c r="N618" i="26"/>
  <c r="L618" i="26"/>
  <c r="J618" i="26"/>
  <c r="I618" i="26"/>
  <c r="C618" i="26"/>
  <c r="O617" i="26"/>
  <c r="P617" i="26" s="1"/>
  <c r="M617" i="26" s="1"/>
  <c r="N617" i="26"/>
  <c r="L617" i="26"/>
  <c r="J617" i="26"/>
  <c r="I617" i="26"/>
  <c r="C617" i="26"/>
  <c r="O616" i="26"/>
  <c r="P616" i="26" s="1"/>
  <c r="M616" i="26" s="1"/>
  <c r="N616" i="26"/>
  <c r="L616" i="26"/>
  <c r="J616" i="26"/>
  <c r="I616" i="26"/>
  <c r="C616" i="26"/>
  <c r="O615" i="26"/>
  <c r="P615" i="26" s="1"/>
  <c r="M615" i="26" s="1"/>
  <c r="N615" i="26"/>
  <c r="L615" i="26"/>
  <c r="J615" i="26"/>
  <c r="I615" i="26"/>
  <c r="C615" i="26"/>
  <c r="O614" i="26"/>
  <c r="P614" i="26" s="1"/>
  <c r="M614" i="26" s="1"/>
  <c r="N614" i="26"/>
  <c r="L614" i="26"/>
  <c r="J614" i="26"/>
  <c r="I614" i="26"/>
  <c r="C614" i="26"/>
  <c r="O613" i="26"/>
  <c r="P613" i="26" s="1"/>
  <c r="M613" i="26" s="1"/>
  <c r="N613" i="26"/>
  <c r="L613" i="26"/>
  <c r="J613" i="26"/>
  <c r="I613" i="26"/>
  <c r="C613" i="26"/>
  <c r="O612" i="26"/>
  <c r="P612" i="26" s="1"/>
  <c r="M612" i="26" s="1"/>
  <c r="N612" i="26"/>
  <c r="L612" i="26"/>
  <c r="J612" i="26"/>
  <c r="I612" i="26"/>
  <c r="C612" i="26"/>
  <c r="O611" i="26"/>
  <c r="P611" i="26" s="1"/>
  <c r="M611" i="26" s="1"/>
  <c r="N611" i="26"/>
  <c r="L611" i="26"/>
  <c r="J611" i="26"/>
  <c r="I611" i="26"/>
  <c r="C611" i="26"/>
  <c r="O610" i="26"/>
  <c r="P610" i="26" s="1"/>
  <c r="M610" i="26" s="1"/>
  <c r="N610" i="26"/>
  <c r="L610" i="26"/>
  <c r="J610" i="26"/>
  <c r="I610" i="26"/>
  <c r="C610" i="26"/>
  <c r="O609" i="26"/>
  <c r="P609" i="26" s="1"/>
  <c r="M609" i="26" s="1"/>
  <c r="N609" i="26"/>
  <c r="L609" i="26"/>
  <c r="J609" i="26"/>
  <c r="I609" i="26"/>
  <c r="C609" i="26"/>
  <c r="O608" i="26"/>
  <c r="P608" i="26" s="1"/>
  <c r="M608" i="26" s="1"/>
  <c r="N608" i="26"/>
  <c r="L608" i="26"/>
  <c r="J608" i="26"/>
  <c r="I608" i="26"/>
  <c r="C608" i="26"/>
  <c r="O607" i="26"/>
  <c r="P607" i="26" s="1"/>
  <c r="M607" i="26" s="1"/>
  <c r="N607" i="26"/>
  <c r="L607" i="26"/>
  <c r="J607" i="26"/>
  <c r="I607" i="26"/>
  <c r="C607" i="26"/>
  <c r="O606" i="26"/>
  <c r="P606" i="26" s="1"/>
  <c r="M606" i="26" s="1"/>
  <c r="N606" i="26"/>
  <c r="L606" i="26"/>
  <c r="J606" i="26"/>
  <c r="I606" i="26"/>
  <c r="C606" i="26"/>
  <c r="O605" i="26"/>
  <c r="P605" i="26" s="1"/>
  <c r="M605" i="26" s="1"/>
  <c r="N605" i="26"/>
  <c r="L605" i="26"/>
  <c r="J605" i="26"/>
  <c r="I605" i="26"/>
  <c r="C605" i="26"/>
  <c r="O604" i="26"/>
  <c r="P604" i="26" s="1"/>
  <c r="M604" i="26" s="1"/>
  <c r="N604" i="26"/>
  <c r="L604" i="26"/>
  <c r="J604" i="26"/>
  <c r="I604" i="26"/>
  <c r="C604" i="26"/>
  <c r="O603" i="26"/>
  <c r="P603" i="26" s="1"/>
  <c r="M603" i="26" s="1"/>
  <c r="N603" i="26"/>
  <c r="L603" i="26"/>
  <c r="J603" i="26"/>
  <c r="I603" i="26"/>
  <c r="C603" i="26"/>
  <c r="O602" i="26"/>
  <c r="P602" i="26" s="1"/>
  <c r="M602" i="26" s="1"/>
  <c r="N602" i="26"/>
  <c r="L602" i="26"/>
  <c r="J602" i="26"/>
  <c r="I602" i="26"/>
  <c r="C602" i="26"/>
  <c r="O601" i="26"/>
  <c r="P601" i="26" s="1"/>
  <c r="M601" i="26" s="1"/>
  <c r="N601" i="26"/>
  <c r="L601" i="26"/>
  <c r="J601" i="26"/>
  <c r="I601" i="26"/>
  <c r="C601" i="26"/>
  <c r="O600" i="26"/>
  <c r="P600" i="26" s="1"/>
  <c r="M600" i="26" s="1"/>
  <c r="N600" i="26"/>
  <c r="L600" i="26"/>
  <c r="J600" i="26"/>
  <c r="I600" i="26"/>
  <c r="C600" i="26"/>
  <c r="O599" i="26"/>
  <c r="P599" i="26" s="1"/>
  <c r="M599" i="26" s="1"/>
  <c r="N599" i="26"/>
  <c r="L599" i="26"/>
  <c r="J599" i="26"/>
  <c r="I599" i="26"/>
  <c r="C599" i="26"/>
  <c r="O598" i="26"/>
  <c r="P598" i="26" s="1"/>
  <c r="M598" i="26" s="1"/>
  <c r="N598" i="26"/>
  <c r="L598" i="26"/>
  <c r="J598" i="26"/>
  <c r="I598" i="26"/>
  <c r="C598" i="26"/>
  <c r="O597" i="26"/>
  <c r="P597" i="26" s="1"/>
  <c r="M597" i="26" s="1"/>
  <c r="N597" i="26"/>
  <c r="L597" i="26"/>
  <c r="J597" i="26"/>
  <c r="I597" i="26"/>
  <c r="C597" i="26"/>
  <c r="O596" i="26"/>
  <c r="P596" i="26" s="1"/>
  <c r="M596" i="26" s="1"/>
  <c r="N596" i="26"/>
  <c r="L596" i="26"/>
  <c r="J596" i="26"/>
  <c r="I596" i="26"/>
  <c r="C596" i="26"/>
  <c r="O595" i="26"/>
  <c r="P595" i="26" s="1"/>
  <c r="M595" i="26" s="1"/>
  <c r="N595" i="26"/>
  <c r="L595" i="26"/>
  <c r="J595" i="26"/>
  <c r="I595" i="26"/>
  <c r="C595" i="26"/>
  <c r="O594" i="26"/>
  <c r="P594" i="26" s="1"/>
  <c r="M594" i="26" s="1"/>
  <c r="N594" i="26"/>
  <c r="L594" i="26"/>
  <c r="I594" i="26"/>
  <c r="J594" i="26" s="1"/>
  <c r="C594" i="26"/>
  <c r="O593" i="26"/>
  <c r="P593" i="26" s="1"/>
  <c r="M593" i="26" s="1"/>
  <c r="N593" i="26"/>
  <c r="L593" i="26"/>
  <c r="I593" i="26"/>
  <c r="J593" i="26" s="1"/>
  <c r="C593" i="26"/>
  <c r="O592" i="26"/>
  <c r="P592" i="26" s="1"/>
  <c r="M592" i="26" s="1"/>
  <c r="N592" i="26"/>
  <c r="L592" i="26"/>
  <c r="I592" i="26"/>
  <c r="J592" i="26" s="1"/>
  <c r="C592" i="26"/>
  <c r="O591" i="26"/>
  <c r="P591" i="26" s="1"/>
  <c r="M591" i="26" s="1"/>
  <c r="N591" i="26"/>
  <c r="L591" i="26"/>
  <c r="I591" i="26"/>
  <c r="J591" i="26" s="1"/>
  <c r="C591" i="26"/>
  <c r="O590" i="26"/>
  <c r="P590" i="26" s="1"/>
  <c r="M590" i="26" s="1"/>
  <c r="N590" i="26"/>
  <c r="L590" i="26"/>
  <c r="I590" i="26"/>
  <c r="J590" i="26" s="1"/>
  <c r="C590" i="26"/>
  <c r="O589" i="26"/>
  <c r="P589" i="26" s="1"/>
  <c r="M589" i="26" s="1"/>
  <c r="N589" i="26"/>
  <c r="L589" i="26"/>
  <c r="I589" i="26"/>
  <c r="J589" i="26" s="1"/>
  <c r="C589" i="26"/>
  <c r="O588" i="26"/>
  <c r="P588" i="26" s="1"/>
  <c r="M588" i="26" s="1"/>
  <c r="N588" i="26"/>
  <c r="L588" i="26"/>
  <c r="I588" i="26"/>
  <c r="J588" i="26" s="1"/>
  <c r="C588" i="26"/>
  <c r="O587" i="26"/>
  <c r="P587" i="26" s="1"/>
  <c r="M587" i="26" s="1"/>
  <c r="N587" i="26"/>
  <c r="L587" i="26"/>
  <c r="I587" i="26"/>
  <c r="J587" i="26" s="1"/>
  <c r="C587" i="26"/>
  <c r="O586" i="26"/>
  <c r="P586" i="26" s="1"/>
  <c r="M586" i="26" s="1"/>
  <c r="N586" i="26"/>
  <c r="L586" i="26"/>
  <c r="I586" i="26"/>
  <c r="J586" i="26" s="1"/>
  <c r="C586" i="26"/>
  <c r="O585" i="26"/>
  <c r="P585" i="26" s="1"/>
  <c r="M585" i="26" s="1"/>
  <c r="N585" i="26"/>
  <c r="L585" i="26"/>
  <c r="I585" i="26"/>
  <c r="J585" i="26" s="1"/>
  <c r="C585" i="26"/>
  <c r="O584" i="26"/>
  <c r="P584" i="26" s="1"/>
  <c r="M584" i="26" s="1"/>
  <c r="N584" i="26"/>
  <c r="L584" i="26"/>
  <c r="I584" i="26"/>
  <c r="J584" i="26" s="1"/>
  <c r="C584" i="26"/>
  <c r="O583" i="26"/>
  <c r="P583" i="26" s="1"/>
  <c r="M583" i="26" s="1"/>
  <c r="N583" i="26"/>
  <c r="L583" i="26"/>
  <c r="I583" i="26"/>
  <c r="J583" i="26" s="1"/>
  <c r="C583" i="26"/>
  <c r="O582" i="26"/>
  <c r="P582" i="26" s="1"/>
  <c r="M582" i="26" s="1"/>
  <c r="N582" i="26"/>
  <c r="L582" i="26"/>
  <c r="I582" i="26"/>
  <c r="J582" i="26" s="1"/>
  <c r="C582" i="26"/>
  <c r="O581" i="26"/>
  <c r="P581" i="26" s="1"/>
  <c r="M581" i="26" s="1"/>
  <c r="N581" i="26"/>
  <c r="L581" i="26"/>
  <c r="I581" i="26"/>
  <c r="J581" i="26" s="1"/>
  <c r="C581" i="26"/>
  <c r="O580" i="26"/>
  <c r="P580" i="26" s="1"/>
  <c r="M580" i="26" s="1"/>
  <c r="N580" i="26"/>
  <c r="L580" i="26"/>
  <c r="I580" i="26"/>
  <c r="J580" i="26" s="1"/>
  <c r="C580" i="26"/>
  <c r="O579" i="26"/>
  <c r="P579" i="26" s="1"/>
  <c r="M579" i="26" s="1"/>
  <c r="N579" i="26"/>
  <c r="L579" i="26"/>
  <c r="I579" i="26"/>
  <c r="J579" i="26" s="1"/>
  <c r="C579" i="26"/>
  <c r="O578" i="26"/>
  <c r="P578" i="26" s="1"/>
  <c r="M578" i="26" s="1"/>
  <c r="N578" i="26"/>
  <c r="L578" i="26"/>
  <c r="G578" i="26"/>
  <c r="I578" i="26" s="1"/>
  <c r="J578" i="26" s="1"/>
  <c r="C578" i="26"/>
  <c r="O577" i="26"/>
  <c r="N577" i="26"/>
  <c r="L577" i="26"/>
  <c r="I577" i="26"/>
  <c r="J577" i="26" s="1"/>
  <c r="C577" i="26"/>
  <c r="P577" i="26" s="1"/>
  <c r="M577" i="26" s="1"/>
  <c r="O576" i="26"/>
  <c r="N576" i="26"/>
  <c r="L576" i="26"/>
  <c r="I576" i="26"/>
  <c r="J576" i="26" s="1"/>
  <c r="C576" i="26"/>
  <c r="P576" i="26" s="1"/>
  <c r="M576" i="26" s="1"/>
  <c r="O575" i="26"/>
  <c r="N575" i="26"/>
  <c r="L575" i="26"/>
  <c r="I575" i="26"/>
  <c r="J575" i="26" s="1"/>
  <c r="C575" i="26"/>
  <c r="P575" i="26" s="1"/>
  <c r="M575" i="26" s="1"/>
  <c r="O574" i="26"/>
  <c r="N574" i="26"/>
  <c r="L574" i="26"/>
  <c r="I574" i="26"/>
  <c r="J574" i="26" s="1"/>
  <c r="C574" i="26"/>
  <c r="P574" i="26" s="1"/>
  <c r="M574" i="26" s="1"/>
  <c r="O573" i="26"/>
  <c r="N573" i="26"/>
  <c r="L573" i="26"/>
  <c r="I573" i="26"/>
  <c r="J573" i="26" s="1"/>
  <c r="C573" i="26"/>
  <c r="P573" i="26" s="1"/>
  <c r="M573" i="26" s="1"/>
  <c r="O572" i="26"/>
  <c r="N572" i="26"/>
  <c r="L572" i="26"/>
  <c r="I572" i="26"/>
  <c r="J572" i="26" s="1"/>
  <c r="C572" i="26"/>
  <c r="P572" i="26" s="1"/>
  <c r="M572" i="26" s="1"/>
  <c r="O571" i="26"/>
  <c r="N571" i="26"/>
  <c r="L571" i="26"/>
  <c r="I571" i="26"/>
  <c r="J571" i="26" s="1"/>
  <c r="C571" i="26"/>
  <c r="P571" i="26" s="1"/>
  <c r="M571" i="26" s="1"/>
  <c r="O570" i="26"/>
  <c r="N570" i="26"/>
  <c r="L570" i="26"/>
  <c r="I570" i="26"/>
  <c r="J570" i="26" s="1"/>
  <c r="C570" i="26"/>
  <c r="P570" i="26" s="1"/>
  <c r="M570" i="26" s="1"/>
  <c r="O569" i="26"/>
  <c r="N569" i="26"/>
  <c r="L569" i="26"/>
  <c r="I569" i="26"/>
  <c r="J569" i="26" s="1"/>
  <c r="C569" i="26"/>
  <c r="P569" i="26" s="1"/>
  <c r="M569" i="26" s="1"/>
  <c r="O568" i="26"/>
  <c r="N568" i="26"/>
  <c r="L568" i="26"/>
  <c r="I568" i="26"/>
  <c r="J568" i="26" s="1"/>
  <c r="C568" i="26"/>
  <c r="P568" i="26" s="1"/>
  <c r="M568" i="26" s="1"/>
  <c r="N567" i="26"/>
  <c r="O567" i="26" s="1"/>
  <c r="P567" i="26" s="1"/>
  <c r="M567" i="26" s="1"/>
  <c r="L567" i="26"/>
  <c r="I567" i="26"/>
  <c r="J567" i="26" s="1"/>
  <c r="C567" i="26"/>
  <c r="O566" i="26"/>
  <c r="N566" i="26"/>
  <c r="L566" i="26"/>
  <c r="I566" i="26"/>
  <c r="J566" i="26" s="1"/>
  <c r="C566" i="26"/>
  <c r="P566" i="26" s="1"/>
  <c r="M566" i="26" s="1"/>
  <c r="N565" i="26"/>
  <c r="O565" i="26" s="1"/>
  <c r="P565" i="26" s="1"/>
  <c r="M565" i="26" s="1"/>
  <c r="L565" i="26"/>
  <c r="I565" i="26"/>
  <c r="J565" i="26" s="1"/>
  <c r="C565" i="26"/>
  <c r="N564" i="26"/>
  <c r="O564" i="26" s="1"/>
  <c r="P564" i="26" s="1"/>
  <c r="M564" i="26" s="1"/>
  <c r="L564" i="26"/>
  <c r="I564" i="26"/>
  <c r="J564" i="26" s="1"/>
  <c r="C564" i="26"/>
  <c r="I563" i="26"/>
  <c r="J563" i="26" s="1"/>
  <c r="H563" i="26"/>
  <c r="N563" i="26" s="1"/>
  <c r="O563" i="26" s="1"/>
  <c r="P563" i="26" s="1"/>
  <c r="M563" i="26" s="1"/>
  <c r="C563" i="26"/>
  <c r="N562" i="26"/>
  <c r="O562" i="26" s="1"/>
  <c r="P562" i="26" s="1"/>
  <c r="M562" i="26" s="1"/>
  <c r="L562" i="26"/>
  <c r="J562" i="26"/>
  <c r="I562" i="26"/>
  <c r="C562" i="26"/>
  <c r="N561" i="26"/>
  <c r="O561" i="26" s="1"/>
  <c r="P561" i="26" s="1"/>
  <c r="M561" i="26" s="1"/>
  <c r="L561" i="26"/>
  <c r="J561" i="26"/>
  <c r="I561" i="26"/>
  <c r="G561" i="26"/>
  <c r="C561" i="26"/>
  <c r="O560" i="26"/>
  <c r="P560" i="26" s="1"/>
  <c r="M560" i="26" s="1"/>
  <c r="N560" i="26"/>
  <c r="L560" i="26"/>
  <c r="J560" i="26"/>
  <c r="I560" i="26"/>
  <c r="G560" i="26"/>
  <c r="C560" i="26"/>
  <c r="N559" i="26"/>
  <c r="O559" i="26" s="1"/>
  <c r="P559" i="26" s="1"/>
  <c r="M559" i="26" s="1"/>
  <c r="L559" i="26"/>
  <c r="J559" i="26"/>
  <c r="I559" i="26"/>
  <c r="G559" i="26"/>
  <c r="C559" i="26"/>
  <c r="N558" i="26"/>
  <c r="O558" i="26" s="1"/>
  <c r="P558" i="26" s="1"/>
  <c r="M558" i="26" s="1"/>
  <c r="L558" i="26"/>
  <c r="G558" i="26"/>
  <c r="I558" i="26" s="1"/>
  <c r="J558" i="26" s="1"/>
  <c r="C558" i="26"/>
  <c r="O557" i="26"/>
  <c r="P557" i="26" s="1"/>
  <c r="M557" i="26" s="1"/>
  <c r="N557" i="26"/>
  <c r="L557" i="26"/>
  <c r="I557" i="26"/>
  <c r="J557" i="26" s="1"/>
  <c r="G557" i="26"/>
  <c r="C557" i="26"/>
  <c r="O556" i="26"/>
  <c r="N556" i="26"/>
  <c r="L556" i="26"/>
  <c r="G556" i="26"/>
  <c r="I556" i="26" s="1"/>
  <c r="J556" i="26" s="1"/>
  <c r="C556" i="26"/>
  <c r="P556" i="26" s="1"/>
  <c r="M556" i="26" s="1"/>
  <c r="O555" i="26"/>
  <c r="N555" i="26"/>
  <c r="L555" i="26"/>
  <c r="G555" i="26"/>
  <c r="I555" i="26" s="1"/>
  <c r="J555" i="26" s="1"/>
  <c r="C555" i="26"/>
  <c r="P555" i="26" s="1"/>
  <c r="M555" i="26" s="1"/>
  <c r="O554" i="26"/>
  <c r="N554" i="26"/>
  <c r="L554" i="26"/>
  <c r="I554" i="26"/>
  <c r="J554" i="26" s="1"/>
  <c r="C554" i="26"/>
  <c r="P554" i="26" s="1"/>
  <c r="M554" i="26" s="1"/>
  <c r="O553" i="26"/>
  <c r="N553" i="26"/>
  <c r="L553" i="26"/>
  <c r="I553" i="26"/>
  <c r="J553" i="26" s="1"/>
  <c r="C553" i="26"/>
  <c r="P553" i="26" s="1"/>
  <c r="M553" i="26" s="1"/>
  <c r="O552" i="26"/>
  <c r="N552" i="26"/>
  <c r="L552" i="26"/>
  <c r="I552" i="26"/>
  <c r="J552" i="26" s="1"/>
  <c r="C552" i="26"/>
  <c r="P552" i="26" s="1"/>
  <c r="M552" i="26" s="1"/>
  <c r="O551" i="26"/>
  <c r="N551" i="26"/>
  <c r="L551" i="26"/>
  <c r="I551" i="26"/>
  <c r="J551" i="26" s="1"/>
  <c r="C551" i="26"/>
  <c r="P551" i="26" s="1"/>
  <c r="M551" i="26" s="1"/>
  <c r="O550" i="26"/>
  <c r="N550" i="26"/>
  <c r="L550" i="26"/>
  <c r="I550" i="26"/>
  <c r="J550" i="26" s="1"/>
  <c r="C550" i="26"/>
  <c r="P550" i="26" s="1"/>
  <c r="M550" i="26" s="1"/>
  <c r="O549" i="26"/>
  <c r="N549" i="26"/>
  <c r="L549" i="26"/>
  <c r="I549" i="26"/>
  <c r="J549" i="26" s="1"/>
  <c r="C549" i="26"/>
  <c r="P549" i="26" s="1"/>
  <c r="M549" i="26" s="1"/>
  <c r="O548" i="26"/>
  <c r="N548" i="26"/>
  <c r="L548" i="26"/>
  <c r="I548" i="26"/>
  <c r="J548" i="26" s="1"/>
  <c r="C548" i="26"/>
  <c r="P548" i="26" s="1"/>
  <c r="M548" i="26" s="1"/>
  <c r="O547" i="26"/>
  <c r="N547" i="26"/>
  <c r="L547" i="26"/>
  <c r="I547" i="26"/>
  <c r="J547" i="26" s="1"/>
  <c r="C547" i="26"/>
  <c r="P547" i="26" s="1"/>
  <c r="M547" i="26" s="1"/>
  <c r="O546" i="26"/>
  <c r="N546" i="26"/>
  <c r="L546" i="26"/>
  <c r="I546" i="26"/>
  <c r="J546" i="26" s="1"/>
  <c r="C546" i="26"/>
  <c r="P546" i="26" s="1"/>
  <c r="M546" i="26" s="1"/>
  <c r="O545" i="26"/>
  <c r="N545" i="26"/>
  <c r="L545" i="26"/>
  <c r="I545" i="26"/>
  <c r="J545" i="26" s="1"/>
  <c r="C545" i="26"/>
  <c r="P545" i="26" s="1"/>
  <c r="M545" i="26" s="1"/>
  <c r="O544" i="26"/>
  <c r="N544" i="26"/>
  <c r="L544" i="26"/>
  <c r="I544" i="26"/>
  <c r="J544" i="26" s="1"/>
  <c r="C544" i="26"/>
  <c r="P544" i="26" s="1"/>
  <c r="M544" i="26" s="1"/>
  <c r="O543" i="26"/>
  <c r="N543" i="26"/>
  <c r="L543" i="26"/>
  <c r="I543" i="26"/>
  <c r="J543" i="26" s="1"/>
  <c r="C543" i="26"/>
  <c r="P543" i="26" s="1"/>
  <c r="M543" i="26" s="1"/>
  <c r="O542" i="26"/>
  <c r="N542" i="26"/>
  <c r="L542" i="26"/>
  <c r="I542" i="26"/>
  <c r="J542" i="26" s="1"/>
  <c r="C542" i="26"/>
  <c r="P542" i="26" s="1"/>
  <c r="M542" i="26" s="1"/>
  <c r="O541" i="26"/>
  <c r="N541" i="26"/>
  <c r="L541" i="26"/>
  <c r="I541" i="26"/>
  <c r="J541" i="26" s="1"/>
  <c r="C541" i="26"/>
  <c r="P541" i="26" s="1"/>
  <c r="M541" i="26" s="1"/>
  <c r="O540" i="26"/>
  <c r="N540" i="26"/>
  <c r="L540" i="26"/>
  <c r="I540" i="26"/>
  <c r="J540" i="26" s="1"/>
  <c r="C540" i="26"/>
  <c r="P540" i="26" s="1"/>
  <c r="M540" i="26" s="1"/>
  <c r="O539" i="26"/>
  <c r="N539" i="26"/>
  <c r="L539" i="26"/>
  <c r="I539" i="26"/>
  <c r="J539" i="26" s="1"/>
  <c r="C539" i="26"/>
  <c r="P539" i="26" s="1"/>
  <c r="M539" i="26" s="1"/>
  <c r="O538" i="26"/>
  <c r="N538" i="26"/>
  <c r="L538" i="26"/>
  <c r="I538" i="26"/>
  <c r="J538" i="26" s="1"/>
  <c r="C538" i="26"/>
  <c r="P538" i="26" s="1"/>
  <c r="M538" i="26" s="1"/>
  <c r="O537" i="26"/>
  <c r="N537" i="26"/>
  <c r="L537" i="26"/>
  <c r="I537" i="26"/>
  <c r="J537" i="26" s="1"/>
  <c r="C537" i="26"/>
  <c r="P537" i="26" s="1"/>
  <c r="M537" i="26" s="1"/>
  <c r="O536" i="26"/>
  <c r="N536" i="26"/>
  <c r="L536" i="26"/>
  <c r="I536" i="26"/>
  <c r="J536" i="26" s="1"/>
  <c r="C536" i="26"/>
  <c r="P536" i="26" s="1"/>
  <c r="M536" i="26" s="1"/>
  <c r="O535" i="26"/>
  <c r="N535" i="26"/>
  <c r="L535" i="26"/>
  <c r="I535" i="26"/>
  <c r="J535" i="26" s="1"/>
  <c r="C535" i="26"/>
  <c r="P535" i="26" s="1"/>
  <c r="M535" i="26" s="1"/>
  <c r="O534" i="26"/>
  <c r="N534" i="26"/>
  <c r="L534" i="26"/>
  <c r="I534" i="26"/>
  <c r="J534" i="26" s="1"/>
  <c r="C534" i="26"/>
  <c r="P534" i="26" s="1"/>
  <c r="M534" i="26" s="1"/>
  <c r="O533" i="26"/>
  <c r="N533" i="26"/>
  <c r="L533" i="26"/>
  <c r="I533" i="26"/>
  <c r="J533" i="26" s="1"/>
  <c r="C533" i="26"/>
  <c r="P533" i="26" s="1"/>
  <c r="M533" i="26" s="1"/>
  <c r="O532" i="26"/>
  <c r="N532" i="26"/>
  <c r="L532" i="26"/>
  <c r="I532" i="26"/>
  <c r="J532" i="26" s="1"/>
  <c r="C532" i="26"/>
  <c r="P532" i="26" s="1"/>
  <c r="M532" i="26" s="1"/>
  <c r="O531" i="26"/>
  <c r="N531" i="26"/>
  <c r="L531" i="26"/>
  <c r="I531" i="26"/>
  <c r="J531" i="26" s="1"/>
  <c r="C531" i="26"/>
  <c r="P531" i="26" s="1"/>
  <c r="M531" i="26" s="1"/>
  <c r="N530" i="26"/>
  <c r="O530" i="26" s="1"/>
  <c r="P530" i="26" s="1"/>
  <c r="M530" i="26" s="1"/>
  <c r="L530" i="26"/>
  <c r="I530" i="26"/>
  <c r="J530" i="26" s="1"/>
  <c r="C530" i="26"/>
  <c r="N529" i="26"/>
  <c r="O529" i="26" s="1"/>
  <c r="P529" i="26" s="1"/>
  <c r="M529" i="26" s="1"/>
  <c r="L529" i="26"/>
  <c r="I529" i="26"/>
  <c r="J529" i="26" s="1"/>
  <c r="C529" i="26"/>
  <c r="N528" i="26"/>
  <c r="O528" i="26" s="1"/>
  <c r="P528" i="26" s="1"/>
  <c r="M528" i="26" s="1"/>
  <c r="L528" i="26"/>
  <c r="I528" i="26"/>
  <c r="J528" i="26" s="1"/>
  <c r="C528" i="26"/>
  <c r="N527" i="26"/>
  <c r="O527" i="26" s="1"/>
  <c r="P527" i="26" s="1"/>
  <c r="M527" i="26" s="1"/>
  <c r="L527" i="26"/>
  <c r="I527" i="26"/>
  <c r="J527" i="26" s="1"/>
  <c r="C527" i="26"/>
  <c r="N526" i="26"/>
  <c r="O526" i="26" s="1"/>
  <c r="P526" i="26" s="1"/>
  <c r="M526" i="26" s="1"/>
  <c r="L526" i="26"/>
  <c r="I526" i="26"/>
  <c r="J526" i="26" s="1"/>
  <c r="C526" i="26"/>
  <c r="N525" i="26"/>
  <c r="O525" i="26" s="1"/>
  <c r="P525" i="26" s="1"/>
  <c r="M525" i="26" s="1"/>
  <c r="L525" i="26"/>
  <c r="I525" i="26"/>
  <c r="J525" i="26" s="1"/>
  <c r="C525" i="26"/>
  <c r="N524" i="26"/>
  <c r="O524" i="26" s="1"/>
  <c r="P524" i="26" s="1"/>
  <c r="M524" i="26" s="1"/>
  <c r="L524" i="26"/>
  <c r="I524" i="26"/>
  <c r="J524" i="26" s="1"/>
  <c r="C524" i="26"/>
  <c r="N523" i="26"/>
  <c r="O523" i="26" s="1"/>
  <c r="P523" i="26" s="1"/>
  <c r="L523" i="26"/>
  <c r="J523" i="26"/>
  <c r="I523" i="26"/>
  <c r="C523" i="26"/>
  <c r="O522" i="26"/>
  <c r="N522" i="26"/>
  <c r="L522" i="26"/>
  <c r="J522" i="26"/>
  <c r="I522" i="26"/>
  <c r="C522" i="26"/>
  <c r="P522" i="26" s="1"/>
  <c r="M522" i="26" s="1"/>
  <c r="O521" i="26"/>
  <c r="N521" i="26"/>
  <c r="L521" i="26"/>
  <c r="J521" i="26"/>
  <c r="I521" i="26"/>
  <c r="C521" i="26"/>
  <c r="P521" i="26" s="1"/>
  <c r="M521" i="26" s="1"/>
  <c r="O520" i="26"/>
  <c r="N520" i="26"/>
  <c r="L520" i="26"/>
  <c r="J520" i="26"/>
  <c r="I520" i="26"/>
  <c r="C520" i="26"/>
  <c r="P520" i="26" s="1"/>
  <c r="M520" i="26" s="1"/>
  <c r="O519" i="26"/>
  <c r="N519" i="26"/>
  <c r="L519" i="26"/>
  <c r="J519" i="26"/>
  <c r="I519" i="26"/>
  <c r="C519" i="26"/>
  <c r="P519" i="26" s="1"/>
  <c r="M519" i="26" s="1"/>
  <c r="O518" i="26"/>
  <c r="N518" i="26"/>
  <c r="L518" i="26"/>
  <c r="J518" i="26"/>
  <c r="I518" i="26"/>
  <c r="C518" i="26"/>
  <c r="P518" i="26" s="1"/>
  <c r="M518" i="26" s="1"/>
  <c r="O517" i="26"/>
  <c r="N517" i="26"/>
  <c r="L517" i="26"/>
  <c r="J517" i="26"/>
  <c r="I517" i="26"/>
  <c r="C517" i="26"/>
  <c r="P517" i="26" s="1"/>
  <c r="M517" i="26" s="1"/>
  <c r="O516" i="26"/>
  <c r="N516" i="26"/>
  <c r="L516" i="26"/>
  <c r="J516" i="26"/>
  <c r="I516" i="26"/>
  <c r="C516" i="26"/>
  <c r="P516" i="26" s="1"/>
  <c r="M516" i="26" s="1"/>
  <c r="O515" i="26"/>
  <c r="N515" i="26"/>
  <c r="L515" i="26"/>
  <c r="J515" i="26"/>
  <c r="I515" i="26"/>
  <c r="C515" i="26"/>
  <c r="P515" i="26" s="1"/>
  <c r="M515" i="26" s="1"/>
  <c r="O514" i="26"/>
  <c r="N514" i="26"/>
  <c r="L514" i="26"/>
  <c r="J514" i="26"/>
  <c r="I514" i="26"/>
  <c r="C514" i="26"/>
  <c r="P514" i="26" s="1"/>
  <c r="M514" i="26" s="1"/>
  <c r="O513" i="26"/>
  <c r="N513" i="26"/>
  <c r="L513" i="26"/>
  <c r="J513" i="26"/>
  <c r="I513" i="26"/>
  <c r="C513" i="26"/>
  <c r="P513" i="26" s="1"/>
  <c r="M513" i="26" s="1"/>
  <c r="O512" i="26"/>
  <c r="N512" i="26"/>
  <c r="L512" i="26"/>
  <c r="I512" i="26"/>
  <c r="J512" i="26" s="1"/>
  <c r="C512" i="26"/>
  <c r="P512" i="26" s="1"/>
  <c r="M512" i="26" s="1"/>
  <c r="O511" i="26"/>
  <c r="N511" i="26"/>
  <c r="L511" i="26"/>
  <c r="C511" i="26"/>
  <c r="P511" i="26" s="1"/>
  <c r="M511" i="26" s="1"/>
  <c r="O510" i="26"/>
  <c r="P510" i="26" s="1"/>
  <c r="M510" i="26" s="1"/>
  <c r="N510" i="26"/>
  <c r="L510" i="26"/>
  <c r="I510" i="26"/>
  <c r="J510" i="26" s="1"/>
  <c r="C510" i="26"/>
  <c r="O509" i="26"/>
  <c r="P509" i="26" s="1"/>
  <c r="M509" i="26" s="1"/>
  <c r="N509" i="26"/>
  <c r="L509" i="26"/>
  <c r="I509" i="26"/>
  <c r="J509" i="26" s="1"/>
  <c r="C509" i="26"/>
  <c r="O508" i="26"/>
  <c r="P508" i="26" s="1"/>
  <c r="M508" i="26" s="1"/>
  <c r="N508" i="26"/>
  <c r="L508" i="26"/>
  <c r="I508" i="26"/>
  <c r="J508" i="26" s="1"/>
  <c r="C508" i="26"/>
  <c r="O507" i="26"/>
  <c r="P507" i="26" s="1"/>
  <c r="M507" i="26" s="1"/>
  <c r="N507" i="26"/>
  <c r="L507" i="26"/>
  <c r="I507" i="26"/>
  <c r="J507" i="26" s="1"/>
  <c r="C507" i="26"/>
  <c r="O506" i="26"/>
  <c r="P506" i="26" s="1"/>
  <c r="M506" i="26" s="1"/>
  <c r="N506" i="26"/>
  <c r="L506" i="26"/>
  <c r="I506" i="26"/>
  <c r="J506" i="26" s="1"/>
  <c r="C506" i="26"/>
  <c r="O505" i="26"/>
  <c r="P505" i="26" s="1"/>
  <c r="M505" i="26" s="1"/>
  <c r="N505" i="26"/>
  <c r="L505" i="26"/>
  <c r="I505" i="26"/>
  <c r="J505" i="26" s="1"/>
  <c r="C505" i="26"/>
  <c r="O504" i="26"/>
  <c r="P504" i="26" s="1"/>
  <c r="M504" i="26" s="1"/>
  <c r="N504" i="26"/>
  <c r="L504" i="26"/>
  <c r="I504" i="26"/>
  <c r="J504" i="26" s="1"/>
  <c r="C504" i="26"/>
  <c r="O503" i="26"/>
  <c r="P503" i="26" s="1"/>
  <c r="M503" i="26" s="1"/>
  <c r="N503" i="26"/>
  <c r="L503" i="26"/>
  <c r="I503" i="26"/>
  <c r="J503" i="26" s="1"/>
  <c r="C503" i="26"/>
  <c r="O502" i="26"/>
  <c r="P502" i="26" s="1"/>
  <c r="M502" i="26" s="1"/>
  <c r="N502" i="26"/>
  <c r="L502" i="26"/>
  <c r="I502" i="26"/>
  <c r="J502" i="26" s="1"/>
  <c r="C502" i="26"/>
  <c r="O501" i="26"/>
  <c r="P501" i="26" s="1"/>
  <c r="M501" i="26" s="1"/>
  <c r="N501" i="26"/>
  <c r="L501" i="26"/>
  <c r="I501" i="26"/>
  <c r="J501" i="26" s="1"/>
  <c r="C501" i="26"/>
  <c r="O500" i="26"/>
  <c r="P500" i="26" s="1"/>
  <c r="M500" i="26" s="1"/>
  <c r="N500" i="26"/>
  <c r="L500" i="26"/>
  <c r="I500" i="26"/>
  <c r="J500" i="26" s="1"/>
  <c r="C500" i="26"/>
  <c r="O499" i="26"/>
  <c r="P499" i="26" s="1"/>
  <c r="M499" i="26" s="1"/>
  <c r="N499" i="26"/>
  <c r="L499" i="26"/>
  <c r="I499" i="26"/>
  <c r="J499" i="26" s="1"/>
  <c r="C499" i="26"/>
  <c r="O498" i="26"/>
  <c r="P498" i="26" s="1"/>
  <c r="M498" i="26" s="1"/>
  <c r="N498" i="26"/>
  <c r="L498" i="26"/>
  <c r="I498" i="26"/>
  <c r="J498" i="26" s="1"/>
  <c r="C498" i="26"/>
  <c r="O497" i="26"/>
  <c r="P497" i="26" s="1"/>
  <c r="M497" i="26" s="1"/>
  <c r="N497" i="26"/>
  <c r="L497" i="26"/>
  <c r="I497" i="26"/>
  <c r="J497" i="26" s="1"/>
  <c r="C497" i="26"/>
  <c r="O496" i="26"/>
  <c r="P496" i="26" s="1"/>
  <c r="M496" i="26" s="1"/>
  <c r="N496" i="26"/>
  <c r="L496" i="26"/>
  <c r="I496" i="26"/>
  <c r="J496" i="26" s="1"/>
  <c r="C496" i="26"/>
  <c r="O495" i="26"/>
  <c r="P495" i="26" s="1"/>
  <c r="M495" i="26" s="1"/>
  <c r="N495" i="26"/>
  <c r="L495" i="26"/>
  <c r="I495" i="26"/>
  <c r="J495" i="26" s="1"/>
  <c r="C495" i="26"/>
  <c r="O494" i="26"/>
  <c r="P494" i="26" s="1"/>
  <c r="M494" i="26" s="1"/>
  <c r="N494" i="26"/>
  <c r="L494" i="26"/>
  <c r="I494" i="26"/>
  <c r="J494" i="26" s="1"/>
  <c r="C494" i="26"/>
  <c r="O493" i="26"/>
  <c r="P493" i="26" s="1"/>
  <c r="M493" i="26" s="1"/>
  <c r="N493" i="26"/>
  <c r="L493" i="26"/>
  <c r="I493" i="26"/>
  <c r="J493" i="26" s="1"/>
  <c r="C493" i="26"/>
  <c r="O492" i="26"/>
  <c r="P492" i="26" s="1"/>
  <c r="M492" i="26" s="1"/>
  <c r="N492" i="26"/>
  <c r="L492" i="26"/>
  <c r="I492" i="26"/>
  <c r="J492" i="26" s="1"/>
  <c r="C492" i="26"/>
  <c r="O491" i="26"/>
  <c r="P491" i="26" s="1"/>
  <c r="M491" i="26" s="1"/>
  <c r="N491" i="26"/>
  <c r="L491" i="26"/>
  <c r="I491" i="26"/>
  <c r="J491" i="26" s="1"/>
  <c r="C491" i="26"/>
  <c r="O490" i="26"/>
  <c r="P490" i="26" s="1"/>
  <c r="M490" i="26" s="1"/>
  <c r="N490" i="26"/>
  <c r="L490" i="26"/>
  <c r="I490" i="26"/>
  <c r="J490" i="26" s="1"/>
  <c r="C490" i="26"/>
  <c r="O489" i="26"/>
  <c r="P489" i="26" s="1"/>
  <c r="M489" i="26" s="1"/>
  <c r="N489" i="26"/>
  <c r="L489" i="26"/>
  <c r="I489" i="26"/>
  <c r="J489" i="26" s="1"/>
  <c r="C489" i="26"/>
  <c r="O488" i="26"/>
  <c r="P488" i="26" s="1"/>
  <c r="M488" i="26" s="1"/>
  <c r="N488" i="26"/>
  <c r="L488" i="26"/>
  <c r="I488" i="26"/>
  <c r="J488" i="26" s="1"/>
  <c r="C488" i="26"/>
  <c r="O487" i="26"/>
  <c r="P487" i="26" s="1"/>
  <c r="M487" i="26" s="1"/>
  <c r="N487" i="26"/>
  <c r="L487" i="26"/>
  <c r="I487" i="26"/>
  <c r="J487" i="26" s="1"/>
  <c r="C487" i="26"/>
  <c r="O486" i="26"/>
  <c r="P486" i="26" s="1"/>
  <c r="M486" i="26" s="1"/>
  <c r="N486" i="26"/>
  <c r="L486" i="26"/>
  <c r="I486" i="26"/>
  <c r="J486" i="26" s="1"/>
  <c r="C486" i="26"/>
  <c r="O485" i="26"/>
  <c r="P485" i="26" s="1"/>
  <c r="M485" i="26" s="1"/>
  <c r="N485" i="26"/>
  <c r="L485" i="26"/>
  <c r="I485" i="26"/>
  <c r="J485" i="26" s="1"/>
  <c r="C485" i="26"/>
  <c r="O484" i="26"/>
  <c r="P484" i="26" s="1"/>
  <c r="N484" i="26"/>
  <c r="L484" i="26"/>
  <c r="I484" i="26"/>
  <c r="J484" i="26" s="1"/>
  <c r="C484" i="26"/>
  <c r="N483" i="26"/>
  <c r="O483" i="26" s="1"/>
  <c r="P483" i="26" s="1"/>
  <c r="M483" i="26" s="1"/>
  <c r="L483" i="26"/>
  <c r="I483" i="26"/>
  <c r="J483" i="26" s="1"/>
  <c r="C483" i="26"/>
  <c r="N481" i="26"/>
  <c r="O481" i="26" s="1"/>
  <c r="P481" i="26" s="1"/>
  <c r="M481" i="26" s="1"/>
  <c r="L481" i="26"/>
  <c r="I481" i="26"/>
  <c r="J481" i="26" s="1"/>
  <c r="O480" i="26"/>
  <c r="P480" i="26" s="1"/>
  <c r="M480" i="26" s="1"/>
  <c r="N480" i="26"/>
  <c r="L480" i="26"/>
  <c r="J480" i="26"/>
  <c r="I480" i="26"/>
  <c r="C480" i="26"/>
  <c r="O479" i="26"/>
  <c r="P479" i="26" s="1"/>
  <c r="M479" i="26" s="1"/>
  <c r="N479" i="26"/>
  <c r="L479" i="26"/>
  <c r="J479" i="26"/>
  <c r="I479" i="26"/>
  <c r="C479" i="26"/>
  <c r="O478" i="26"/>
  <c r="P478" i="26" s="1"/>
  <c r="M478" i="26" s="1"/>
  <c r="N478" i="26"/>
  <c r="L478" i="26"/>
  <c r="J478" i="26"/>
  <c r="I478" i="26"/>
  <c r="C478" i="26"/>
  <c r="I477" i="26"/>
  <c r="J477" i="26" s="1"/>
  <c r="C477" i="26"/>
  <c r="P476" i="26"/>
  <c r="M476" i="26" s="1"/>
  <c r="O476" i="26"/>
  <c r="N476" i="26"/>
  <c r="L476" i="26"/>
  <c r="I476" i="26"/>
  <c r="J476" i="26" s="1"/>
  <c r="C476" i="26"/>
  <c r="L475" i="26"/>
  <c r="I475" i="26"/>
  <c r="J475" i="26" s="1"/>
  <c r="H475" i="26"/>
  <c r="N475" i="26" s="1"/>
  <c r="O475" i="26" s="1"/>
  <c r="P475" i="26" s="1"/>
  <c r="M475" i="26" s="1"/>
  <c r="C475" i="26"/>
  <c r="O474" i="26"/>
  <c r="N474" i="26"/>
  <c r="L474" i="26"/>
  <c r="J474" i="26"/>
  <c r="I474" i="26"/>
  <c r="C474" i="26"/>
  <c r="P474" i="26" s="1"/>
  <c r="M474" i="26" s="1"/>
  <c r="O473" i="26"/>
  <c r="N473" i="26"/>
  <c r="L473" i="26"/>
  <c r="J473" i="26"/>
  <c r="I473" i="26"/>
  <c r="C473" i="26"/>
  <c r="P473" i="26" s="1"/>
  <c r="M473" i="26" s="1"/>
  <c r="O472" i="26"/>
  <c r="N472" i="26"/>
  <c r="L472" i="26"/>
  <c r="J472" i="26"/>
  <c r="I472" i="26"/>
  <c r="C472" i="26"/>
  <c r="P472" i="26" s="1"/>
  <c r="M472" i="26" s="1"/>
  <c r="O471" i="26"/>
  <c r="N471" i="26"/>
  <c r="L471" i="26"/>
  <c r="J471" i="26"/>
  <c r="I471" i="26"/>
  <c r="C471" i="26"/>
  <c r="P471" i="26" s="1"/>
  <c r="M471" i="26" s="1"/>
  <c r="O470" i="26"/>
  <c r="N470" i="26"/>
  <c r="L470" i="26"/>
  <c r="J470" i="26"/>
  <c r="I470" i="26"/>
  <c r="C470" i="26"/>
  <c r="P470" i="26" s="1"/>
  <c r="M470" i="26" s="1"/>
  <c r="O469" i="26"/>
  <c r="N469" i="26"/>
  <c r="L469" i="26"/>
  <c r="J469" i="26"/>
  <c r="I469" i="26"/>
  <c r="C469" i="26"/>
  <c r="P469" i="26" s="1"/>
  <c r="M469" i="26" s="1"/>
  <c r="O468" i="26"/>
  <c r="N468" i="26"/>
  <c r="L468" i="26"/>
  <c r="J468" i="26"/>
  <c r="I468" i="26"/>
  <c r="C468" i="26"/>
  <c r="P468" i="26" s="1"/>
  <c r="M468" i="26" s="1"/>
  <c r="O467" i="26"/>
  <c r="N467" i="26"/>
  <c r="L467" i="26"/>
  <c r="J467" i="26"/>
  <c r="I467" i="26"/>
  <c r="C467" i="26"/>
  <c r="P467" i="26" s="1"/>
  <c r="M467" i="26" s="1"/>
  <c r="O466" i="26"/>
  <c r="N466" i="26"/>
  <c r="L466" i="26"/>
  <c r="J466" i="26"/>
  <c r="I466" i="26"/>
  <c r="C466" i="26"/>
  <c r="P466" i="26" s="1"/>
  <c r="M466" i="26" s="1"/>
  <c r="O465" i="26"/>
  <c r="N465" i="26"/>
  <c r="L465" i="26"/>
  <c r="J465" i="26"/>
  <c r="I465" i="26"/>
  <c r="C465" i="26"/>
  <c r="P465" i="26" s="1"/>
  <c r="M465" i="26" s="1"/>
  <c r="O464" i="26"/>
  <c r="N464" i="26"/>
  <c r="L464" i="26"/>
  <c r="J464" i="26"/>
  <c r="I464" i="26"/>
  <c r="C464" i="26"/>
  <c r="P464" i="26" s="1"/>
  <c r="M464" i="26" s="1"/>
  <c r="O463" i="26"/>
  <c r="N463" i="26"/>
  <c r="L463" i="26"/>
  <c r="J463" i="26"/>
  <c r="I463" i="26"/>
  <c r="C463" i="26"/>
  <c r="P463" i="26" s="1"/>
  <c r="M463" i="26" s="1"/>
  <c r="O462" i="26"/>
  <c r="N462" i="26"/>
  <c r="L462" i="26"/>
  <c r="J462" i="26"/>
  <c r="I462" i="26"/>
  <c r="C462" i="26"/>
  <c r="P462" i="26" s="1"/>
  <c r="M462" i="26" s="1"/>
  <c r="O461" i="26"/>
  <c r="N461" i="26"/>
  <c r="L461" i="26"/>
  <c r="J461" i="26"/>
  <c r="I461" i="26"/>
  <c r="C461" i="26"/>
  <c r="P461" i="26" s="1"/>
  <c r="M461" i="26" s="1"/>
  <c r="O460" i="26"/>
  <c r="N460" i="26"/>
  <c r="L460" i="26"/>
  <c r="J460" i="26"/>
  <c r="I460" i="26"/>
  <c r="C460" i="26"/>
  <c r="P460" i="26" s="1"/>
  <c r="M460" i="26" s="1"/>
  <c r="O459" i="26"/>
  <c r="N459" i="26"/>
  <c r="L459" i="26"/>
  <c r="J459" i="26"/>
  <c r="I459" i="26"/>
  <c r="C459" i="26"/>
  <c r="P459" i="26" s="1"/>
  <c r="M459" i="26" s="1"/>
  <c r="O458" i="26"/>
  <c r="N458" i="26"/>
  <c r="L458" i="26"/>
  <c r="J458" i="26"/>
  <c r="I458" i="26"/>
  <c r="C458" i="26"/>
  <c r="P458" i="26" s="1"/>
  <c r="M458" i="26" s="1"/>
  <c r="O457" i="26"/>
  <c r="N457" i="26"/>
  <c r="L457" i="26"/>
  <c r="J457" i="26"/>
  <c r="I457" i="26"/>
  <c r="C457" i="26"/>
  <c r="P457" i="26" s="1"/>
  <c r="M457" i="26" s="1"/>
  <c r="O456" i="26"/>
  <c r="N456" i="26"/>
  <c r="L456" i="26"/>
  <c r="J456" i="26"/>
  <c r="I456" i="26"/>
  <c r="C456" i="26"/>
  <c r="P456" i="26" s="1"/>
  <c r="M456" i="26" s="1"/>
  <c r="O455" i="26"/>
  <c r="N455" i="26"/>
  <c r="L455" i="26"/>
  <c r="J455" i="26"/>
  <c r="I455" i="26"/>
  <c r="C455" i="26"/>
  <c r="P455" i="26" s="1"/>
  <c r="M455" i="26" s="1"/>
  <c r="O454" i="26"/>
  <c r="N454" i="26"/>
  <c r="L454" i="26"/>
  <c r="J454" i="26"/>
  <c r="I454" i="26"/>
  <c r="C454" i="26"/>
  <c r="P454" i="26" s="1"/>
  <c r="M454" i="26" s="1"/>
  <c r="N453" i="26"/>
  <c r="O453" i="26" s="1"/>
  <c r="P453" i="26" s="1"/>
  <c r="M453" i="26" s="1"/>
  <c r="L453" i="26"/>
  <c r="J453" i="26"/>
  <c r="I453" i="26"/>
  <c r="C453" i="26"/>
  <c r="N452" i="26"/>
  <c r="O452" i="26" s="1"/>
  <c r="P452" i="26" s="1"/>
  <c r="M452" i="26" s="1"/>
  <c r="L452" i="26"/>
  <c r="J452" i="26"/>
  <c r="I452" i="26"/>
  <c r="C452" i="26"/>
  <c r="N451" i="26"/>
  <c r="O451" i="26" s="1"/>
  <c r="P451" i="26" s="1"/>
  <c r="M451" i="26" s="1"/>
  <c r="L451" i="26"/>
  <c r="J451" i="26"/>
  <c r="I451" i="26"/>
  <c r="C451" i="26"/>
  <c r="N450" i="26"/>
  <c r="O450" i="26" s="1"/>
  <c r="P450" i="26" s="1"/>
  <c r="M450" i="26" s="1"/>
  <c r="L450" i="26"/>
  <c r="J450" i="26"/>
  <c r="I450" i="26"/>
  <c r="C450" i="26"/>
  <c r="N449" i="26"/>
  <c r="O449" i="26" s="1"/>
  <c r="P449" i="26" s="1"/>
  <c r="M449" i="26" s="1"/>
  <c r="L449" i="26"/>
  <c r="J449" i="26"/>
  <c r="I449" i="26"/>
  <c r="C449" i="26"/>
  <c r="N448" i="26"/>
  <c r="O448" i="26" s="1"/>
  <c r="P448" i="26" s="1"/>
  <c r="M448" i="26" s="1"/>
  <c r="L448" i="26"/>
  <c r="J448" i="26"/>
  <c r="I448" i="26"/>
  <c r="C448" i="26"/>
  <c r="N447" i="26"/>
  <c r="O447" i="26" s="1"/>
  <c r="P447" i="26" s="1"/>
  <c r="M447" i="26" s="1"/>
  <c r="L447" i="26"/>
  <c r="J447" i="26"/>
  <c r="I447" i="26"/>
  <c r="C447" i="26"/>
  <c r="N446" i="26"/>
  <c r="O446" i="26" s="1"/>
  <c r="P446" i="26" s="1"/>
  <c r="M446" i="26" s="1"/>
  <c r="L446" i="26"/>
  <c r="J446" i="26"/>
  <c r="I446" i="26"/>
  <c r="C446" i="26"/>
  <c r="N445" i="26"/>
  <c r="O445" i="26" s="1"/>
  <c r="P445" i="26" s="1"/>
  <c r="M445" i="26" s="1"/>
  <c r="L445" i="26"/>
  <c r="J445" i="26"/>
  <c r="I445" i="26"/>
  <c r="C445" i="26"/>
  <c r="N444" i="26"/>
  <c r="O444" i="26" s="1"/>
  <c r="P444" i="26" s="1"/>
  <c r="M444" i="26" s="1"/>
  <c r="L444" i="26"/>
  <c r="J444" i="26"/>
  <c r="I444" i="26"/>
  <c r="C444" i="26"/>
  <c r="N443" i="26"/>
  <c r="O443" i="26" s="1"/>
  <c r="P443" i="26" s="1"/>
  <c r="M443" i="26" s="1"/>
  <c r="L443" i="26"/>
  <c r="J443" i="26"/>
  <c r="I443" i="26"/>
  <c r="C443" i="26"/>
  <c r="N442" i="26"/>
  <c r="O442" i="26" s="1"/>
  <c r="P442" i="26" s="1"/>
  <c r="M442" i="26" s="1"/>
  <c r="L442" i="26"/>
  <c r="J442" i="26"/>
  <c r="I442" i="26"/>
  <c r="C442" i="26"/>
  <c r="N441" i="26"/>
  <c r="O441" i="26" s="1"/>
  <c r="P441" i="26" s="1"/>
  <c r="M441" i="26" s="1"/>
  <c r="L441" i="26"/>
  <c r="J441" i="26"/>
  <c r="I441" i="26"/>
  <c r="C441" i="26"/>
  <c r="N440" i="26"/>
  <c r="O440" i="26" s="1"/>
  <c r="P440" i="26" s="1"/>
  <c r="M440" i="26" s="1"/>
  <c r="L440" i="26"/>
  <c r="J440" i="26"/>
  <c r="I440" i="26"/>
  <c r="C440" i="26"/>
  <c r="N439" i="26"/>
  <c r="O439" i="26" s="1"/>
  <c r="P439" i="26" s="1"/>
  <c r="M439" i="26" s="1"/>
  <c r="L439" i="26"/>
  <c r="J439" i="26"/>
  <c r="I439" i="26"/>
  <c r="C439" i="26"/>
  <c r="N438" i="26"/>
  <c r="O438" i="26" s="1"/>
  <c r="P438" i="26" s="1"/>
  <c r="M438" i="26" s="1"/>
  <c r="L438" i="26"/>
  <c r="J438" i="26"/>
  <c r="I438" i="26"/>
  <c r="C438" i="26"/>
  <c r="N437" i="26"/>
  <c r="O437" i="26" s="1"/>
  <c r="P437" i="26" s="1"/>
  <c r="M437" i="26" s="1"/>
  <c r="L437" i="26"/>
  <c r="I437" i="26"/>
  <c r="J437" i="26" s="1"/>
  <c r="C437" i="26"/>
  <c r="N436" i="26"/>
  <c r="O436" i="26" s="1"/>
  <c r="P436" i="26" s="1"/>
  <c r="M436" i="26" s="1"/>
  <c r="L436" i="26"/>
  <c r="I436" i="26"/>
  <c r="J436" i="26" s="1"/>
  <c r="C436" i="26"/>
  <c r="N435" i="26"/>
  <c r="O435" i="26" s="1"/>
  <c r="P435" i="26" s="1"/>
  <c r="M435" i="26" s="1"/>
  <c r="L435" i="26"/>
  <c r="I435" i="26"/>
  <c r="J435" i="26" s="1"/>
  <c r="C435" i="26"/>
  <c r="N434" i="26"/>
  <c r="O434" i="26" s="1"/>
  <c r="P434" i="26" s="1"/>
  <c r="M434" i="26" s="1"/>
  <c r="L434" i="26"/>
  <c r="I434" i="26"/>
  <c r="J434" i="26" s="1"/>
  <c r="C434" i="26"/>
  <c r="N433" i="26"/>
  <c r="O433" i="26" s="1"/>
  <c r="P433" i="26" s="1"/>
  <c r="M433" i="26" s="1"/>
  <c r="L433" i="26"/>
  <c r="I433" i="26"/>
  <c r="J433" i="26" s="1"/>
  <c r="C433" i="26"/>
  <c r="N432" i="26"/>
  <c r="O432" i="26" s="1"/>
  <c r="P432" i="26" s="1"/>
  <c r="M432" i="26" s="1"/>
  <c r="L432" i="26"/>
  <c r="I432" i="26"/>
  <c r="J432" i="26" s="1"/>
  <c r="C432" i="26"/>
  <c r="N431" i="26"/>
  <c r="O431" i="26" s="1"/>
  <c r="P431" i="26" s="1"/>
  <c r="M431" i="26" s="1"/>
  <c r="L431" i="26"/>
  <c r="I431" i="26"/>
  <c r="J431" i="26" s="1"/>
  <c r="C431" i="26"/>
  <c r="N430" i="26"/>
  <c r="O430" i="26" s="1"/>
  <c r="P430" i="26" s="1"/>
  <c r="M430" i="26" s="1"/>
  <c r="L430" i="26"/>
  <c r="I430" i="26"/>
  <c r="J430" i="26" s="1"/>
  <c r="C430" i="26"/>
  <c r="N429" i="26"/>
  <c r="O429" i="26" s="1"/>
  <c r="P429" i="26" s="1"/>
  <c r="M429" i="26" s="1"/>
  <c r="L429" i="26"/>
  <c r="I429" i="26"/>
  <c r="J429" i="26" s="1"/>
  <c r="C429" i="26"/>
  <c r="N428" i="26"/>
  <c r="O428" i="26" s="1"/>
  <c r="P428" i="26" s="1"/>
  <c r="M428" i="26" s="1"/>
  <c r="L428" i="26"/>
  <c r="I428" i="26"/>
  <c r="J428" i="26" s="1"/>
  <c r="C428" i="26"/>
  <c r="N427" i="26"/>
  <c r="O427" i="26" s="1"/>
  <c r="P427" i="26" s="1"/>
  <c r="M427" i="26" s="1"/>
  <c r="L427" i="26"/>
  <c r="I427" i="26"/>
  <c r="J427" i="26" s="1"/>
  <c r="C427" i="26"/>
  <c r="N426" i="26"/>
  <c r="O426" i="26" s="1"/>
  <c r="P426" i="26" s="1"/>
  <c r="M426" i="26" s="1"/>
  <c r="L426" i="26"/>
  <c r="I426" i="26"/>
  <c r="J426" i="26" s="1"/>
  <c r="C426" i="26"/>
  <c r="N425" i="26"/>
  <c r="O425" i="26" s="1"/>
  <c r="P425" i="26" s="1"/>
  <c r="L425" i="26"/>
  <c r="J425" i="26"/>
  <c r="I425" i="26"/>
  <c r="C425" i="26"/>
  <c r="P424" i="26"/>
  <c r="M424" i="26" s="1"/>
  <c r="O424" i="26"/>
  <c r="N424" i="26"/>
  <c r="L424" i="26"/>
  <c r="J424" i="26"/>
  <c r="I424" i="26"/>
  <c r="C424" i="26"/>
  <c r="P423" i="26"/>
  <c r="M423" i="26" s="1"/>
  <c r="O423" i="26"/>
  <c r="N423" i="26"/>
  <c r="L423" i="26"/>
  <c r="J423" i="26"/>
  <c r="I423" i="26"/>
  <c r="T422" i="26"/>
  <c r="P422" i="26"/>
  <c r="M422" i="26" s="1"/>
  <c r="O422" i="26"/>
  <c r="N422" i="26"/>
  <c r="L422" i="26"/>
  <c r="J422" i="26"/>
  <c r="I422" i="26"/>
  <c r="C422" i="26"/>
  <c r="P421" i="26"/>
  <c r="M421" i="26" s="1"/>
  <c r="O421" i="26"/>
  <c r="N421" i="26"/>
  <c r="L421" i="26"/>
  <c r="J421" i="26"/>
  <c r="I421" i="26"/>
  <c r="C421" i="26"/>
  <c r="P420" i="26"/>
  <c r="M420" i="26" s="1"/>
  <c r="O420" i="26"/>
  <c r="N420" i="26"/>
  <c r="L420" i="26"/>
  <c r="J420" i="26"/>
  <c r="I420" i="26"/>
  <c r="C420" i="26"/>
  <c r="P419" i="26"/>
  <c r="M419" i="26" s="1"/>
  <c r="O419" i="26"/>
  <c r="N419" i="26"/>
  <c r="L419" i="26"/>
  <c r="J419" i="26"/>
  <c r="I419" i="26"/>
  <c r="C419" i="26"/>
  <c r="P418" i="26"/>
  <c r="M418" i="26" s="1"/>
  <c r="O418" i="26"/>
  <c r="N418" i="26"/>
  <c r="L418" i="26"/>
  <c r="J418" i="26"/>
  <c r="I418" i="26"/>
  <c r="C418" i="26"/>
  <c r="P417" i="26"/>
  <c r="M417" i="26" s="1"/>
  <c r="O417" i="26"/>
  <c r="N417" i="26"/>
  <c r="L417" i="26"/>
  <c r="J417" i="26"/>
  <c r="I417" i="26"/>
  <c r="C417" i="26"/>
  <c r="P416" i="26"/>
  <c r="M416" i="26" s="1"/>
  <c r="O416" i="26"/>
  <c r="N416" i="26"/>
  <c r="L416" i="26"/>
  <c r="J416" i="26"/>
  <c r="I416" i="26"/>
  <c r="C416" i="26"/>
  <c r="P415" i="26"/>
  <c r="M415" i="26" s="1"/>
  <c r="O415" i="26"/>
  <c r="N415" i="26"/>
  <c r="L415" i="26"/>
  <c r="J415" i="26"/>
  <c r="I415" i="26"/>
  <c r="C415" i="26"/>
  <c r="P414" i="26"/>
  <c r="M414" i="26" s="1"/>
  <c r="O414" i="26"/>
  <c r="N414" i="26"/>
  <c r="L414" i="26"/>
  <c r="J414" i="26"/>
  <c r="I414" i="26"/>
  <c r="C414" i="26"/>
  <c r="P413" i="26"/>
  <c r="M413" i="26" s="1"/>
  <c r="O413" i="26"/>
  <c r="N413" i="26"/>
  <c r="L413" i="26"/>
  <c r="J413" i="26"/>
  <c r="I413" i="26"/>
  <c r="C413" i="26"/>
  <c r="P412" i="26"/>
  <c r="M412" i="26" s="1"/>
  <c r="O412" i="26"/>
  <c r="N412" i="26"/>
  <c r="L412" i="26"/>
  <c r="J412" i="26"/>
  <c r="I412" i="26"/>
  <c r="C412" i="26"/>
  <c r="P411" i="26"/>
  <c r="M411" i="26" s="1"/>
  <c r="O411" i="26"/>
  <c r="N411" i="26"/>
  <c r="L411" i="26"/>
  <c r="J411" i="26"/>
  <c r="I411" i="26"/>
  <c r="C411" i="26"/>
  <c r="P410" i="26"/>
  <c r="M410" i="26" s="1"/>
  <c r="O410" i="26"/>
  <c r="N410" i="26"/>
  <c r="L410" i="26"/>
  <c r="J410" i="26"/>
  <c r="I410" i="26"/>
  <c r="C410" i="26"/>
  <c r="P409" i="26"/>
  <c r="M409" i="26" s="1"/>
  <c r="O409" i="26"/>
  <c r="N409" i="26"/>
  <c r="L409" i="26"/>
  <c r="J409" i="26"/>
  <c r="I409" i="26"/>
  <c r="C409" i="26"/>
  <c r="P408" i="26"/>
  <c r="M408" i="26" s="1"/>
  <c r="O408" i="26"/>
  <c r="N408" i="26"/>
  <c r="L408" i="26"/>
  <c r="J408" i="26"/>
  <c r="I408" i="26"/>
  <c r="C408" i="26"/>
  <c r="P407" i="26"/>
  <c r="M407" i="26" s="1"/>
  <c r="O407" i="26"/>
  <c r="N407" i="26"/>
  <c r="L407" i="26"/>
  <c r="J407" i="26"/>
  <c r="I407" i="26"/>
  <c r="C407" i="26"/>
  <c r="N406" i="26"/>
  <c r="O406" i="26" s="1"/>
  <c r="P406" i="26" s="1"/>
  <c r="M406" i="26" s="1"/>
  <c r="L406" i="26"/>
  <c r="J406" i="26"/>
  <c r="I406" i="26"/>
  <c r="C406" i="26"/>
  <c r="N405" i="26"/>
  <c r="O405" i="26" s="1"/>
  <c r="P405" i="26" s="1"/>
  <c r="M405" i="26" s="1"/>
  <c r="L405" i="26"/>
  <c r="J405" i="26"/>
  <c r="I405" i="26"/>
  <c r="C405" i="26"/>
  <c r="N404" i="26"/>
  <c r="O404" i="26" s="1"/>
  <c r="P404" i="26" s="1"/>
  <c r="M404" i="26" s="1"/>
  <c r="L404" i="26"/>
  <c r="J404" i="26"/>
  <c r="I404" i="26"/>
  <c r="C404" i="26"/>
  <c r="N403" i="26"/>
  <c r="O403" i="26" s="1"/>
  <c r="P403" i="26" s="1"/>
  <c r="M403" i="26" s="1"/>
  <c r="L403" i="26"/>
  <c r="J403" i="26"/>
  <c r="I403" i="26"/>
  <c r="C403" i="26"/>
  <c r="N402" i="26"/>
  <c r="O402" i="26" s="1"/>
  <c r="P402" i="26" s="1"/>
  <c r="M402" i="26" s="1"/>
  <c r="L402" i="26"/>
  <c r="J402" i="26"/>
  <c r="I402" i="26"/>
  <c r="C402" i="26"/>
  <c r="N401" i="26"/>
  <c r="O401" i="26" s="1"/>
  <c r="P401" i="26" s="1"/>
  <c r="M401" i="26" s="1"/>
  <c r="L401" i="26"/>
  <c r="J401" i="26"/>
  <c r="I401" i="26"/>
  <c r="C401" i="26"/>
  <c r="N400" i="26"/>
  <c r="O400" i="26" s="1"/>
  <c r="P400" i="26" s="1"/>
  <c r="M400" i="26" s="1"/>
  <c r="L400" i="26"/>
  <c r="J400" i="26"/>
  <c r="I400" i="26"/>
  <c r="C400" i="26"/>
  <c r="N399" i="26"/>
  <c r="O399" i="26" s="1"/>
  <c r="P399" i="26" s="1"/>
  <c r="M399" i="26" s="1"/>
  <c r="L399" i="26"/>
  <c r="J399" i="26"/>
  <c r="I399" i="26"/>
  <c r="C399" i="26"/>
  <c r="N398" i="26"/>
  <c r="O398" i="26" s="1"/>
  <c r="P398" i="26" s="1"/>
  <c r="M398" i="26" s="1"/>
  <c r="L398" i="26"/>
  <c r="J398" i="26"/>
  <c r="I398" i="26"/>
  <c r="C398" i="26"/>
  <c r="N397" i="26"/>
  <c r="O397" i="26" s="1"/>
  <c r="P397" i="26" s="1"/>
  <c r="M397" i="26" s="1"/>
  <c r="L397" i="26"/>
  <c r="J397" i="26"/>
  <c r="I397" i="26"/>
  <c r="C397" i="26"/>
  <c r="N396" i="26"/>
  <c r="O396" i="26" s="1"/>
  <c r="P396" i="26" s="1"/>
  <c r="M396" i="26" s="1"/>
  <c r="L396" i="26"/>
  <c r="J396" i="26"/>
  <c r="I396" i="26"/>
  <c r="C396" i="26"/>
  <c r="N395" i="26"/>
  <c r="O395" i="26" s="1"/>
  <c r="P395" i="26" s="1"/>
  <c r="M395" i="26" s="1"/>
  <c r="L395" i="26"/>
  <c r="J395" i="26"/>
  <c r="I395" i="26"/>
  <c r="C395" i="26"/>
  <c r="N394" i="26"/>
  <c r="O394" i="26" s="1"/>
  <c r="P394" i="26" s="1"/>
  <c r="M394" i="26" s="1"/>
  <c r="L394" i="26"/>
  <c r="J394" i="26"/>
  <c r="I394" i="26"/>
  <c r="C394" i="26"/>
  <c r="N393" i="26"/>
  <c r="O393" i="26" s="1"/>
  <c r="P393" i="26" s="1"/>
  <c r="M393" i="26" s="1"/>
  <c r="L393" i="26"/>
  <c r="J393" i="26"/>
  <c r="I393" i="26"/>
  <c r="C393" i="26"/>
  <c r="N392" i="26"/>
  <c r="O392" i="26" s="1"/>
  <c r="P392" i="26" s="1"/>
  <c r="M392" i="26" s="1"/>
  <c r="L392" i="26"/>
  <c r="J392" i="26"/>
  <c r="I392" i="26"/>
  <c r="C392" i="26"/>
  <c r="N391" i="26"/>
  <c r="O391" i="26" s="1"/>
  <c r="P391" i="26" s="1"/>
  <c r="M391" i="26" s="1"/>
  <c r="L391" i="26"/>
  <c r="J391" i="26"/>
  <c r="I391" i="26"/>
  <c r="C391" i="26"/>
  <c r="N390" i="26"/>
  <c r="O390" i="26" s="1"/>
  <c r="P390" i="26" s="1"/>
  <c r="M390" i="26" s="1"/>
  <c r="L390" i="26"/>
  <c r="J390" i="26"/>
  <c r="I390" i="26"/>
  <c r="C390" i="26"/>
  <c r="N389" i="26"/>
  <c r="O389" i="26" s="1"/>
  <c r="P389" i="26" s="1"/>
  <c r="M389" i="26" s="1"/>
  <c r="L389" i="26"/>
  <c r="J389" i="26"/>
  <c r="I389" i="26"/>
  <c r="C389" i="26"/>
  <c r="N388" i="26"/>
  <c r="O388" i="26" s="1"/>
  <c r="P388" i="26" s="1"/>
  <c r="M388" i="26" s="1"/>
  <c r="L388" i="26"/>
  <c r="J388" i="26"/>
  <c r="I388" i="26"/>
  <c r="C388" i="26"/>
  <c r="N387" i="26"/>
  <c r="O387" i="26" s="1"/>
  <c r="P387" i="26" s="1"/>
  <c r="M387" i="26" s="1"/>
  <c r="L387" i="26"/>
  <c r="J387" i="26"/>
  <c r="I387" i="26"/>
  <c r="C387" i="26"/>
  <c r="N386" i="26"/>
  <c r="O386" i="26" s="1"/>
  <c r="P386" i="26" s="1"/>
  <c r="M386" i="26" s="1"/>
  <c r="L386" i="26"/>
  <c r="J386" i="26"/>
  <c r="I386" i="26"/>
  <c r="C386" i="26"/>
  <c r="N385" i="26"/>
  <c r="O385" i="26" s="1"/>
  <c r="P385" i="26" s="1"/>
  <c r="M385" i="26" s="1"/>
  <c r="L385" i="26"/>
  <c r="J385" i="26"/>
  <c r="I385" i="26"/>
  <c r="C385" i="26"/>
  <c r="N384" i="26"/>
  <c r="O384" i="26" s="1"/>
  <c r="P384" i="26" s="1"/>
  <c r="M384" i="26" s="1"/>
  <c r="L384" i="26"/>
  <c r="J384" i="26"/>
  <c r="I384" i="26"/>
  <c r="C384" i="26"/>
  <c r="N383" i="26"/>
  <c r="O383" i="26" s="1"/>
  <c r="P383" i="26" s="1"/>
  <c r="M383" i="26" s="1"/>
  <c r="L383" i="26"/>
  <c r="J383" i="26"/>
  <c r="I383" i="26"/>
  <c r="C383" i="26"/>
  <c r="N382" i="26"/>
  <c r="O382" i="26" s="1"/>
  <c r="P382" i="26" s="1"/>
  <c r="M382" i="26" s="1"/>
  <c r="L382" i="26"/>
  <c r="J382" i="26"/>
  <c r="I382" i="26"/>
  <c r="C382" i="26"/>
  <c r="N381" i="26"/>
  <c r="O381" i="26" s="1"/>
  <c r="P381" i="26" s="1"/>
  <c r="M381" i="26" s="1"/>
  <c r="L381" i="26"/>
  <c r="J381" i="26"/>
  <c r="I381" i="26"/>
  <c r="C381" i="26"/>
  <c r="O380" i="26"/>
  <c r="P380" i="26" s="1"/>
  <c r="M380" i="26" s="1"/>
  <c r="N380" i="26"/>
  <c r="L380" i="26"/>
  <c r="J380" i="26"/>
  <c r="I380" i="26"/>
  <c r="C380" i="26"/>
  <c r="O379" i="26"/>
  <c r="P379" i="26" s="1"/>
  <c r="M379" i="26" s="1"/>
  <c r="N379" i="26"/>
  <c r="L379" i="26"/>
  <c r="J379" i="26"/>
  <c r="I379" i="26"/>
  <c r="C379" i="26"/>
  <c r="O378" i="26"/>
  <c r="P378" i="26" s="1"/>
  <c r="M378" i="26" s="1"/>
  <c r="N378" i="26"/>
  <c r="L378" i="26"/>
  <c r="J378" i="26"/>
  <c r="I378" i="26"/>
  <c r="C378" i="26"/>
  <c r="O377" i="26"/>
  <c r="P377" i="26" s="1"/>
  <c r="M377" i="26" s="1"/>
  <c r="N377" i="26"/>
  <c r="L377" i="26"/>
  <c r="J377" i="26"/>
  <c r="I377" i="26"/>
  <c r="C377" i="26"/>
  <c r="O376" i="26"/>
  <c r="P376" i="26" s="1"/>
  <c r="M376" i="26" s="1"/>
  <c r="N376" i="26"/>
  <c r="L376" i="26"/>
  <c r="J376" i="26"/>
  <c r="I376" i="26"/>
  <c r="C376" i="26"/>
  <c r="O375" i="26"/>
  <c r="P375" i="26" s="1"/>
  <c r="M375" i="26" s="1"/>
  <c r="N375" i="26"/>
  <c r="L375" i="26"/>
  <c r="J375" i="26"/>
  <c r="I375" i="26"/>
  <c r="C375" i="26"/>
  <c r="O374" i="26"/>
  <c r="P374" i="26" s="1"/>
  <c r="M374" i="26" s="1"/>
  <c r="N374" i="26"/>
  <c r="L374" i="26"/>
  <c r="J374" i="26"/>
  <c r="I374" i="26"/>
  <c r="C374" i="26"/>
  <c r="O373" i="26"/>
  <c r="P373" i="26" s="1"/>
  <c r="M373" i="26" s="1"/>
  <c r="N373" i="26"/>
  <c r="L373" i="26"/>
  <c r="J373" i="26"/>
  <c r="I373" i="26"/>
  <c r="C373" i="26"/>
  <c r="O372" i="26"/>
  <c r="P372" i="26" s="1"/>
  <c r="M372" i="26" s="1"/>
  <c r="N372" i="26"/>
  <c r="L372" i="26"/>
  <c r="J372" i="26"/>
  <c r="I372" i="26"/>
  <c r="C372" i="26"/>
  <c r="O371" i="26"/>
  <c r="P371" i="26" s="1"/>
  <c r="M371" i="26" s="1"/>
  <c r="N371" i="26"/>
  <c r="L371" i="26"/>
  <c r="J371" i="26"/>
  <c r="I371" i="26"/>
  <c r="C371" i="26"/>
  <c r="O370" i="26"/>
  <c r="P370" i="26" s="1"/>
  <c r="M370" i="26" s="1"/>
  <c r="N370" i="26"/>
  <c r="L370" i="26"/>
  <c r="J370" i="26"/>
  <c r="I370" i="26"/>
  <c r="C370" i="26"/>
  <c r="O369" i="26"/>
  <c r="P369" i="26" s="1"/>
  <c r="M369" i="26" s="1"/>
  <c r="N369" i="26"/>
  <c r="L369" i="26"/>
  <c r="J369" i="26"/>
  <c r="I369" i="26"/>
  <c r="C369" i="26"/>
  <c r="O368" i="26"/>
  <c r="P368" i="26" s="1"/>
  <c r="M368" i="26" s="1"/>
  <c r="N368" i="26"/>
  <c r="L368" i="26"/>
  <c r="J368" i="26"/>
  <c r="I368" i="26"/>
  <c r="N367" i="26"/>
  <c r="O367" i="26" s="1"/>
  <c r="P367" i="26" s="1"/>
  <c r="M367" i="26" s="1"/>
  <c r="L367" i="26"/>
  <c r="I367" i="26"/>
  <c r="J367" i="26" s="1"/>
  <c r="C367" i="26"/>
  <c r="N366" i="26"/>
  <c r="O366" i="26" s="1"/>
  <c r="P366" i="26" s="1"/>
  <c r="M366" i="26" s="1"/>
  <c r="L366" i="26"/>
  <c r="I366" i="26"/>
  <c r="J366" i="26" s="1"/>
  <c r="C366" i="26"/>
  <c r="N365" i="26"/>
  <c r="O365" i="26" s="1"/>
  <c r="P365" i="26" s="1"/>
  <c r="M365" i="26" s="1"/>
  <c r="L365" i="26"/>
  <c r="I365" i="26"/>
  <c r="J365" i="26" s="1"/>
  <c r="C365" i="26"/>
  <c r="N364" i="26"/>
  <c r="O364" i="26" s="1"/>
  <c r="P364" i="26" s="1"/>
  <c r="M364" i="26" s="1"/>
  <c r="L364" i="26"/>
  <c r="I364" i="26"/>
  <c r="J364" i="26" s="1"/>
  <c r="C364" i="26"/>
  <c r="N363" i="26"/>
  <c r="O363" i="26" s="1"/>
  <c r="P363" i="26" s="1"/>
  <c r="M363" i="26" s="1"/>
  <c r="L363" i="26"/>
  <c r="I363" i="26"/>
  <c r="J363" i="26" s="1"/>
  <c r="C363" i="26"/>
  <c r="N362" i="26"/>
  <c r="O362" i="26" s="1"/>
  <c r="P362" i="26" s="1"/>
  <c r="M362" i="26" s="1"/>
  <c r="L362" i="26"/>
  <c r="I362" i="26"/>
  <c r="J362" i="26" s="1"/>
  <c r="C362" i="26"/>
  <c r="N361" i="26"/>
  <c r="O361" i="26" s="1"/>
  <c r="P361" i="26" s="1"/>
  <c r="M361" i="26" s="1"/>
  <c r="L361" i="26"/>
  <c r="I361" i="26"/>
  <c r="J361" i="26" s="1"/>
  <c r="C361" i="26"/>
  <c r="N360" i="26"/>
  <c r="O360" i="26" s="1"/>
  <c r="P360" i="26" s="1"/>
  <c r="M360" i="26" s="1"/>
  <c r="L360" i="26"/>
  <c r="I360" i="26"/>
  <c r="J360" i="26" s="1"/>
  <c r="C360" i="26"/>
  <c r="N359" i="26"/>
  <c r="O359" i="26" s="1"/>
  <c r="P359" i="26" s="1"/>
  <c r="M359" i="26" s="1"/>
  <c r="L359" i="26"/>
  <c r="I359" i="26"/>
  <c r="J359" i="26" s="1"/>
  <c r="C359" i="26"/>
  <c r="N358" i="26"/>
  <c r="O358" i="26" s="1"/>
  <c r="P358" i="26" s="1"/>
  <c r="M358" i="26" s="1"/>
  <c r="L358" i="26"/>
  <c r="I358" i="26"/>
  <c r="J358" i="26" s="1"/>
  <c r="C358" i="26"/>
  <c r="N357" i="26"/>
  <c r="O357" i="26" s="1"/>
  <c r="P357" i="26" s="1"/>
  <c r="M357" i="26" s="1"/>
  <c r="L357" i="26"/>
  <c r="I357" i="26"/>
  <c r="J357" i="26" s="1"/>
  <c r="C357" i="26"/>
  <c r="N356" i="26"/>
  <c r="O356" i="26" s="1"/>
  <c r="P356" i="26" s="1"/>
  <c r="M356" i="26" s="1"/>
  <c r="L356" i="26"/>
  <c r="I356" i="26"/>
  <c r="J356" i="26" s="1"/>
  <c r="C356" i="26"/>
  <c r="N355" i="26"/>
  <c r="O355" i="26" s="1"/>
  <c r="P355" i="26" s="1"/>
  <c r="M355" i="26" s="1"/>
  <c r="L355" i="26"/>
  <c r="I355" i="26"/>
  <c r="J355" i="26" s="1"/>
  <c r="C355" i="26"/>
  <c r="N354" i="26"/>
  <c r="O354" i="26" s="1"/>
  <c r="P354" i="26" s="1"/>
  <c r="M354" i="26" s="1"/>
  <c r="L354" i="26"/>
  <c r="I354" i="26"/>
  <c r="J354" i="26" s="1"/>
  <c r="C354" i="26"/>
  <c r="N353" i="26"/>
  <c r="O353" i="26" s="1"/>
  <c r="P353" i="26" s="1"/>
  <c r="M353" i="26" s="1"/>
  <c r="L353" i="26"/>
  <c r="I353" i="26"/>
  <c r="J353" i="26" s="1"/>
  <c r="C353" i="26"/>
  <c r="N352" i="26"/>
  <c r="O352" i="26" s="1"/>
  <c r="P352" i="26" s="1"/>
  <c r="M352" i="26" s="1"/>
  <c r="L352" i="26"/>
  <c r="I352" i="26"/>
  <c r="J352" i="26" s="1"/>
  <c r="C352" i="26"/>
  <c r="N351" i="26"/>
  <c r="O351" i="26" s="1"/>
  <c r="P351" i="26" s="1"/>
  <c r="M351" i="26" s="1"/>
  <c r="L351" i="26"/>
  <c r="I351" i="26"/>
  <c r="J351" i="26" s="1"/>
  <c r="C351" i="26"/>
  <c r="N350" i="26"/>
  <c r="O350" i="26" s="1"/>
  <c r="P350" i="26" s="1"/>
  <c r="M350" i="26" s="1"/>
  <c r="L350" i="26"/>
  <c r="I350" i="26"/>
  <c r="J350" i="26" s="1"/>
  <c r="C350" i="26"/>
  <c r="N349" i="26"/>
  <c r="O349" i="26" s="1"/>
  <c r="P349" i="26" s="1"/>
  <c r="M349" i="26" s="1"/>
  <c r="L349" i="26"/>
  <c r="I349" i="26"/>
  <c r="J349" i="26" s="1"/>
  <c r="C349" i="26"/>
  <c r="N348" i="26"/>
  <c r="O348" i="26" s="1"/>
  <c r="P348" i="26" s="1"/>
  <c r="M348" i="26" s="1"/>
  <c r="L348" i="26"/>
  <c r="I348" i="26"/>
  <c r="J348" i="26" s="1"/>
  <c r="C348" i="26"/>
  <c r="N347" i="26"/>
  <c r="O347" i="26" s="1"/>
  <c r="P347" i="26" s="1"/>
  <c r="M347" i="26" s="1"/>
  <c r="L347" i="26"/>
  <c r="I347" i="26"/>
  <c r="J347" i="26" s="1"/>
  <c r="C347" i="26"/>
  <c r="N346" i="26"/>
  <c r="O346" i="26" s="1"/>
  <c r="P346" i="26" s="1"/>
  <c r="M346" i="26" s="1"/>
  <c r="L346" i="26"/>
  <c r="I346" i="26"/>
  <c r="J346" i="26" s="1"/>
  <c r="C346" i="26"/>
  <c r="N345" i="26"/>
  <c r="O345" i="26" s="1"/>
  <c r="P345" i="26" s="1"/>
  <c r="M345" i="26" s="1"/>
  <c r="L345" i="26"/>
  <c r="I345" i="26"/>
  <c r="J345" i="26" s="1"/>
  <c r="C345" i="26"/>
  <c r="N344" i="26"/>
  <c r="O344" i="26" s="1"/>
  <c r="P344" i="26" s="1"/>
  <c r="M344" i="26" s="1"/>
  <c r="L344" i="26"/>
  <c r="I344" i="26"/>
  <c r="J344" i="26" s="1"/>
  <c r="C344" i="26"/>
  <c r="N343" i="26"/>
  <c r="O343" i="26" s="1"/>
  <c r="P343" i="26" s="1"/>
  <c r="M343" i="26" s="1"/>
  <c r="L343" i="26"/>
  <c r="I343" i="26"/>
  <c r="J343" i="26" s="1"/>
  <c r="C343" i="26"/>
  <c r="N342" i="26"/>
  <c r="O342" i="26" s="1"/>
  <c r="P342" i="26" s="1"/>
  <c r="M342" i="26" s="1"/>
  <c r="L342" i="26"/>
  <c r="I342" i="26"/>
  <c r="J342" i="26" s="1"/>
  <c r="C342" i="26"/>
  <c r="N341" i="26"/>
  <c r="O341" i="26" s="1"/>
  <c r="P341" i="26" s="1"/>
  <c r="M341" i="26" s="1"/>
  <c r="L341" i="26"/>
  <c r="I341" i="26"/>
  <c r="J341" i="26" s="1"/>
  <c r="C341" i="26"/>
  <c r="N340" i="26"/>
  <c r="O340" i="26" s="1"/>
  <c r="P340" i="26" s="1"/>
  <c r="M340" i="26" s="1"/>
  <c r="L340" i="26"/>
  <c r="I340" i="26"/>
  <c r="J340" i="26" s="1"/>
  <c r="C340" i="26"/>
  <c r="N339" i="26"/>
  <c r="O339" i="26" s="1"/>
  <c r="P339" i="26" s="1"/>
  <c r="M339" i="26" s="1"/>
  <c r="L339" i="26"/>
  <c r="I339" i="26"/>
  <c r="J339" i="26" s="1"/>
  <c r="C339" i="26"/>
  <c r="N338" i="26"/>
  <c r="O338" i="26" s="1"/>
  <c r="P338" i="26" s="1"/>
  <c r="M338" i="26" s="1"/>
  <c r="L338" i="26"/>
  <c r="I338" i="26"/>
  <c r="J338" i="26" s="1"/>
  <c r="C338" i="26"/>
  <c r="N337" i="26"/>
  <c r="O337" i="26" s="1"/>
  <c r="P337" i="26" s="1"/>
  <c r="M337" i="26" s="1"/>
  <c r="L337" i="26"/>
  <c r="I337" i="26"/>
  <c r="J337" i="26" s="1"/>
  <c r="C337" i="26"/>
  <c r="N336" i="26"/>
  <c r="O336" i="26" s="1"/>
  <c r="P336" i="26" s="1"/>
  <c r="M336" i="26" s="1"/>
  <c r="L336" i="26"/>
  <c r="I336" i="26"/>
  <c r="J336" i="26" s="1"/>
  <c r="C336" i="26"/>
  <c r="N335" i="26"/>
  <c r="O335" i="26" s="1"/>
  <c r="P335" i="26" s="1"/>
  <c r="M335" i="26" s="1"/>
  <c r="L335" i="26"/>
  <c r="I335" i="26"/>
  <c r="J335" i="26" s="1"/>
  <c r="C335" i="26"/>
  <c r="N334" i="26"/>
  <c r="O334" i="26" s="1"/>
  <c r="P334" i="26" s="1"/>
  <c r="M334" i="26" s="1"/>
  <c r="L334" i="26"/>
  <c r="I334" i="26"/>
  <c r="J334" i="26" s="1"/>
  <c r="C334" i="26"/>
  <c r="N333" i="26"/>
  <c r="O333" i="26" s="1"/>
  <c r="P333" i="26" s="1"/>
  <c r="M333" i="26" s="1"/>
  <c r="L333" i="26"/>
  <c r="I333" i="26"/>
  <c r="J333" i="26" s="1"/>
  <c r="C333" i="26"/>
  <c r="N332" i="26"/>
  <c r="O332" i="26" s="1"/>
  <c r="P332" i="26" s="1"/>
  <c r="M332" i="26" s="1"/>
  <c r="L332" i="26"/>
  <c r="I332" i="26"/>
  <c r="J332" i="26" s="1"/>
  <c r="C332" i="26"/>
  <c r="N331" i="26"/>
  <c r="O331" i="26" s="1"/>
  <c r="P331" i="26" s="1"/>
  <c r="M331" i="26" s="1"/>
  <c r="L331" i="26"/>
  <c r="I331" i="26"/>
  <c r="J331" i="26" s="1"/>
  <c r="C331" i="26"/>
  <c r="N330" i="26"/>
  <c r="O330" i="26" s="1"/>
  <c r="P330" i="26" s="1"/>
  <c r="M330" i="26" s="1"/>
  <c r="L330" i="26"/>
  <c r="I330" i="26"/>
  <c r="J330" i="26" s="1"/>
  <c r="C330" i="26"/>
  <c r="N329" i="26"/>
  <c r="O329" i="26" s="1"/>
  <c r="P329" i="26" s="1"/>
  <c r="M329" i="26" s="1"/>
  <c r="L329" i="26"/>
  <c r="I329" i="26"/>
  <c r="J329" i="26" s="1"/>
  <c r="C329" i="26"/>
  <c r="N328" i="26"/>
  <c r="O328" i="26" s="1"/>
  <c r="P328" i="26" s="1"/>
  <c r="M328" i="26" s="1"/>
  <c r="L328" i="26"/>
  <c r="I328" i="26"/>
  <c r="J328" i="26" s="1"/>
  <c r="C328" i="26"/>
  <c r="N327" i="26"/>
  <c r="O327" i="26" s="1"/>
  <c r="P327" i="26" s="1"/>
  <c r="M327" i="26" s="1"/>
  <c r="L327" i="26"/>
  <c r="I327" i="26"/>
  <c r="J327" i="26" s="1"/>
  <c r="P326" i="26"/>
  <c r="M326" i="26" s="1"/>
  <c r="O326" i="26"/>
  <c r="N326" i="26"/>
  <c r="L326" i="26"/>
  <c r="J326" i="26"/>
  <c r="I326" i="26"/>
  <c r="C326" i="26"/>
  <c r="P325" i="26"/>
  <c r="M325" i="26" s="1"/>
  <c r="O325" i="26"/>
  <c r="N325" i="26"/>
  <c r="L325" i="26"/>
  <c r="J325" i="26"/>
  <c r="I325" i="26"/>
  <c r="C325" i="26"/>
  <c r="P324" i="26"/>
  <c r="M324" i="26" s="1"/>
  <c r="O324" i="26"/>
  <c r="N324" i="26"/>
  <c r="L324" i="26"/>
  <c r="J324" i="26"/>
  <c r="I324" i="26"/>
  <c r="C324" i="26"/>
  <c r="P323" i="26"/>
  <c r="M323" i="26" s="1"/>
  <c r="O323" i="26"/>
  <c r="N323" i="26"/>
  <c r="L323" i="26"/>
  <c r="J323" i="26"/>
  <c r="I323" i="26"/>
  <c r="C323" i="26"/>
  <c r="P322" i="26"/>
  <c r="M322" i="26" s="1"/>
  <c r="O322" i="26"/>
  <c r="N322" i="26"/>
  <c r="L322" i="26"/>
  <c r="J322" i="26"/>
  <c r="I322" i="26"/>
  <c r="C322" i="26"/>
  <c r="P321" i="26"/>
  <c r="M321" i="26" s="1"/>
  <c r="O321" i="26"/>
  <c r="N321" i="26"/>
  <c r="L321" i="26"/>
  <c r="J321" i="26"/>
  <c r="I321" i="26"/>
  <c r="C321" i="26"/>
  <c r="P320" i="26"/>
  <c r="M320" i="26" s="1"/>
  <c r="O320" i="26"/>
  <c r="N320" i="26"/>
  <c r="L320" i="26"/>
  <c r="J320" i="26"/>
  <c r="I320" i="26"/>
  <c r="C320" i="26"/>
  <c r="P319" i="26"/>
  <c r="M319" i="26" s="1"/>
  <c r="O319" i="26"/>
  <c r="N319" i="26"/>
  <c r="L319" i="26"/>
  <c r="J319" i="26"/>
  <c r="I319" i="26"/>
  <c r="C319" i="26"/>
  <c r="P318" i="26"/>
  <c r="M318" i="26" s="1"/>
  <c r="O318" i="26"/>
  <c r="N318" i="26"/>
  <c r="L318" i="26"/>
  <c r="J318" i="26"/>
  <c r="I318" i="26"/>
  <c r="C318" i="26"/>
  <c r="P317" i="26"/>
  <c r="M317" i="26" s="1"/>
  <c r="O317" i="26"/>
  <c r="N317" i="26"/>
  <c r="L317" i="26"/>
  <c r="J317" i="26"/>
  <c r="I317" i="26"/>
  <c r="C317" i="26"/>
  <c r="P316" i="26"/>
  <c r="M316" i="26" s="1"/>
  <c r="O316" i="26"/>
  <c r="N316" i="26"/>
  <c r="L316" i="26"/>
  <c r="J316" i="26"/>
  <c r="I316" i="26"/>
  <c r="C316" i="26"/>
  <c r="P315" i="26"/>
  <c r="M315" i="26" s="1"/>
  <c r="O315" i="26"/>
  <c r="N315" i="26"/>
  <c r="L315" i="26"/>
  <c r="J315" i="26"/>
  <c r="I315" i="26"/>
  <c r="C315" i="26"/>
  <c r="P314" i="26"/>
  <c r="M314" i="26" s="1"/>
  <c r="O314" i="26"/>
  <c r="N314" i="26"/>
  <c r="L314" i="26"/>
  <c r="J314" i="26"/>
  <c r="I314" i="26"/>
  <c r="C314" i="26"/>
  <c r="P313" i="26"/>
  <c r="M313" i="26" s="1"/>
  <c r="O313" i="26"/>
  <c r="N313" i="26"/>
  <c r="L313" i="26"/>
  <c r="J313" i="26"/>
  <c r="I313" i="26"/>
  <c r="C313" i="26"/>
  <c r="P312" i="26"/>
  <c r="M312" i="26" s="1"/>
  <c r="O312" i="26"/>
  <c r="N312" i="26"/>
  <c r="L312" i="26"/>
  <c r="J312" i="26"/>
  <c r="I312" i="26"/>
  <c r="C312" i="26"/>
  <c r="P311" i="26"/>
  <c r="M311" i="26" s="1"/>
  <c r="O311" i="26"/>
  <c r="N311" i="26"/>
  <c r="L311" i="26"/>
  <c r="J311" i="26"/>
  <c r="I311" i="26"/>
  <c r="C311" i="26"/>
  <c r="P310" i="26"/>
  <c r="M310" i="26" s="1"/>
  <c r="O310" i="26"/>
  <c r="N310" i="26"/>
  <c r="L310" i="26"/>
  <c r="J310" i="26"/>
  <c r="I310" i="26"/>
  <c r="C310" i="26"/>
  <c r="P309" i="26"/>
  <c r="M309" i="26" s="1"/>
  <c r="O309" i="26"/>
  <c r="N309" i="26"/>
  <c r="L309" i="26"/>
  <c r="J309" i="26"/>
  <c r="I309" i="26"/>
  <c r="C309" i="26"/>
  <c r="P308" i="26"/>
  <c r="M308" i="26" s="1"/>
  <c r="O308" i="26"/>
  <c r="N308" i="26"/>
  <c r="L308" i="26"/>
  <c r="J308" i="26"/>
  <c r="I308" i="26"/>
  <c r="C308" i="26"/>
  <c r="P307" i="26"/>
  <c r="M307" i="26" s="1"/>
  <c r="O307" i="26"/>
  <c r="N307" i="26"/>
  <c r="L307" i="26"/>
  <c r="J307" i="26"/>
  <c r="I307" i="26"/>
  <c r="C307" i="26"/>
  <c r="P306" i="26"/>
  <c r="M306" i="26" s="1"/>
  <c r="O306" i="26"/>
  <c r="N306" i="26"/>
  <c r="L306" i="26"/>
  <c r="J306" i="26"/>
  <c r="I306" i="26"/>
  <c r="C306" i="26"/>
  <c r="P305" i="26"/>
  <c r="M305" i="26" s="1"/>
  <c r="O305" i="26"/>
  <c r="N305" i="26"/>
  <c r="L305" i="26"/>
  <c r="J305" i="26"/>
  <c r="I305" i="26"/>
  <c r="C305" i="26"/>
  <c r="P304" i="26"/>
  <c r="M304" i="26" s="1"/>
  <c r="O304" i="26"/>
  <c r="N304" i="26"/>
  <c r="L304" i="26"/>
  <c r="J304" i="26"/>
  <c r="I304" i="26"/>
  <c r="C304" i="26"/>
  <c r="P303" i="26"/>
  <c r="M303" i="26" s="1"/>
  <c r="O303" i="26"/>
  <c r="N303" i="26"/>
  <c r="L303" i="26"/>
  <c r="J303" i="26"/>
  <c r="I303" i="26"/>
  <c r="C303" i="26"/>
  <c r="P302" i="26"/>
  <c r="M302" i="26" s="1"/>
  <c r="O302" i="26"/>
  <c r="N302" i="26"/>
  <c r="L302" i="26"/>
  <c r="J302" i="26"/>
  <c r="I302" i="26"/>
  <c r="C302" i="26"/>
  <c r="P301" i="26"/>
  <c r="M301" i="26" s="1"/>
  <c r="O301" i="26"/>
  <c r="N301" i="26"/>
  <c r="L301" i="26"/>
  <c r="J301" i="26"/>
  <c r="I301" i="26"/>
  <c r="C301" i="26"/>
  <c r="P300" i="26"/>
  <c r="M300" i="26" s="1"/>
  <c r="O300" i="26"/>
  <c r="N300" i="26"/>
  <c r="L300" i="26"/>
  <c r="J300" i="26"/>
  <c r="I300" i="26"/>
  <c r="C300" i="26"/>
  <c r="P299" i="26"/>
  <c r="M299" i="26" s="1"/>
  <c r="O299" i="26"/>
  <c r="N299" i="26"/>
  <c r="L299" i="26"/>
  <c r="J299" i="26"/>
  <c r="I299" i="26"/>
  <c r="C299" i="26"/>
  <c r="P298" i="26"/>
  <c r="M298" i="26" s="1"/>
  <c r="O298" i="26"/>
  <c r="N298" i="26"/>
  <c r="L298" i="26"/>
  <c r="J298" i="26"/>
  <c r="I298" i="26"/>
  <c r="C298" i="26"/>
  <c r="P297" i="26"/>
  <c r="M297" i="26" s="1"/>
  <c r="O297" i="26"/>
  <c r="N297" i="26"/>
  <c r="L297" i="26"/>
  <c r="J297" i="26"/>
  <c r="I297" i="26"/>
  <c r="C297" i="26"/>
  <c r="P296" i="26"/>
  <c r="M296" i="26" s="1"/>
  <c r="O296" i="26"/>
  <c r="N296" i="26"/>
  <c r="L296" i="26"/>
  <c r="J296" i="26"/>
  <c r="I296" i="26"/>
  <c r="C296" i="26"/>
  <c r="P295" i="26"/>
  <c r="M295" i="26" s="1"/>
  <c r="O295" i="26"/>
  <c r="N295" i="26"/>
  <c r="L295" i="26"/>
  <c r="J295" i="26"/>
  <c r="I295" i="26"/>
  <c r="C295" i="26"/>
  <c r="P294" i="26"/>
  <c r="M294" i="26" s="1"/>
  <c r="O294" i="26"/>
  <c r="N294" i="26"/>
  <c r="L294" i="26"/>
  <c r="J294" i="26"/>
  <c r="I294" i="26"/>
  <c r="C294" i="26"/>
  <c r="P293" i="26"/>
  <c r="M293" i="26" s="1"/>
  <c r="O293" i="26"/>
  <c r="N293" i="26"/>
  <c r="L293" i="26"/>
  <c r="J293" i="26"/>
  <c r="I293" i="26"/>
  <c r="C293" i="26"/>
  <c r="P292" i="26"/>
  <c r="M292" i="26" s="1"/>
  <c r="O292" i="26"/>
  <c r="N292" i="26"/>
  <c r="L292" i="26"/>
  <c r="J292" i="26"/>
  <c r="I292" i="26"/>
  <c r="C292" i="26"/>
  <c r="P291" i="26"/>
  <c r="M291" i="26" s="1"/>
  <c r="O291" i="26"/>
  <c r="N291" i="26"/>
  <c r="L291" i="26"/>
  <c r="J291" i="26"/>
  <c r="I291" i="26"/>
  <c r="C291" i="26"/>
  <c r="P290" i="26"/>
  <c r="M290" i="26" s="1"/>
  <c r="O290" i="26"/>
  <c r="N290" i="26"/>
  <c r="L290" i="26"/>
  <c r="J290" i="26"/>
  <c r="I290" i="26"/>
  <c r="C290" i="26"/>
  <c r="P289" i="26"/>
  <c r="M289" i="26" s="1"/>
  <c r="O289" i="26"/>
  <c r="N289" i="26"/>
  <c r="L289" i="26"/>
  <c r="J289" i="26"/>
  <c r="I289" i="26"/>
  <c r="C289" i="26"/>
  <c r="P288" i="26"/>
  <c r="M288" i="26" s="1"/>
  <c r="O288" i="26"/>
  <c r="N288" i="26"/>
  <c r="L288" i="26"/>
  <c r="J288" i="26"/>
  <c r="I288" i="26"/>
  <c r="C288" i="26"/>
  <c r="P287" i="26"/>
  <c r="M287" i="26" s="1"/>
  <c r="O287" i="26"/>
  <c r="N287" i="26"/>
  <c r="L287" i="26"/>
  <c r="J287" i="26"/>
  <c r="I287" i="26"/>
  <c r="C287" i="26"/>
  <c r="O286" i="26"/>
  <c r="P286" i="26" s="1"/>
  <c r="M286" i="26" s="1"/>
  <c r="N286" i="26"/>
  <c r="L286" i="26"/>
  <c r="J286" i="26"/>
  <c r="I286" i="26"/>
  <c r="C286" i="26"/>
  <c r="O285" i="26"/>
  <c r="P285" i="26" s="1"/>
  <c r="M285" i="26" s="1"/>
  <c r="N285" i="26"/>
  <c r="L285" i="26"/>
  <c r="J285" i="26"/>
  <c r="I285" i="26"/>
  <c r="C285" i="26"/>
  <c r="O284" i="26"/>
  <c r="P284" i="26" s="1"/>
  <c r="M284" i="26" s="1"/>
  <c r="N284" i="26"/>
  <c r="L284" i="26"/>
  <c r="J284" i="26"/>
  <c r="I284" i="26"/>
  <c r="C284" i="26"/>
  <c r="O283" i="26"/>
  <c r="P283" i="26" s="1"/>
  <c r="M283" i="26" s="1"/>
  <c r="N283" i="26"/>
  <c r="L283" i="26"/>
  <c r="J283" i="26"/>
  <c r="I283" i="26"/>
  <c r="C283" i="26"/>
  <c r="O282" i="26"/>
  <c r="P282" i="26" s="1"/>
  <c r="M282" i="26" s="1"/>
  <c r="N282" i="26"/>
  <c r="L282" i="26"/>
  <c r="J282" i="26"/>
  <c r="I282" i="26"/>
  <c r="C282" i="26"/>
  <c r="O281" i="26"/>
  <c r="P281" i="26" s="1"/>
  <c r="M281" i="26" s="1"/>
  <c r="N281" i="26"/>
  <c r="L281" i="26"/>
  <c r="J281" i="26"/>
  <c r="I281" i="26"/>
  <c r="C281" i="26"/>
  <c r="O280" i="26"/>
  <c r="P280" i="26" s="1"/>
  <c r="M280" i="26" s="1"/>
  <c r="N280" i="26"/>
  <c r="L280" i="26"/>
  <c r="J280" i="26"/>
  <c r="I280" i="26"/>
  <c r="C280" i="26"/>
  <c r="O279" i="26"/>
  <c r="P279" i="26" s="1"/>
  <c r="M279" i="26" s="1"/>
  <c r="N279" i="26"/>
  <c r="L279" i="26"/>
  <c r="J279" i="26"/>
  <c r="I279" i="26"/>
  <c r="C279" i="26"/>
  <c r="O278" i="26"/>
  <c r="P278" i="26" s="1"/>
  <c r="M278" i="26" s="1"/>
  <c r="N278" i="26"/>
  <c r="L278" i="26"/>
  <c r="J278" i="26"/>
  <c r="I278" i="26"/>
  <c r="C278" i="26"/>
  <c r="O277" i="26"/>
  <c r="P277" i="26" s="1"/>
  <c r="M277" i="26" s="1"/>
  <c r="N277" i="26"/>
  <c r="L277" i="26"/>
  <c r="J277" i="26"/>
  <c r="I277" i="26"/>
  <c r="C277" i="26"/>
  <c r="O276" i="26"/>
  <c r="P276" i="26" s="1"/>
  <c r="M276" i="26" s="1"/>
  <c r="N276" i="26"/>
  <c r="L276" i="26"/>
  <c r="J276" i="26"/>
  <c r="I276" i="26"/>
  <c r="C276" i="26"/>
  <c r="O275" i="26"/>
  <c r="P275" i="26" s="1"/>
  <c r="M275" i="26" s="1"/>
  <c r="N275" i="26"/>
  <c r="L275" i="26"/>
  <c r="J275" i="26"/>
  <c r="I275" i="26"/>
  <c r="C275" i="26"/>
  <c r="O274" i="26"/>
  <c r="P274" i="26" s="1"/>
  <c r="M274" i="26" s="1"/>
  <c r="N274" i="26"/>
  <c r="L274" i="26"/>
  <c r="J274" i="26"/>
  <c r="I274" i="26"/>
  <c r="C274" i="26"/>
  <c r="O273" i="26"/>
  <c r="P273" i="26" s="1"/>
  <c r="M273" i="26" s="1"/>
  <c r="N273" i="26"/>
  <c r="L273" i="26"/>
  <c r="J273" i="26"/>
  <c r="I273" i="26"/>
  <c r="C273" i="26"/>
  <c r="O272" i="26"/>
  <c r="P272" i="26" s="1"/>
  <c r="M272" i="26" s="1"/>
  <c r="N272" i="26"/>
  <c r="L272" i="26"/>
  <c r="J272" i="26"/>
  <c r="I272" i="26"/>
  <c r="C272" i="26"/>
  <c r="O271" i="26"/>
  <c r="P271" i="26" s="1"/>
  <c r="M271" i="26" s="1"/>
  <c r="N271" i="26"/>
  <c r="L271" i="26"/>
  <c r="J271" i="26"/>
  <c r="I271" i="26"/>
  <c r="C271" i="26"/>
  <c r="O270" i="26"/>
  <c r="P270" i="26" s="1"/>
  <c r="M270" i="26" s="1"/>
  <c r="N270" i="26"/>
  <c r="L270" i="26"/>
  <c r="J270" i="26"/>
  <c r="I270" i="26"/>
  <c r="C270" i="26"/>
  <c r="O269" i="26"/>
  <c r="P269" i="26" s="1"/>
  <c r="M269" i="26" s="1"/>
  <c r="N269" i="26"/>
  <c r="L269" i="26"/>
  <c r="J269" i="26"/>
  <c r="I269" i="26"/>
  <c r="C269" i="26"/>
  <c r="O268" i="26"/>
  <c r="P268" i="26" s="1"/>
  <c r="M268" i="26" s="1"/>
  <c r="N268" i="26"/>
  <c r="L268" i="26"/>
  <c r="J268" i="26"/>
  <c r="I268" i="26"/>
  <c r="C268" i="26"/>
  <c r="O267" i="26"/>
  <c r="P267" i="26" s="1"/>
  <c r="M267" i="26" s="1"/>
  <c r="N267" i="26"/>
  <c r="L267" i="26"/>
  <c r="J267" i="26"/>
  <c r="I267" i="26"/>
  <c r="C267" i="26"/>
  <c r="O266" i="26"/>
  <c r="P266" i="26" s="1"/>
  <c r="M266" i="26" s="1"/>
  <c r="N266" i="26"/>
  <c r="L266" i="26"/>
  <c r="J266" i="26"/>
  <c r="I266" i="26"/>
  <c r="C266" i="26"/>
  <c r="O265" i="26"/>
  <c r="P265" i="26" s="1"/>
  <c r="M265" i="26" s="1"/>
  <c r="N265" i="26"/>
  <c r="L265" i="26"/>
  <c r="J265" i="26"/>
  <c r="I265" i="26"/>
  <c r="C265" i="26"/>
  <c r="O264" i="26"/>
  <c r="P264" i="26" s="1"/>
  <c r="M264" i="26" s="1"/>
  <c r="N264" i="26"/>
  <c r="L264" i="26"/>
  <c r="J264" i="26"/>
  <c r="I264" i="26"/>
  <c r="C264" i="26"/>
  <c r="O263" i="26"/>
  <c r="P263" i="26" s="1"/>
  <c r="M263" i="26" s="1"/>
  <c r="N263" i="26"/>
  <c r="L263" i="26"/>
  <c r="J263" i="26"/>
  <c r="I263" i="26"/>
  <c r="C263" i="26"/>
  <c r="O262" i="26"/>
  <c r="P262" i="26" s="1"/>
  <c r="M262" i="26" s="1"/>
  <c r="N262" i="26"/>
  <c r="L262" i="26"/>
  <c r="J262" i="26"/>
  <c r="I262" i="26"/>
  <c r="C262" i="26"/>
  <c r="O261" i="26"/>
  <c r="P261" i="26" s="1"/>
  <c r="M261" i="26" s="1"/>
  <c r="N261" i="26"/>
  <c r="L261" i="26"/>
  <c r="J261" i="26"/>
  <c r="I261" i="26"/>
  <c r="C261" i="26"/>
  <c r="O260" i="26"/>
  <c r="P260" i="26" s="1"/>
  <c r="M260" i="26" s="1"/>
  <c r="N260" i="26"/>
  <c r="L260" i="26"/>
  <c r="J260" i="26"/>
  <c r="I260" i="26"/>
  <c r="C260" i="26"/>
  <c r="O259" i="26"/>
  <c r="P259" i="26" s="1"/>
  <c r="M259" i="26" s="1"/>
  <c r="N259" i="26"/>
  <c r="L259" i="26"/>
  <c r="J259" i="26"/>
  <c r="I259" i="26"/>
  <c r="C259" i="26"/>
  <c r="O258" i="26"/>
  <c r="P258" i="26" s="1"/>
  <c r="M258" i="26" s="1"/>
  <c r="N258" i="26"/>
  <c r="L258" i="26"/>
  <c r="J258" i="26"/>
  <c r="I258" i="26"/>
  <c r="C258" i="26"/>
  <c r="O257" i="26"/>
  <c r="P257" i="26" s="1"/>
  <c r="M257" i="26" s="1"/>
  <c r="N257" i="26"/>
  <c r="L257" i="26"/>
  <c r="J257" i="26"/>
  <c r="I257" i="26"/>
  <c r="C257" i="26"/>
  <c r="O256" i="26"/>
  <c r="P256" i="26" s="1"/>
  <c r="M256" i="26" s="1"/>
  <c r="N256" i="26"/>
  <c r="L256" i="26"/>
  <c r="J256" i="26"/>
  <c r="I256" i="26"/>
  <c r="C256" i="26"/>
  <c r="O255" i="26"/>
  <c r="P255" i="26" s="1"/>
  <c r="M255" i="26" s="1"/>
  <c r="N255" i="26"/>
  <c r="L255" i="26"/>
  <c r="J255" i="26"/>
  <c r="I255" i="26"/>
  <c r="C255" i="26"/>
  <c r="O254" i="26"/>
  <c r="P254" i="26" s="1"/>
  <c r="M254" i="26" s="1"/>
  <c r="N254" i="26"/>
  <c r="L254" i="26"/>
  <c r="J254" i="26"/>
  <c r="I254" i="26"/>
  <c r="C254" i="26"/>
  <c r="J253" i="26"/>
  <c r="I253" i="26"/>
  <c r="H253" i="26"/>
  <c r="N253" i="26" s="1"/>
  <c r="O253" i="26" s="1"/>
  <c r="P253" i="26" s="1"/>
  <c r="M253" i="26" s="1"/>
  <c r="C253" i="26"/>
  <c r="I252" i="26"/>
  <c r="J252" i="26" s="1"/>
  <c r="H252" i="26"/>
  <c r="N252" i="26" s="1"/>
  <c r="O252" i="26" s="1"/>
  <c r="P252" i="26" s="1"/>
  <c r="M252" i="26" s="1"/>
  <c r="C252" i="26"/>
  <c r="N251" i="26"/>
  <c r="O251" i="26" s="1"/>
  <c r="P251" i="26" s="1"/>
  <c r="M251" i="26" s="1"/>
  <c r="L251" i="26"/>
  <c r="J251" i="26"/>
  <c r="I251" i="26"/>
  <c r="C251" i="26"/>
  <c r="N250" i="26"/>
  <c r="O250" i="26" s="1"/>
  <c r="P250" i="26" s="1"/>
  <c r="M250" i="26" s="1"/>
  <c r="L250" i="26"/>
  <c r="J250" i="26"/>
  <c r="I250" i="26"/>
  <c r="C250" i="26"/>
  <c r="N249" i="26"/>
  <c r="O249" i="26" s="1"/>
  <c r="P249" i="26" s="1"/>
  <c r="M249" i="26" s="1"/>
  <c r="L249" i="26"/>
  <c r="J249" i="26"/>
  <c r="I249" i="26"/>
  <c r="C249" i="26"/>
  <c r="N248" i="26"/>
  <c r="O248" i="26" s="1"/>
  <c r="P248" i="26" s="1"/>
  <c r="M248" i="26" s="1"/>
  <c r="L248" i="26"/>
  <c r="J248" i="26"/>
  <c r="I248" i="26"/>
  <c r="C248" i="26"/>
  <c r="N247" i="26"/>
  <c r="O247" i="26" s="1"/>
  <c r="P247" i="26" s="1"/>
  <c r="M247" i="26" s="1"/>
  <c r="L247" i="26"/>
  <c r="J247" i="26"/>
  <c r="I247" i="26"/>
  <c r="C247" i="26"/>
  <c r="N246" i="26"/>
  <c r="O246" i="26" s="1"/>
  <c r="P246" i="26" s="1"/>
  <c r="M246" i="26" s="1"/>
  <c r="L246" i="26"/>
  <c r="J246" i="26"/>
  <c r="I246" i="26"/>
  <c r="C246" i="26"/>
  <c r="N245" i="26"/>
  <c r="O245" i="26" s="1"/>
  <c r="P245" i="26" s="1"/>
  <c r="M245" i="26" s="1"/>
  <c r="L245" i="26"/>
  <c r="J245" i="26"/>
  <c r="I245" i="26"/>
  <c r="C245" i="26"/>
  <c r="N244" i="26"/>
  <c r="O244" i="26" s="1"/>
  <c r="P244" i="26" s="1"/>
  <c r="M244" i="26" s="1"/>
  <c r="L244" i="26"/>
  <c r="J244" i="26"/>
  <c r="I244" i="26"/>
  <c r="C244" i="26"/>
  <c r="N243" i="26"/>
  <c r="O243" i="26" s="1"/>
  <c r="P243" i="26" s="1"/>
  <c r="M243" i="26" s="1"/>
  <c r="L243" i="26"/>
  <c r="J243" i="26"/>
  <c r="I243" i="26"/>
  <c r="C243" i="26"/>
  <c r="N242" i="26"/>
  <c r="O242" i="26" s="1"/>
  <c r="P242" i="26" s="1"/>
  <c r="M242" i="26" s="1"/>
  <c r="L242" i="26"/>
  <c r="J242" i="26"/>
  <c r="I242" i="26"/>
  <c r="C242" i="26"/>
  <c r="N241" i="26"/>
  <c r="O241" i="26" s="1"/>
  <c r="P241" i="26" s="1"/>
  <c r="M241" i="26" s="1"/>
  <c r="L241" i="26"/>
  <c r="J241" i="26"/>
  <c r="I241" i="26"/>
  <c r="C241" i="26"/>
  <c r="N240" i="26"/>
  <c r="O240" i="26" s="1"/>
  <c r="P240" i="26" s="1"/>
  <c r="M240" i="26" s="1"/>
  <c r="L240" i="26"/>
  <c r="J240" i="26"/>
  <c r="I240" i="26"/>
  <c r="C240" i="26"/>
  <c r="N239" i="26"/>
  <c r="O239" i="26" s="1"/>
  <c r="P239" i="26" s="1"/>
  <c r="M239" i="26" s="1"/>
  <c r="L239" i="26"/>
  <c r="J239" i="26"/>
  <c r="I239" i="26"/>
  <c r="C239" i="26"/>
  <c r="N238" i="26"/>
  <c r="O238" i="26" s="1"/>
  <c r="P238" i="26" s="1"/>
  <c r="M238" i="26" s="1"/>
  <c r="L238" i="26"/>
  <c r="J238" i="26"/>
  <c r="I238" i="26"/>
  <c r="C238" i="26"/>
  <c r="N237" i="26"/>
  <c r="O237" i="26" s="1"/>
  <c r="P237" i="26" s="1"/>
  <c r="M237" i="26" s="1"/>
  <c r="L237" i="26"/>
  <c r="J237" i="26"/>
  <c r="I237" i="26"/>
  <c r="C237" i="26"/>
  <c r="N236" i="26"/>
  <c r="O236" i="26" s="1"/>
  <c r="P236" i="26" s="1"/>
  <c r="M236" i="26" s="1"/>
  <c r="L236" i="26"/>
  <c r="J236" i="26"/>
  <c r="I236" i="26"/>
  <c r="C236" i="26"/>
  <c r="N235" i="26"/>
  <c r="O235" i="26" s="1"/>
  <c r="P235" i="26" s="1"/>
  <c r="M235" i="26" s="1"/>
  <c r="L235" i="26"/>
  <c r="J235" i="26"/>
  <c r="I235" i="26"/>
  <c r="C235" i="26"/>
  <c r="N234" i="26"/>
  <c r="O234" i="26" s="1"/>
  <c r="P234" i="26" s="1"/>
  <c r="M234" i="26" s="1"/>
  <c r="L234" i="26"/>
  <c r="J234" i="26"/>
  <c r="I234" i="26"/>
  <c r="C234" i="26"/>
  <c r="N233" i="26"/>
  <c r="O233" i="26" s="1"/>
  <c r="P233" i="26" s="1"/>
  <c r="M233" i="26" s="1"/>
  <c r="L233" i="26"/>
  <c r="J233" i="26"/>
  <c r="I233" i="26"/>
  <c r="C233" i="26"/>
  <c r="N232" i="26"/>
  <c r="O232" i="26" s="1"/>
  <c r="P232" i="26" s="1"/>
  <c r="M232" i="26" s="1"/>
  <c r="L232" i="26"/>
  <c r="J232" i="26"/>
  <c r="I232" i="26"/>
  <c r="C232" i="26"/>
  <c r="N231" i="26"/>
  <c r="O231" i="26" s="1"/>
  <c r="P231" i="26" s="1"/>
  <c r="M231" i="26" s="1"/>
  <c r="L231" i="26"/>
  <c r="J231" i="26"/>
  <c r="I231" i="26"/>
  <c r="C231" i="26"/>
  <c r="N230" i="26"/>
  <c r="O230" i="26" s="1"/>
  <c r="P230" i="26" s="1"/>
  <c r="M230" i="26" s="1"/>
  <c r="L230" i="26"/>
  <c r="J230" i="26"/>
  <c r="I230" i="26"/>
  <c r="C230" i="26"/>
  <c r="N229" i="26"/>
  <c r="O229" i="26" s="1"/>
  <c r="P229" i="26" s="1"/>
  <c r="M229" i="26" s="1"/>
  <c r="L229" i="26"/>
  <c r="J229" i="26"/>
  <c r="I229" i="26"/>
  <c r="C229" i="26"/>
  <c r="N228" i="26"/>
  <c r="O228" i="26" s="1"/>
  <c r="P228" i="26" s="1"/>
  <c r="M228" i="26" s="1"/>
  <c r="L228" i="26"/>
  <c r="J228" i="26"/>
  <c r="I228" i="26"/>
  <c r="C228" i="26"/>
  <c r="N227" i="26"/>
  <c r="O227" i="26" s="1"/>
  <c r="P227" i="26" s="1"/>
  <c r="M227" i="26" s="1"/>
  <c r="L227" i="26"/>
  <c r="J227" i="26"/>
  <c r="I227" i="26"/>
  <c r="C227" i="26"/>
  <c r="N226" i="26"/>
  <c r="O226" i="26" s="1"/>
  <c r="P226" i="26" s="1"/>
  <c r="M226" i="26" s="1"/>
  <c r="L226" i="26"/>
  <c r="J226" i="26"/>
  <c r="I226" i="26"/>
  <c r="C226" i="26"/>
  <c r="N225" i="26"/>
  <c r="O225" i="26" s="1"/>
  <c r="P225" i="26" s="1"/>
  <c r="M225" i="26" s="1"/>
  <c r="L225" i="26"/>
  <c r="J225" i="26"/>
  <c r="I225" i="26"/>
  <c r="C225" i="26"/>
  <c r="N224" i="26"/>
  <c r="O224" i="26" s="1"/>
  <c r="P224" i="26" s="1"/>
  <c r="M224" i="26" s="1"/>
  <c r="L224" i="26"/>
  <c r="J224" i="26"/>
  <c r="I224" i="26"/>
  <c r="C224" i="26"/>
  <c r="N223" i="26"/>
  <c r="O223" i="26" s="1"/>
  <c r="P223" i="26" s="1"/>
  <c r="M223" i="26" s="1"/>
  <c r="L223" i="26"/>
  <c r="J223" i="26"/>
  <c r="I223" i="26"/>
  <c r="C223" i="26"/>
  <c r="N222" i="26"/>
  <c r="O222" i="26" s="1"/>
  <c r="P222" i="26" s="1"/>
  <c r="M222" i="26" s="1"/>
  <c r="L222" i="26"/>
  <c r="J222" i="26"/>
  <c r="I222" i="26"/>
  <c r="C222" i="26"/>
  <c r="N221" i="26"/>
  <c r="O221" i="26" s="1"/>
  <c r="P221" i="26" s="1"/>
  <c r="M221" i="26" s="1"/>
  <c r="L221" i="26"/>
  <c r="J221" i="26"/>
  <c r="I221" i="26"/>
  <c r="C221" i="26"/>
  <c r="N220" i="26"/>
  <c r="O220" i="26" s="1"/>
  <c r="P220" i="26" s="1"/>
  <c r="M220" i="26" s="1"/>
  <c r="L220" i="26"/>
  <c r="J220" i="26"/>
  <c r="I220" i="26"/>
  <c r="C220" i="26"/>
  <c r="N219" i="26"/>
  <c r="O219" i="26" s="1"/>
  <c r="P219" i="26" s="1"/>
  <c r="M219" i="26" s="1"/>
  <c r="L219" i="26"/>
  <c r="J219" i="26"/>
  <c r="I219" i="26"/>
  <c r="C219" i="26"/>
  <c r="N218" i="26"/>
  <c r="O218" i="26" s="1"/>
  <c r="P218" i="26" s="1"/>
  <c r="M218" i="26" s="1"/>
  <c r="L218" i="26"/>
  <c r="J218" i="26"/>
  <c r="I218" i="26"/>
  <c r="C218" i="26"/>
  <c r="N217" i="26"/>
  <c r="O217" i="26" s="1"/>
  <c r="P217" i="26" s="1"/>
  <c r="M217" i="26" s="1"/>
  <c r="L217" i="26"/>
  <c r="I217" i="26"/>
  <c r="J217" i="26" s="1"/>
  <c r="C217" i="26"/>
  <c r="N216" i="26"/>
  <c r="O216" i="26" s="1"/>
  <c r="P216" i="26" s="1"/>
  <c r="M216" i="26" s="1"/>
  <c r="L216" i="26"/>
  <c r="I216" i="26"/>
  <c r="J216" i="26" s="1"/>
  <c r="C216" i="26"/>
  <c r="I215" i="26"/>
  <c r="J215" i="26" s="1"/>
  <c r="H215" i="26"/>
  <c r="N215" i="26" s="1"/>
  <c r="O215" i="26" s="1"/>
  <c r="P215" i="26" s="1"/>
  <c r="M215" i="26" s="1"/>
  <c r="C215" i="26"/>
  <c r="O214" i="26"/>
  <c r="P214" i="26" s="1"/>
  <c r="M214" i="26" s="1"/>
  <c r="N214" i="26"/>
  <c r="L214" i="26"/>
  <c r="I214" i="26"/>
  <c r="J214" i="26" s="1"/>
  <c r="C214" i="26"/>
  <c r="N213" i="26"/>
  <c r="O213" i="26" s="1"/>
  <c r="P213" i="26" s="1"/>
  <c r="M213" i="26" s="1"/>
  <c r="L213" i="26"/>
  <c r="I213" i="26"/>
  <c r="J213" i="26" s="1"/>
  <c r="C213" i="26"/>
  <c r="I212" i="26"/>
  <c r="J212" i="26" s="1"/>
  <c r="H212" i="26"/>
  <c r="N212" i="26" s="1"/>
  <c r="O212" i="26" s="1"/>
  <c r="P212" i="26" s="1"/>
  <c r="M212" i="26" s="1"/>
  <c r="C212" i="26"/>
  <c r="N211" i="26"/>
  <c r="O211" i="26" s="1"/>
  <c r="P211" i="26" s="1"/>
  <c r="M211" i="26" s="1"/>
  <c r="L211" i="26"/>
  <c r="J211" i="26"/>
  <c r="I211" i="26"/>
  <c r="C211" i="26"/>
  <c r="N210" i="26"/>
  <c r="O210" i="26" s="1"/>
  <c r="P210" i="26" s="1"/>
  <c r="M210" i="26" s="1"/>
  <c r="L210" i="26"/>
  <c r="J210" i="26"/>
  <c r="I210" i="26"/>
  <c r="C210" i="26"/>
  <c r="N209" i="26"/>
  <c r="O209" i="26" s="1"/>
  <c r="P209" i="26" s="1"/>
  <c r="M209" i="26" s="1"/>
  <c r="L209" i="26"/>
  <c r="J209" i="26"/>
  <c r="I209" i="26"/>
  <c r="C209" i="26"/>
  <c r="J208" i="26"/>
  <c r="I208" i="26"/>
  <c r="H208" i="26"/>
  <c r="N208" i="26" s="1"/>
  <c r="O208" i="26" s="1"/>
  <c r="P208" i="26" s="1"/>
  <c r="M208" i="26" s="1"/>
  <c r="C208" i="26"/>
  <c r="L207" i="26"/>
  <c r="I207" i="26"/>
  <c r="J207" i="26" s="1"/>
  <c r="H207" i="26"/>
  <c r="N207" i="26" s="1"/>
  <c r="O207" i="26" s="1"/>
  <c r="P207" i="26" s="1"/>
  <c r="M207" i="26" s="1"/>
  <c r="C207" i="26"/>
  <c r="N206" i="26"/>
  <c r="O206" i="26" s="1"/>
  <c r="P206" i="26" s="1"/>
  <c r="M206" i="26" s="1"/>
  <c r="L206" i="26"/>
  <c r="J206" i="26"/>
  <c r="I206" i="26"/>
  <c r="C206" i="26"/>
  <c r="N205" i="26"/>
  <c r="O205" i="26" s="1"/>
  <c r="P205" i="26" s="1"/>
  <c r="M205" i="26" s="1"/>
  <c r="L205" i="26"/>
  <c r="J205" i="26"/>
  <c r="I205" i="26"/>
  <c r="C205" i="26"/>
  <c r="N204" i="26"/>
  <c r="O204" i="26" s="1"/>
  <c r="P204" i="26" s="1"/>
  <c r="M204" i="26" s="1"/>
  <c r="L204" i="26"/>
  <c r="J204" i="26"/>
  <c r="I204" i="26"/>
  <c r="C204" i="26"/>
  <c r="N203" i="26"/>
  <c r="O203" i="26" s="1"/>
  <c r="P203" i="26" s="1"/>
  <c r="M203" i="26" s="1"/>
  <c r="L203" i="26"/>
  <c r="J203" i="26"/>
  <c r="I203" i="26"/>
  <c r="C203" i="26"/>
  <c r="J202" i="26"/>
  <c r="I202" i="26"/>
  <c r="H202" i="26"/>
  <c r="L202" i="26" s="1"/>
  <c r="C202" i="26"/>
  <c r="N201" i="26"/>
  <c r="O201" i="26" s="1"/>
  <c r="P201" i="26" s="1"/>
  <c r="M201" i="26" s="1"/>
  <c r="L201" i="26"/>
  <c r="I201" i="26"/>
  <c r="J201" i="26" s="1"/>
  <c r="C201" i="26"/>
  <c r="N200" i="26"/>
  <c r="O200" i="26" s="1"/>
  <c r="P200" i="26" s="1"/>
  <c r="M200" i="26" s="1"/>
  <c r="L200" i="26"/>
  <c r="I200" i="26"/>
  <c r="J200" i="26" s="1"/>
  <c r="H200" i="26"/>
  <c r="C200" i="26"/>
  <c r="O199" i="26"/>
  <c r="P199" i="26" s="1"/>
  <c r="M199" i="26" s="1"/>
  <c r="N199" i="26"/>
  <c r="L199" i="26"/>
  <c r="J199" i="26"/>
  <c r="I199" i="26"/>
  <c r="H199" i="26"/>
  <c r="C199" i="26"/>
  <c r="N198" i="26"/>
  <c r="O198" i="26" s="1"/>
  <c r="P198" i="26" s="1"/>
  <c r="M198" i="26" s="1"/>
  <c r="L198" i="26"/>
  <c r="J198" i="26"/>
  <c r="I198" i="26"/>
  <c r="C198" i="26"/>
  <c r="N197" i="26"/>
  <c r="O197" i="26" s="1"/>
  <c r="P197" i="26" s="1"/>
  <c r="M197" i="26" s="1"/>
  <c r="L197" i="26"/>
  <c r="J197" i="26"/>
  <c r="I197" i="26"/>
  <c r="C197" i="26"/>
  <c r="N196" i="26"/>
  <c r="O196" i="26" s="1"/>
  <c r="P196" i="26" s="1"/>
  <c r="M196" i="26" s="1"/>
  <c r="L196" i="26"/>
  <c r="J196" i="26"/>
  <c r="I196" i="26"/>
  <c r="C196" i="26"/>
  <c r="N195" i="26"/>
  <c r="O195" i="26" s="1"/>
  <c r="P195" i="26" s="1"/>
  <c r="M195" i="26" s="1"/>
  <c r="L195" i="26"/>
  <c r="J195" i="26"/>
  <c r="I195" i="26"/>
  <c r="C195" i="26"/>
  <c r="N194" i="26"/>
  <c r="O194" i="26" s="1"/>
  <c r="P194" i="26" s="1"/>
  <c r="M194" i="26" s="1"/>
  <c r="L194" i="26"/>
  <c r="J194" i="26"/>
  <c r="I194" i="26"/>
  <c r="C194" i="26"/>
  <c r="N193" i="26"/>
  <c r="O193" i="26" s="1"/>
  <c r="P193" i="26" s="1"/>
  <c r="M193" i="26" s="1"/>
  <c r="L193" i="26"/>
  <c r="J193" i="26"/>
  <c r="I193" i="26"/>
  <c r="C193" i="26"/>
  <c r="J192" i="26"/>
  <c r="I192" i="26"/>
  <c r="H192" i="26"/>
  <c r="N192" i="26" s="1"/>
  <c r="O192" i="26" s="1"/>
  <c r="P192" i="26" s="1"/>
  <c r="M192" i="26" s="1"/>
  <c r="C192" i="26"/>
  <c r="I191" i="26"/>
  <c r="J191" i="26" s="1"/>
  <c r="H191" i="26"/>
  <c r="N191" i="26" s="1"/>
  <c r="O191" i="26" s="1"/>
  <c r="P191" i="26" s="1"/>
  <c r="M191" i="26" s="1"/>
  <c r="C191" i="26"/>
  <c r="N190" i="26"/>
  <c r="O190" i="26" s="1"/>
  <c r="P190" i="26" s="1"/>
  <c r="M190" i="26" s="1"/>
  <c r="L190" i="26"/>
  <c r="I190" i="26"/>
  <c r="J190" i="26" s="1"/>
  <c r="C190" i="26"/>
  <c r="N189" i="26"/>
  <c r="O189" i="26" s="1"/>
  <c r="P189" i="26" s="1"/>
  <c r="M189" i="26" s="1"/>
  <c r="L189" i="26"/>
  <c r="I189" i="26"/>
  <c r="J189" i="26" s="1"/>
  <c r="C189" i="26"/>
  <c r="N188" i="26"/>
  <c r="O188" i="26" s="1"/>
  <c r="P188" i="26" s="1"/>
  <c r="M188" i="26" s="1"/>
  <c r="L188" i="26"/>
  <c r="I188" i="26"/>
  <c r="J188" i="26" s="1"/>
  <c r="C188" i="26"/>
  <c r="N187" i="26"/>
  <c r="O187" i="26" s="1"/>
  <c r="P187" i="26" s="1"/>
  <c r="M187" i="26" s="1"/>
  <c r="L187" i="26"/>
  <c r="I187" i="26"/>
  <c r="J187" i="26" s="1"/>
  <c r="C187" i="26"/>
  <c r="N186" i="26"/>
  <c r="O186" i="26" s="1"/>
  <c r="P186" i="26" s="1"/>
  <c r="M186" i="26" s="1"/>
  <c r="L186" i="26"/>
  <c r="I186" i="26"/>
  <c r="J186" i="26" s="1"/>
  <c r="C186" i="26"/>
  <c r="N185" i="26"/>
  <c r="O185" i="26" s="1"/>
  <c r="P185" i="26" s="1"/>
  <c r="M185" i="26" s="1"/>
  <c r="L185" i="26"/>
  <c r="I185" i="26"/>
  <c r="J185" i="26" s="1"/>
  <c r="C185" i="26"/>
  <c r="N184" i="26"/>
  <c r="O184" i="26" s="1"/>
  <c r="P184" i="26" s="1"/>
  <c r="M184" i="26" s="1"/>
  <c r="L184" i="26"/>
  <c r="I184" i="26"/>
  <c r="J184" i="26" s="1"/>
  <c r="C184" i="26"/>
  <c r="N183" i="26"/>
  <c r="O183" i="26" s="1"/>
  <c r="P183" i="26" s="1"/>
  <c r="M183" i="26" s="1"/>
  <c r="L183" i="26"/>
  <c r="I183" i="26"/>
  <c r="J183" i="26" s="1"/>
  <c r="C183" i="26"/>
  <c r="N182" i="26"/>
  <c r="O182" i="26" s="1"/>
  <c r="P182" i="26" s="1"/>
  <c r="M182" i="26" s="1"/>
  <c r="L182" i="26"/>
  <c r="I182" i="26"/>
  <c r="J182" i="26" s="1"/>
  <c r="C182" i="26"/>
  <c r="I181" i="26"/>
  <c r="J181" i="26" s="1"/>
  <c r="H181" i="26"/>
  <c r="N181" i="26" s="1"/>
  <c r="O181" i="26" s="1"/>
  <c r="P181" i="26" s="1"/>
  <c r="M181" i="26" s="1"/>
  <c r="C181" i="26"/>
  <c r="J180" i="26"/>
  <c r="I180" i="26"/>
  <c r="H180" i="26"/>
  <c r="N180" i="26" s="1"/>
  <c r="O180" i="26" s="1"/>
  <c r="P180" i="26" s="1"/>
  <c r="M180" i="26" s="1"/>
  <c r="C180" i="26"/>
  <c r="L179" i="26"/>
  <c r="J179" i="26"/>
  <c r="I179" i="26"/>
  <c r="H179" i="26"/>
  <c r="N179" i="26" s="1"/>
  <c r="O179" i="26" s="1"/>
  <c r="P179" i="26" s="1"/>
  <c r="M179" i="26" s="1"/>
  <c r="C179" i="26"/>
  <c r="N178" i="26"/>
  <c r="O178" i="26" s="1"/>
  <c r="P178" i="26" s="1"/>
  <c r="M178" i="26" s="1"/>
  <c r="L178" i="26"/>
  <c r="J178" i="26"/>
  <c r="I178" i="26"/>
  <c r="C178" i="26"/>
  <c r="N177" i="26"/>
  <c r="O177" i="26" s="1"/>
  <c r="P177" i="26" s="1"/>
  <c r="M177" i="26" s="1"/>
  <c r="L177" i="26"/>
  <c r="J177" i="26"/>
  <c r="I177" i="26"/>
  <c r="C177" i="26"/>
  <c r="N176" i="26"/>
  <c r="O176" i="26" s="1"/>
  <c r="P176" i="26" s="1"/>
  <c r="M176" i="26" s="1"/>
  <c r="L176" i="26"/>
  <c r="J176" i="26"/>
  <c r="I176" i="26"/>
  <c r="C176" i="26"/>
  <c r="N175" i="26"/>
  <c r="O175" i="26" s="1"/>
  <c r="P175" i="26" s="1"/>
  <c r="M175" i="26" s="1"/>
  <c r="L175" i="26"/>
  <c r="J175" i="26"/>
  <c r="I175" i="26"/>
  <c r="C175" i="26"/>
  <c r="L174" i="26"/>
  <c r="J174" i="26"/>
  <c r="I174" i="26"/>
  <c r="H174" i="26"/>
  <c r="N174" i="26" s="1"/>
  <c r="O174" i="26" s="1"/>
  <c r="P174" i="26" s="1"/>
  <c r="M174" i="26" s="1"/>
  <c r="C174" i="26"/>
  <c r="N173" i="26"/>
  <c r="O173" i="26" s="1"/>
  <c r="P173" i="26" s="1"/>
  <c r="M173" i="26" s="1"/>
  <c r="L173" i="26"/>
  <c r="I173" i="26"/>
  <c r="J173" i="26" s="1"/>
  <c r="C173" i="26"/>
  <c r="N172" i="26"/>
  <c r="O172" i="26" s="1"/>
  <c r="P172" i="26" s="1"/>
  <c r="M172" i="26" s="1"/>
  <c r="L172" i="26"/>
  <c r="I172" i="26"/>
  <c r="J172" i="26" s="1"/>
  <c r="C172" i="26"/>
  <c r="N171" i="26"/>
  <c r="O171" i="26" s="1"/>
  <c r="P171" i="26" s="1"/>
  <c r="M171" i="26" s="1"/>
  <c r="L171" i="26"/>
  <c r="I171" i="26"/>
  <c r="J171" i="26" s="1"/>
  <c r="C171" i="26"/>
  <c r="N170" i="26"/>
  <c r="O170" i="26" s="1"/>
  <c r="P170" i="26" s="1"/>
  <c r="M170" i="26" s="1"/>
  <c r="L170" i="26"/>
  <c r="I170" i="26"/>
  <c r="J170" i="26" s="1"/>
  <c r="C170" i="26"/>
  <c r="N169" i="26"/>
  <c r="O169" i="26" s="1"/>
  <c r="P169" i="26" s="1"/>
  <c r="M169" i="26" s="1"/>
  <c r="L169" i="26"/>
  <c r="I169" i="26"/>
  <c r="J169" i="26" s="1"/>
  <c r="C169" i="26"/>
  <c r="N168" i="26"/>
  <c r="O168" i="26" s="1"/>
  <c r="P168" i="26" s="1"/>
  <c r="M168" i="26" s="1"/>
  <c r="L168" i="26"/>
  <c r="I168" i="26"/>
  <c r="J168" i="26" s="1"/>
  <c r="C168" i="26"/>
  <c r="N167" i="26"/>
  <c r="O167" i="26" s="1"/>
  <c r="P167" i="26" s="1"/>
  <c r="M167" i="26" s="1"/>
  <c r="L167" i="26"/>
  <c r="I167" i="26"/>
  <c r="J167" i="26" s="1"/>
  <c r="C167" i="26"/>
  <c r="N166" i="26"/>
  <c r="O166" i="26" s="1"/>
  <c r="P166" i="26" s="1"/>
  <c r="M166" i="26" s="1"/>
  <c r="L166" i="26"/>
  <c r="I166" i="26"/>
  <c r="J166" i="26" s="1"/>
  <c r="C166" i="26"/>
  <c r="N165" i="26"/>
  <c r="O165" i="26" s="1"/>
  <c r="P165" i="26" s="1"/>
  <c r="M165" i="26" s="1"/>
  <c r="L165" i="26"/>
  <c r="I165" i="26"/>
  <c r="J165" i="26" s="1"/>
  <c r="C165" i="26"/>
  <c r="N164" i="26"/>
  <c r="O164" i="26" s="1"/>
  <c r="P164" i="26" s="1"/>
  <c r="M164" i="26" s="1"/>
  <c r="L164" i="26"/>
  <c r="I164" i="26"/>
  <c r="J164" i="26" s="1"/>
  <c r="C164" i="26"/>
  <c r="N163" i="26"/>
  <c r="O163" i="26" s="1"/>
  <c r="P163" i="26" s="1"/>
  <c r="M163" i="26" s="1"/>
  <c r="L163" i="26"/>
  <c r="I163" i="26"/>
  <c r="J163" i="26" s="1"/>
  <c r="C163" i="26"/>
  <c r="N162" i="26"/>
  <c r="O162" i="26" s="1"/>
  <c r="P162" i="26" s="1"/>
  <c r="M162" i="26" s="1"/>
  <c r="L162" i="26"/>
  <c r="I162" i="26"/>
  <c r="J162" i="26" s="1"/>
  <c r="C162" i="26"/>
  <c r="N161" i="26"/>
  <c r="O161" i="26" s="1"/>
  <c r="P161" i="26" s="1"/>
  <c r="M161" i="26" s="1"/>
  <c r="L161" i="26"/>
  <c r="I161" i="26"/>
  <c r="J161" i="26" s="1"/>
  <c r="C161" i="26"/>
  <c r="N160" i="26"/>
  <c r="O160" i="26" s="1"/>
  <c r="P160" i="26" s="1"/>
  <c r="M160" i="26" s="1"/>
  <c r="L160" i="26"/>
  <c r="I160" i="26"/>
  <c r="J160" i="26" s="1"/>
  <c r="C160" i="26"/>
  <c r="N159" i="26"/>
  <c r="O159" i="26" s="1"/>
  <c r="P159" i="26" s="1"/>
  <c r="M159" i="26" s="1"/>
  <c r="L159" i="26"/>
  <c r="I159" i="26"/>
  <c r="J159" i="26" s="1"/>
  <c r="C159" i="26"/>
  <c r="N158" i="26"/>
  <c r="O158" i="26" s="1"/>
  <c r="P158" i="26" s="1"/>
  <c r="M158" i="26" s="1"/>
  <c r="L158" i="26"/>
  <c r="I158" i="26"/>
  <c r="J158" i="26" s="1"/>
  <c r="C158" i="26"/>
  <c r="N157" i="26"/>
  <c r="O157" i="26" s="1"/>
  <c r="P157" i="26" s="1"/>
  <c r="M157" i="26" s="1"/>
  <c r="L157" i="26"/>
  <c r="I157" i="26"/>
  <c r="J157" i="26" s="1"/>
  <c r="C157" i="26"/>
  <c r="N156" i="26"/>
  <c r="O156" i="26" s="1"/>
  <c r="P156" i="26" s="1"/>
  <c r="M156" i="26" s="1"/>
  <c r="L156" i="26"/>
  <c r="I156" i="26"/>
  <c r="J156" i="26" s="1"/>
  <c r="C156" i="26"/>
  <c r="N155" i="26"/>
  <c r="O155" i="26" s="1"/>
  <c r="P155" i="26" s="1"/>
  <c r="M155" i="26" s="1"/>
  <c r="L155" i="26"/>
  <c r="I155" i="26"/>
  <c r="J155" i="26" s="1"/>
  <c r="C155" i="26"/>
  <c r="N154" i="26"/>
  <c r="O154" i="26" s="1"/>
  <c r="P154" i="26" s="1"/>
  <c r="M154" i="26" s="1"/>
  <c r="L154" i="26"/>
  <c r="I154" i="26"/>
  <c r="J154" i="26" s="1"/>
  <c r="C154" i="26"/>
  <c r="N153" i="26"/>
  <c r="O153" i="26" s="1"/>
  <c r="P153" i="26" s="1"/>
  <c r="M153" i="26" s="1"/>
  <c r="L153" i="26"/>
  <c r="I153" i="26"/>
  <c r="J153" i="26" s="1"/>
  <c r="C153" i="26"/>
  <c r="N152" i="26"/>
  <c r="O152" i="26" s="1"/>
  <c r="P152" i="26" s="1"/>
  <c r="M152" i="26" s="1"/>
  <c r="L152" i="26"/>
  <c r="I152" i="26"/>
  <c r="J152" i="26" s="1"/>
  <c r="C152" i="26"/>
  <c r="N151" i="26"/>
  <c r="O151" i="26" s="1"/>
  <c r="P151" i="26" s="1"/>
  <c r="M151" i="26" s="1"/>
  <c r="L151" i="26"/>
  <c r="I151" i="26"/>
  <c r="J151" i="26" s="1"/>
  <c r="C151" i="26"/>
  <c r="N150" i="26"/>
  <c r="O150" i="26" s="1"/>
  <c r="P150" i="26" s="1"/>
  <c r="M150" i="26" s="1"/>
  <c r="L150" i="26"/>
  <c r="I150" i="26"/>
  <c r="J150" i="26" s="1"/>
  <c r="C150" i="26"/>
  <c r="N149" i="26"/>
  <c r="O149" i="26" s="1"/>
  <c r="P149" i="26" s="1"/>
  <c r="M149" i="26" s="1"/>
  <c r="L149" i="26"/>
  <c r="I149" i="26"/>
  <c r="J149" i="26" s="1"/>
  <c r="C149" i="26"/>
  <c r="N148" i="26"/>
  <c r="O148" i="26" s="1"/>
  <c r="P148" i="26" s="1"/>
  <c r="M148" i="26" s="1"/>
  <c r="L148" i="26"/>
  <c r="I148" i="26"/>
  <c r="J148" i="26" s="1"/>
  <c r="C148" i="26"/>
  <c r="N147" i="26"/>
  <c r="O147" i="26" s="1"/>
  <c r="P147" i="26" s="1"/>
  <c r="M147" i="26" s="1"/>
  <c r="L147" i="26"/>
  <c r="I147" i="26"/>
  <c r="J147" i="26" s="1"/>
  <c r="C147" i="26"/>
  <c r="N146" i="26"/>
  <c r="O146" i="26" s="1"/>
  <c r="P146" i="26" s="1"/>
  <c r="M146" i="26" s="1"/>
  <c r="L146" i="26"/>
  <c r="I146" i="26"/>
  <c r="J146" i="26" s="1"/>
  <c r="C146" i="26"/>
  <c r="O145" i="26"/>
  <c r="P145" i="26" s="1"/>
  <c r="M145" i="26" s="1"/>
  <c r="N145" i="26"/>
  <c r="L145" i="26"/>
  <c r="J145" i="26"/>
  <c r="I145" i="26"/>
  <c r="N144" i="26"/>
  <c r="O144" i="26" s="1"/>
  <c r="P144" i="26" s="1"/>
  <c r="M144" i="26" s="1"/>
  <c r="L144" i="26"/>
  <c r="I144" i="26"/>
  <c r="J144" i="26" s="1"/>
  <c r="O143" i="26"/>
  <c r="P143" i="26" s="1"/>
  <c r="M143" i="26" s="1"/>
  <c r="N143" i="26"/>
  <c r="L143" i="26"/>
  <c r="I143" i="26"/>
  <c r="J143" i="26" s="1"/>
  <c r="N142" i="26"/>
  <c r="O142" i="26" s="1"/>
  <c r="P142" i="26" s="1"/>
  <c r="M142" i="26" s="1"/>
  <c r="L142" i="26"/>
  <c r="I142" i="26"/>
  <c r="J142" i="26" s="1"/>
  <c r="O141" i="26"/>
  <c r="P141" i="26" s="1"/>
  <c r="M141" i="26" s="1"/>
  <c r="N141" i="26"/>
  <c r="L141" i="26"/>
  <c r="J141" i="26"/>
  <c r="I141" i="26"/>
  <c r="N140" i="26"/>
  <c r="O140" i="26" s="1"/>
  <c r="P140" i="26" s="1"/>
  <c r="M140" i="26" s="1"/>
  <c r="L140" i="26"/>
  <c r="I140" i="26"/>
  <c r="J140" i="26" s="1"/>
  <c r="N139" i="26"/>
  <c r="O139" i="26" s="1"/>
  <c r="P139" i="26" s="1"/>
  <c r="M139" i="26" s="1"/>
  <c r="L139" i="26"/>
  <c r="J139" i="26"/>
  <c r="I139" i="26"/>
  <c r="N138" i="26"/>
  <c r="O138" i="26" s="1"/>
  <c r="P138" i="26" s="1"/>
  <c r="M138" i="26" s="1"/>
  <c r="L138" i="26"/>
  <c r="I138" i="26"/>
  <c r="J138" i="26" s="1"/>
  <c r="O137" i="26"/>
  <c r="P137" i="26" s="1"/>
  <c r="M137" i="26" s="1"/>
  <c r="N137" i="26"/>
  <c r="L137" i="26"/>
  <c r="J137" i="26"/>
  <c r="I137" i="26"/>
  <c r="N136" i="26"/>
  <c r="O136" i="26" s="1"/>
  <c r="P136" i="26" s="1"/>
  <c r="M136" i="26" s="1"/>
  <c r="L136" i="26"/>
  <c r="I136" i="26"/>
  <c r="J136" i="26" s="1"/>
  <c r="O135" i="26"/>
  <c r="P135" i="26" s="1"/>
  <c r="M135" i="26" s="1"/>
  <c r="N135" i="26"/>
  <c r="L135" i="26"/>
  <c r="I135" i="26"/>
  <c r="J135" i="26" s="1"/>
  <c r="N134" i="26"/>
  <c r="O134" i="26" s="1"/>
  <c r="P134" i="26" s="1"/>
  <c r="M134" i="26" s="1"/>
  <c r="L134" i="26"/>
  <c r="I134" i="26"/>
  <c r="J134" i="26" s="1"/>
  <c r="O133" i="26"/>
  <c r="P133" i="26" s="1"/>
  <c r="M133" i="26" s="1"/>
  <c r="N133" i="26"/>
  <c r="L133" i="26"/>
  <c r="J133" i="26"/>
  <c r="I133" i="26"/>
  <c r="N132" i="26"/>
  <c r="O132" i="26" s="1"/>
  <c r="P132" i="26" s="1"/>
  <c r="M132" i="26" s="1"/>
  <c r="L132" i="26"/>
  <c r="I132" i="26"/>
  <c r="J132" i="26" s="1"/>
  <c r="N131" i="26"/>
  <c r="O131" i="26" s="1"/>
  <c r="P131" i="26" s="1"/>
  <c r="M131" i="26" s="1"/>
  <c r="L131" i="26"/>
  <c r="J131" i="26"/>
  <c r="I131" i="26"/>
  <c r="C131" i="26"/>
  <c r="N130" i="26"/>
  <c r="O130" i="26" s="1"/>
  <c r="P130" i="26" s="1"/>
  <c r="M130" i="26" s="1"/>
  <c r="L130" i="26"/>
  <c r="J130" i="26"/>
  <c r="I130" i="26"/>
  <c r="C130" i="26"/>
  <c r="N129" i="26"/>
  <c r="O129" i="26" s="1"/>
  <c r="P129" i="26" s="1"/>
  <c r="M129" i="26" s="1"/>
  <c r="L129" i="26"/>
  <c r="J129" i="26"/>
  <c r="I129" i="26"/>
  <c r="C129" i="26"/>
  <c r="N128" i="26"/>
  <c r="O128" i="26" s="1"/>
  <c r="P128" i="26" s="1"/>
  <c r="M128" i="26" s="1"/>
  <c r="L128" i="26"/>
  <c r="J128" i="26"/>
  <c r="I128" i="26"/>
  <c r="C128" i="26"/>
  <c r="N127" i="26"/>
  <c r="O127" i="26" s="1"/>
  <c r="P127" i="26" s="1"/>
  <c r="M127" i="26" s="1"/>
  <c r="L127" i="26"/>
  <c r="J127" i="26"/>
  <c r="I127" i="26"/>
  <c r="C127" i="26"/>
  <c r="N126" i="26"/>
  <c r="O126" i="26" s="1"/>
  <c r="P126" i="26" s="1"/>
  <c r="M126" i="26" s="1"/>
  <c r="L126" i="26"/>
  <c r="J126" i="26"/>
  <c r="I126" i="26"/>
  <c r="C126" i="26"/>
  <c r="N125" i="26"/>
  <c r="O125" i="26" s="1"/>
  <c r="P125" i="26" s="1"/>
  <c r="M125" i="26" s="1"/>
  <c r="L125" i="26"/>
  <c r="J125" i="26"/>
  <c r="I125" i="26"/>
  <c r="C125" i="26"/>
  <c r="N124" i="26"/>
  <c r="O124" i="26" s="1"/>
  <c r="P124" i="26" s="1"/>
  <c r="M124" i="26" s="1"/>
  <c r="L124" i="26"/>
  <c r="J124" i="26"/>
  <c r="I124" i="26"/>
  <c r="C124" i="26"/>
  <c r="N123" i="26"/>
  <c r="O123" i="26" s="1"/>
  <c r="P123" i="26" s="1"/>
  <c r="M123" i="26" s="1"/>
  <c r="L123" i="26"/>
  <c r="J123" i="26"/>
  <c r="I123" i="26"/>
  <c r="C123" i="26"/>
  <c r="N122" i="26"/>
  <c r="O122" i="26" s="1"/>
  <c r="P122" i="26" s="1"/>
  <c r="M122" i="26" s="1"/>
  <c r="L122" i="26"/>
  <c r="J122" i="26"/>
  <c r="I122" i="26"/>
  <c r="C122" i="26"/>
  <c r="N121" i="26"/>
  <c r="O121" i="26" s="1"/>
  <c r="P121" i="26" s="1"/>
  <c r="M121" i="26" s="1"/>
  <c r="L121" i="26"/>
  <c r="J121" i="26"/>
  <c r="I121" i="26"/>
  <c r="C121" i="26"/>
  <c r="N120" i="26"/>
  <c r="O120" i="26" s="1"/>
  <c r="P120" i="26" s="1"/>
  <c r="M120" i="26" s="1"/>
  <c r="L120" i="26"/>
  <c r="J120" i="26"/>
  <c r="I120" i="26"/>
  <c r="C120" i="26"/>
  <c r="N119" i="26"/>
  <c r="O119" i="26" s="1"/>
  <c r="P119" i="26" s="1"/>
  <c r="M119" i="26" s="1"/>
  <c r="L119" i="26"/>
  <c r="J119" i="26"/>
  <c r="I119" i="26"/>
  <c r="C119" i="26"/>
  <c r="N118" i="26"/>
  <c r="O118" i="26" s="1"/>
  <c r="P118" i="26" s="1"/>
  <c r="M118" i="26" s="1"/>
  <c r="L118" i="26"/>
  <c r="J118" i="26"/>
  <c r="I118" i="26"/>
  <c r="C118" i="26"/>
  <c r="N117" i="26"/>
  <c r="O117" i="26" s="1"/>
  <c r="P117" i="26" s="1"/>
  <c r="M117" i="26" s="1"/>
  <c r="L117" i="26"/>
  <c r="J117" i="26"/>
  <c r="I117" i="26"/>
  <c r="C117" i="26"/>
  <c r="N116" i="26"/>
  <c r="O116" i="26" s="1"/>
  <c r="P116" i="26" s="1"/>
  <c r="M116" i="26" s="1"/>
  <c r="L116" i="26"/>
  <c r="J116" i="26"/>
  <c r="I116" i="26"/>
  <c r="C116" i="26"/>
  <c r="N115" i="26"/>
  <c r="O115" i="26" s="1"/>
  <c r="P115" i="26" s="1"/>
  <c r="M115" i="26" s="1"/>
  <c r="L115" i="26"/>
  <c r="J115" i="26"/>
  <c r="I115" i="26"/>
  <c r="C115" i="26"/>
  <c r="N114" i="26"/>
  <c r="O114" i="26" s="1"/>
  <c r="P114" i="26" s="1"/>
  <c r="M114" i="26" s="1"/>
  <c r="L114" i="26"/>
  <c r="J114" i="26"/>
  <c r="I114" i="26"/>
  <c r="C114" i="26"/>
  <c r="N113" i="26"/>
  <c r="O113" i="26" s="1"/>
  <c r="P113" i="26" s="1"/>
  <c r="M113" i="26" s="1"/>
  <c r="L113" i="26"/>
  <c r="J113" i="26"/>
  <c r="I113" i="26"/>
  <c r="C113" i="26"/>
  <c r="N112" i="26"/>
  <c r="O112" i="26" s="1"/>
  <c r="P112" i="26" s="1"/>
  <c r="M112" i="26" s="1"/>
  <c r="L112" i="26"/>
  <c r="J112" i="26"/>
  <c r="I112" i="26"/>
  <c r="C112" i="26"/>
  <c r="N111" i="26"/>
  <c r="O111" i="26" s="1"/>
  <c r="P111" i="26" s="1"/>
  <c r="M111" i="26" s="1"/>
  <c r="L111" i="26"/>
  <c r="J111" i="26"/>
  <c r="I111" i="26"/>
  <c r="C111" i="26"/>
  <c r="N110" i="26"/>
  <c r="O110" i="26" s="1"/>
  <c r="P110" i="26" s="1"/>
  <c r="M110" i="26" s="1"/>
  <c r="L110" i="26"/>
  <c r="J110" i="26"/>
  <c r="I110" i="26"/>
  <c r="C110" i="26"/>
  <c r="N109" i="26"/>
  <c r="O109" i="26" s="1"/>
  <c r="P109" i="26" s="1"/>
  <c r="M109" i="26" s="1"/>
  <c r="L109" i="26"/>
  <c r="J109" i="26"/>
  <c r="I109" i="26"/>
  <c r="C109" i="26"/>
  <c r="N108" i="26"/>
  <c r="O108" i="26" s="1"/>
  <c r="P108" i="26" s="1"/>
  <c r="M108" i="26" s="1"/>
  <c r="L108" i="26"/>
  <c r="J108" i="26"/>
  <c r="I108" i="26"/>
  <c r="C108" i="26"/>
  <c r="N107" i="26"/>
  <c r="O107" i="26" s="1"/>
  <c r="P107" i="26" s="1"/>
  <c r="M107" i="26" s="1"/>
  <c r="L107" i="26"/>
  <c r="J107" i="26"/>
  <c r="I107" i="26"/>
  <c r="C107" i="26"/>
  <c r="N106" i="26"/>
  <c r="O106" i="26" s="1"/>
  <c r="P106" i="26" s="1"/>
  <c r="M106" i="26" s="1"/>
  <c r="L106" i="26"/>
  <c r="J106" i="26"/>
  <c r="I106" i="26"/>
  <c r="C106" i="26"/>
  <c r="N105" i="26"/>
  <c r="O105" i="26" s="1"/>
  <c r="P105" i="26" s="1"/>
  <c r="M105" i="26" s="1"/>
  <c r="L105" i="26"/>
  <c r="J105" i="26"/>
  <c r="I105" i="26"/>
  <c r="C105" i="26"/>
  <c r="N104" i="26"/>
  <c r="O104" i="26" s="1"/>
  <c r="P104" i="26" s="1"/>
  <c r="M104" i="26" s="1"/>
  <c r="L104" i="26"/>
  <c r="J104" i="26"/>
  <c r="I104" i="26"/>
  <c r="C104" i="26"/>
  <c r="N103" i="26"/>
  <c r="O103" i="26" s="1"/>
  <c r="P103" i="26" s="1"/>
  <c r="M103" i="26" s="1"/>
  <c r="L103" i="26"/>
  <c r="J103" i="26"/>
  <c r="I103" i="26"/>
  <c r="C103" i="26"/>
  <c r="N102" i="26"/>
  <c r="O102" i="26" s="1"/>
  <c r="P102" i="26" s="1"/>
  <c r="M102" i="26" s="1"/>
  <c r="L102" i="26"/>
  <c r="J102" i="26"/>
  <c r="I102" i="26"/>
  <c r="C102" i="26"/>
  <c r="N101" i="26"/>
  <c r="O101" i="26" s="1"/>
  <c r="P101" i="26" s="1"/>
  <c r="M101" i="26" s="1"/>
  <c r="L101" i="26"/>
  <c r="J101" i="26"/>
  <c r="I101" i="26"/>
  <c r="C101" i="26"/>
  <c r="N100" i="26"/>
  <c r="O100" i="26" s="1"/>
  <c r="P100" i="26" s="1"/>
  <c r="M100" i="26" s="1"/>
  <c r="L100" i="26"/>
  <c r="J100" i="26"/>
  <c r="I100" i="26"/>
  <c r="C100" i="26"/>
  <c r="N99" i="26"/>
  <c r="O99" i="26" s="1"/>
  <c r="P99" i="26" s="1"/>
  <c r="M99" i="26" s="1"/>
  <c r="L99" i="26"/>
  <c r="J99" i="26"/>
  <c r="I99" i="26"/>
  <c r="C99" i="26"/>
  <c r="N98" i="26"/>
  <c r="O98" i="26" s="1"/>
  <c r="P98" i="26" s="1"/>
  <c r="M98" i="26" s="1"/>
  <c r="L98" i="26"/>
  <c r="J98" i="26"/>
  <c r="I98" i="26"/>
  <c r="C98" i="26"/>
  <c r="N97" i="26"/>
  <c r="O97" i="26" s="1"/>
  <c r="P97" i="26" s="1"/>
  <c r="M97" i="26" s="1"/>
  <c r="L97" i="26"/>
  <c r="J97" i="26"/>
  <c r="I97" i="26"/>
  <c r="C97" i="26"/>
  <c r="N96" i="26"/>
  <c r="O96" i="26" s="1"/>
  <c r="P96" i="26" s="1"/>
  <c r="M96" i="26" s="1"/>
  <c r="L96" i="26"/>
  <c r="J96" i="26"/>
  <c r="I96" i="26"/>
  <c r="C96" i="26"/>
  <c r="N95" i="26"/>
  <c r="O95" i="26" s="1"/>
  <c r="P95" i="26" s="1"/>
  <c r="M95" i="26" s="1"/>
  <c r="L95" i="26"/>
  <c r="J95" i="26"/>
  <c r="I95" i="26"/>
  <c r="C95" i="26"/>
  <c r="N94" i="26"/>
  <c r="O94" i="26" s="1"/>
  <c r="P94" i="26" s="1"/>
  <c r="M94" i="26" s="1"/>
  <c r="L94" i="26"/>
  <c r="J94" i="26"/>
  <c r="I94" i="26"/>
  <c r="C94" i="26"/>
  <c r="N93" i="26"/>
  <c r="O93" i="26" s="1"/>
  <c r="P93" i="26" s="1"/>
  <c r="M93" i="26" s="1"/>
  <c r="L93" i="26"/>
  <c r="J93" i="26"/>
  <c r="I93" i="26"/>
  <c r="C93" i="26"/>
  <c r="N92" i="26"/>
  <c r="O92" i="26" s="1"/>
  <c r="P92" i="26" s="1"/>
  <c r="M92" i="26" s="1"/>
  <c r="L92" i="26"/>
  <c r="J92" i="26"/>
  <c r="I92" i="26"/>
  <c r="C92" i="26"/>
  <c r="N91" i="26"/>
  <c r="O91" i="26" s="1"/>
  <c r="P91" i="26" s="1"/>
  <c r="M91" i="26" s="1"/>
  <c r="L91" i="26"/>
  <c r="J91" i="26"/>
  <c r="I91" i="26"/>
  <c r="C91" i="26"/>
  <c r="N90" i="26"/>
  <c r="O90" i="26" s="1"/>
  <c r="P90" i="26" s="1"/>
  <c r="M90" i="26" s="1"/>
  <c r="L90" i="26"/>
  <c r="J90" i="26"/>
  <c r="I90" i="26"/>
  <c r="C90" i="26"/>
  <c r="N89" i="26"/>
  <c r="O89" i="26" s="1"/>
  <c r="P89" i="26" s="1"/>
  <c r="M89" i="26" s="1"/>
  <c r="L89" i="26"/>
  <c r="J89" i="26"/>
  <c r="I89" i="26"/>
  <c r="C89" i="26"/>
  <c r="N88" i="26"/>
  <c r="O88" i="26" s="1"/>
  <c r="P88" i="26" s="1"/>
  <c r="M88" i="26" s="1"/>
  <c r="L88" i="26"/>
  <c r="J88" i="26"/>
  <c r="I88" i="26"/>
  <c r="C88" i="26"/>
  <c r="N87" i="26"/>
  <c r="O87" i="26" s="1"/>
  <c r="P87" i="26" s="1"/>
  <c r="M87" i="26" s="1"/>
  <c r="L87" i="26"/>
  <c r="J87" i="26"/>
  <c r="I87" i="26"/>
  <c r="C87" i="26"/>
  <c r="N86" i="26"/>
  <c r="O86" i="26" s="1"/>
  <c r="P86" i="26" s="1"/>
  <c r="M86" i="26" s="1"/>
  <c r="L86" i="26"/>
  <c r="J86" i="26"/>
  <c r="I86" i="26"/>
  <c r="C86" i="26"/>
  <c r="N85" i="26"/>
  <c r="O85" i="26" s="1"/>
  <c r="P85" i="26" s="1"/>
  <c r="M85" i="26" s="1"/>
  <c r="L85" i="26"/>
  <c r="J85" i="26"/>
  <c r="I85" i="26"/>
  <c r="C85" i="26"/>
  <c r="N84" i="26"/>
  <c r="O84" i="26" s="1"/>
  <c r="P84" i="26" s="1"/>
  <c r="M84" i="26" s="1"/>
  <c r="L84" i="26"/>
  <c r="J84" i="26"/>
  <c r="I84" i="26"/>
  <c r="C84" i="26"/>
  <c r="N83" i="26"/>
  <c r="O83" i="26" s="1"/>
  <c r="P83" i="26" s="1"/>
  <c r="M83" i="26" s="1"/>
  <c r="L83" i="26"/>
  <c r="J83" i="26"/>
  <c r="I83" i="26"/>
  <c r="C83" i="26"/>
  <c r="N82" i="26"/>
  <c r="O82" i="26" s="1"/>
  <c r="P82" i="26" s="1"/>
  <c r="M82" i="26" s="1"/>
  <c r="L82" i="26"/>
  <c r="J82" i="26"/>
  <c r="I82" i="26"/>
  <c r="C82" i="26"/>
  <c r="N81" i="26"/>
  <c r="O81" i="26" s="1"/>
  <c r="P81" i="26" s="1"/>
  <c r="M81" i="26" s="1"/>
  <c r="L81" i="26"/>
  <c r="J81" i="26"/>
  <c r="I81" i="26"/>
  <c r="C81" i="26"/>
  <c r="N80" i="26"/>
  <c r="O80" i="26" s="1"/>
  <c r="P80" i="26" s="1"/>
  <c r="M80" i="26" s="1"/>
  <c r="L80" i="26"/>
  <c r="J80" i="26"/>
  <c r="I80" i="26"/>
  <c r="C80" i="26"/>
  <c r="N79" i="26"/>
  <c r="O79" i="26" s="1"/>
  <c r="P79" i="26" s="1"/>
  <c r="M79" i="26" s="1"/>
  <c r="L79" i="26"/>
  <c r="J79" i="26"/>
  <c r="I79" i="26"/>
  <c r="C79" i="26"/>
  <c r="N78" i="26"/>
  <c r="O78" i="26" s="1"/>
  <c r="P78" i="26" s="1"/>
  <c r="M78" i="26" s="1"/>
  <c r="L78" i="26"/>
  <c r="J78" i="26"/>
  <c r="I78" i="26"/>
  <c r="C78" i="26"/>
  <c r="N77" i="26"/>
  <c r="O77" i="26" s="1"/>
  <c r="P77" i="26" s="1"/>
  <c r="M77" i="26" s="1"/>
  <c r="L77" i="26"/>
  <c r="J77" i="26"/>
  <c r="I77" i="26"/>
  <c r="C77" i="26"/>
  <c r="J76" i="26"/>
  <c r="I76" i="26"/>
  <c r="H76" i="26"/>
  <c r="N76" i="26" s="1"/>
  <c r="O76" i="26" s="1"/>
  <c r="P76" i="26" s="1"/>
  <c r="M76" i="26" s="1"/>
  <c r="C76" i="26"/>
  <c r="O75" i="26"/>
  <c r="P75" i="26" s="1"/>
  <c r="M75" i="26" s="1"/>
  <c r="N75" i="26"/>
  <c r="L75" i="26"/>
  <c r="I75" i="26"/>
  <c r="J75" i="26" s="1"/>
  <c r="C75" i="26"/>
  <c r="O74" i="26"/>
  <c r="P74" i="26" s="1"/>
  <c r="M74" i="26" s="1"/>
  <c r="N74" i="26"/>
  <c r="L74" i="26"/>
  <c r="I74" i="26"/>
  <c r="J74" i="26" s="1"/>
  <c r="C74" i="26"/>
  <c r="N73" i="26"/>
  <c r="O73" i="26" s="1"/>
  <c r="P73" i="26" s="1"/>
  <c r="M73" i="26" s="1"/>
  <c r="L73" i="26"/>
  <c r="J73" i="26"/>
  <c r="I73" i="26"/>
  <c r="C73" i="26"/>
  <c r="N72" i="26"/>
  <c r="O72" i="26" s="1"/>
  <c r="L72" i="26"/>
  <c r="J72" i="26"/>
  <c r="I72" i="26"/>
  <c r="C72" i="26"/>
  <c r="P72" i="26" s="1"/>
  <c r="M72" i="26" s="1"/>
  <c r="N71" i="26"/>
  <c r="O71" i="26" s="1"/>
  <c r="P71" i="26" s="1"/>
  <c r="M71" i="26" s="1"/>
  <c r="L71" i="26"/>
  <c r="J71" i="26"/>
  <c r="I71" i="26"/>
  <c r="C71" i="26"/>
  <c r="P70" i="26"/>
  <c r="M70" i="26" s="1"/>
  <c r="N70" i="26"/>
  <c r="O70" i="26" s="1"/>
  <c r="L70" i="26"/>
  <c r="J70" i="26"/>
  <c r="I70" i="26"/>
  <c r="C70" i="26"/>
  <c r="N69" i="26"/>
  <c r="O69" i="26" s="1"/>
  <c r="P69" i="26" s="1"/>
  <c r="M69" i="26" s="1"/>
  <c r="L69" i="26"/>
  <c r="J69" i="26"/>
  <c r="I69" i="26"/>
  <c r="C69" i="26"/>
  <c r="P68" i="26"/>
  <c r="N68" i="26"/>
  <c r="O68" i="26" s="1"/>
  <c r="M68" i="26"/>
  <c r="L68" i="26"/>
  <c r="J68" i="26"/>
  <c r="I68" i="26"/>
  <c r="C68" i="26"/>
  <c r="N67" i="26"/>
  <c r="O67" i="26" s="1"/>
  <c r="P67" i="26" s="1"/>
  <c r="M67" i="26" s="1"/>
  <c r="L67" i="26"/>
  <c r="J67" i="26"/>
  <c r="I67" i="26"/>
  <c r="C67" i="26"/>
  <c r="N66" i="26"/>
  <c r="O66" i="26" s="1"/>
  <c r="P66" i="26" s="1"/>
  <c r="M66" i="26" s="1"/>
  <c r="L66" i="26"/>
  <c r="J66" i="26"/>
  <c r="I66" i="26"/>
  <c r="C66" i="26"/>
  <c r="P65" i="26"/>
  <c r="M65" i="26" s="1"/>
  <c r="N65" i="26"/>
  <c r="O65" i="26" s="1"/>
  <c r="L65" i="26"/>
  <c r="J65" i="26"/>
  <c r="I65" i="26"/>
  <c r="C65" i="26"/>
  <c r="N64" i="26"/>
  <c r="O64" i="26" s="1"/>
  <c r="L64" i="26"/>
  <c r="J64" i="26"/>
  <c r="I64" i="26"/>
  <c r="C64" i="26"/>
  <c r="P64" i="26" s="1"/>
  <c r="M64" i="26" s="1"/>
  <c r="N63" i="26"/>
  <c r="O63" i="26" s="1"/>
  <c r="P63" i="26" s="1"/>
  <c r="M63" i="26" s="1"/>
  <c r="L63" i="26"/>
  <c r="J63" i="26"/>
  <c r="I63" i="26"/>
  <c r="C63" i="26"/>
  <c r="P62" i="26"/>
  <c r="M62" i="26" s="1"/>
  <c r="N62" i="26"/>
  <c r="O62" i="26" s="1"/>
  <c r="L62" i="26"/>
  <c r="J62" i="26"/>
  <c r="I62" i="26"/>
  <c r="C62" i="26"/>
  <c r="N61" i="26"/>
  <c r="O61" i="26" s="1"/>
  <c r="P61" i="26" s="1"/>
  <c r="M61" i="26" s="1"/>
  <c r="L61" i="26"/>
  <c r="J61" i="26"/>
  <c r="I61" i="26"/>
  <c r="C61" i="26"/>
  <c r="P60" i="26"/>
  <c r="M60" i="26" s="1"/>
  <c r="N60" i="26"/>
  <c r="O60" i="26" s="1"/>
  <c r="L60" i="26"/>
  <c r="J60" i="26"/>
  <c r="I60" i="26"/>
  <c r="C60" i="26"/>
  <c r="N59" i="26"/>
  <c r="O59" i="26" s="1"/>
  <c r="P59" i="26" s="1"/>
  <c r="M59" i="26" s="1"/>
  <c r="L59" i="26"/>
  <c r="J59" i="26"/>
  <c r="I59" i="26"/>
  <c r="C59" i="26"/>
  <c r="N58" i="26"/>
  <c r="O58" i="26" s="1"/>
  <c r="P58" i="26" s="1"/>
  <c r="M58" i="26"/>
  <c r="L58" i="26"/>
  <c r="J58" i="26"/>
  <c r="I58" i="26"/>
  <c r="C58" i="26"/>
  <c r="P57" i="26"/>
  <c r="M57" i="26" s="1"/>
  <c r="N57" i="26"/>
  <c r="O57" i="26" s="1"/>
  <c r="L57" i="26"/>
  <c r="J57" i="26"/>
  <c r="I57" i="26"/>
  <c r="C57" i="26"/>
  <c r="N56" i="26"/>
  <c r="O56" i="26" s="1"/>
  <c r="L56" i="26"/>
  <c r="J56" i="26"/>
  <c r="I56" i="26"/>
  <c r="C56" i="26"/>
  <c r="P56" i="26" s="1"/>
  <c r="M56" i="26" s="1"/>
  <c r="N55" i="26"/>
  <c r="O55" i="26" s="1"/>
  <c r="P55" i="26" s="1"/>
  <c r="M55" i="26" s="1"/>
  <c r="L55" i="26"/>
  <c r="J55" i="26"/>
  <c r="I55" i="26"/>
  <c r="C55" i="26"/>
  <c r="N54" i="26"/>
  <c r="O54" i="26" s="1"/>
  <c r="L54" i="26"/>
  <c r="J54" i="26"/>
  <c r="I54" i="26"/>
  <c r="C54" i="26"/>
  <c r="P54" i="26" s="1"/>
  <c r="M54" i="26" s="1"/>
  <c r="N53" i="26"/>
  <c r="O53" i="26" s="1"/>
  <c r="P53" i="26" s="1"/>
  <c r="M53" i="26" s="1"/>
  <c r="L53" i="26"/>
  <c r="J53" i="26"/>
  <c r="I53" i="26"/>
  <c r="C53" i="26"/>
  <c r="P52" i="26"/>
  <c r="N52" i="26"/>
  <c r="O52" i="26" s="1"/>
  <c r="M52" i="26"/>
  <c r="L52" i="26"/>
  <c r="J52" i="26"/>
  <c r="I52" i="26"/>
  <c r="C52" i="26"/>
  <c r="N51" i="26"/>
  <c r="O51" i="26" s="1"/>
  <c r="P51" i="26" s="1"/>
  <c r="M51" i="26" s="1"/>
  <c r="L51" i="26"/>
  <c r="J51" i="26"/>
  <c r="I51" i="26"/>
  <c r="C51" i="26"/>
  <c r="N50" i="26"/>
  <c r="O50" i="26" s="1"/>
  <c r="P50" i="26" s="1"/>
  <c r="M50" i="26" s="1"/>
  <c r="L50" i="26"/>
  <c r="J50" i="26"/>
  <c r="I50" i="26"/>
  <c r="C50" i="26"/>
  <c r="P49" i="26"/>
  <c r="M49" i="26" s="1"/>
  <c r="N49" i="26"/>
  <c r="O49" i="26" s="1"/>
  <c r="L49" i="26"/>
  <c r="J49" i="26"/>
  <c r="I49" i="26"/>
  <c r="C49" i="26"/>
  <c r="N48" i="26"/>
  <c r="O48" i="26" s="1"/>
  <c r="L48" i="26"/>
  <c r="J48" i="26"/>
  <c r="I48" i="26"/>
  <c r="C48" i="26"/>
  <c r="P48" i="26" s="1"/>
  <c r="M48" i="26" s="1"/>
  <c r="N47" i="26"/>
  <c r="O47" i="26" s="1"/>
  <c r="P47" i="26" s="1"/>
  <c r="M47" i="26" s="1"/>
  <c r="L47" i="26"/>
  <c r="J47" i="26"/>
  <c r="I47" i="26"/>
  <c r="C47" i="26"/>
  <c r="P46" i="26"/>
  <c r="M46" i="26" s="1"/>
  <c r="N46" i="26"/>
  <c r="O46" i="26" s="1"/>
  <c r="L46" i="26"/>
  <c r="J46" i="26"/>
  <c r="I46" i="26"/>
  <c r="C46" i="26"/>
  <c r="N45" i="26"/>
  <c r="O45" i="26" s="1"/>
  <c r="P45" i="26" s="1"/>
  <c r="M45" i="26" s="1"/>
  <c r="L45" i="26"/>
  <c r="J45" i="26"/>
  <c r="I45" i="26"/>
  <c r="C45" i="26"/>
  <c r="P44" i="26"/>
  <c r="N44" i="26"/>
  <c r="O44" i="26" s="1"/>
  <c r="M44" i="26"/>
  <c r="L44" i="26"/>
  <c r="J44" i="26"/>
  <c r="I44" i="26"/>
  <c r="C44" i="26"/>
  <c r="N43" i="26"/>
  <c r="O43" i="26" s="1"/>
  <c r="P43" i="26" s="1"/>
  <c r="M43" i="26" s="1"/>
  <c r="L43" i="26"/>
  <c r="J43" i="26"/>
  <c r="I43" i="26"/>
  <c r="C43" i="26"/>
  <c r="N42" i="26"/>
  <c r="O42" i="26" s="1"/>
  <c r="P42" i="26" s="1"/>
  <c r="M42" i="26"/>
  <c r="L42" i="26"/>
  <c r="J42" i="26"/>
  <c r="I42" i="26"/>
  <c r="C42" i="26"/>
  <c r="P41" i="26"/>
  <c r="M41" i="26" s="1"/>
  <c r="N41" i="26"/>
  <c r="O41" i="26" s="1"/>
  <c r="L41" i="26"/>
  <c r="J41" i="26"/>
  <c r="I41" i="26"/>
  <c r="C41" i="26"/>
  <c r="N40" i="26"/>
  <c r="O40" i="26" s="1"/>
  <c r="L40" i="26"/>
  <c r="J40" i="26"/>
  <c r="I40" i="26"/>
  <c r="C40" i="26"/>
  <c r="P40" i="26" s="1"/>
  <c r="M40" i="26" s="1"/>
  <c r="N39" i="26"/>
  <c r="O39" i="26" s="1"/>
  <c r="P39" i="26" s="1"/>
  <c r="M39" i="26" s="1"/>
  <c r="L39" i="26"/>
  <c r="J39" i="26"/>
  <c r="I39" i="26"/>
  <c r="C39" i="26"/>
  <c r="N38" i="26"/>
  <c r="O38" i="26" s="1"/>
  <c r="L38" i="26"/>
  <c r="J38" i="26"/>
  <c r="I38" i="26"/>
  <c r="C38" i="26"/>
  <c r="P38" i="26" s="1"/>
  <c r="M38" i="26" s="1"/>
  <c r="N37" i="26"/>
  <c r="O37" i="26" s="1"/>
  <c r="P37" i="26" s="1"/>
  <c r="M37" i="26" s="1"/>
  <c r="L37" i="26"/>
  <c r="J37" i="26"/>
  <c r="I37" i="26"/>
  <c r="C37" i="26"/>
  <c r="P36" i="26"/>
  <c r="M36" i="26" s="1"/>
  <c r="N36" i="26"/>
  <c r="O36" i="26" s="1"/>
  <c r="L36" i="26"/>
  <c r="J36" i="26"/>
  <c r="I36" i="26"/>
  <c r="C36" i="26"/>
  <c r="N35" i="26"/>
  <c r="O35" i="26" s="1"/>
  <c r="P35" i="26" s="1"/>
  <c r="M35" i="26" s="1"/>
  <c r="L35" i="26"/>
  <c r="J35" i="26"/>
  <c r="I35" i="26"/>
  <c r="C35" i="26"/>
  <c r="N34" i="26"/>
  <c r="O34" i="26" s="1"/>
  <c r="P34" i="26" s="1"/>
  <c r="M34" i="26"/>
  <c r="L34" i="26"/>
  <c r="J34" i="26"/>
  <c r="I34" i="26"/>
  <c r="C34" i="26"/>
  <c r="P33" i="26"/>
  <c r="M33" i="26" s="1"/>
  <c r="N33" i="26"/>
  <c r="O33" i="26" s="1"/>
  <c r="L33" i="26"/>
  <c r="J33" i="26"/>
  <c r="I33" i="26"/>
  <c r="C33" i="26"/>
  <c r="N32" i="26"/>
  <c r="O32" i="26" s="1"/>
  <c r="L32" i="26"/>
  <c r="J32" i="26"/>
  <c r="I32" i="26"/>
  <c r="C32" i="26"/>
  <c r="P32" i="26" s="1"/>
  <c r="M32" i="26" s="1"/>
  <c r="N31" i="26"/>
  <c r="O31" i="26" s="1"/>
  <c r="P31" i="26" s="1"/>
  <c r="M31" i="26" s="1"/>
  <c r="L31" i="26"/>
  <c r="J31" i="26"/>
  <c r="I31" i="26"/>
  <c r="C31" i="26"/>
  <c r="P30" i="26"/>
  <c r="M30" i="26" s="1"/>
  <c r="N30" i="26"/>
  <c r="O30" i="26" s="1"/>
  <c r="L30" i="26"/>
  <c r="J30" i="26"/>
  <c r="I30" i="26"/>
  <c r="C30" i="26"/>
  <c r="N29" i="26"/>
  <c r="O29" i="26" s="1"/>
  <c r="P29" i="26" s="1"/>
  <c r="M29" i="26" s="1"/>
  <c r="L29" i="26"/>
  <c r="J29" i="26"/>
  <c r="I29" i="26"/>
  <c r="C29" i="26"/>
  <c r="P28" i="26"/>
  <c r="N28" i="26"/>
  <c r="O28" i="26" s="1"/>
  <c r="M28" i="26"/>
  <c r="L28" i="26"/>
  <c r="J28" i="26"/>
  <c r="I28" i="26"/>
  <c r="C28" i="26"/>
  <c r="N27" i="26"/>
  <c r="O27" i="26" s="1"/>
  <c r="P27" i="26" s="1"/>
  <c r="M27" i="26" s="1"/>
  <c r="L27" i="26"/>
  <c r="J27" i="26"/>
  <c r="I27" i="26"/>
  <c r="C27" i="26"/>
  <c r="N26" i="26"/>
  <c r="O26" i="26" s="1"/>
  <c r="P26" i="26" s="1"/>
  <c r="M26" i="26" s="1"/>
  <c r="L26" i="26"/>
  <c r="J26" i="26"/>
  <c r="I26" i="26"/>
  <c r="C26" i="26"/>
  <c r="P25" i="26"/>
  <c r="M25" i="26" s="1"/>
  <c r="N25" i="26"/>
  <c r="O25" i="26" s="1"/>
  <c r="L25" i="26"/>
  <c r="J25" i="26"/>
  <c r="I25" i="26"/>
  <c r="C25" i="26"/>
  <c r="N24" i="26"/>
  <c r="O24" i="26" s="1"/>
  <c r="L24" i="26"/>
  <c r="J24" i="26"/>
  <c r="I24" i="26"/>
  <c r="C24" i="26"/>
  <c r="P24" i="26" s="1"/>
  <c r="M24" i="26" s="1"/>
  <c r="N23" i="26"/>
  <c r="O23" i="26" s="1"/>
  <c r="P23" i="26" s="1"/>
  <c r="M23" i="26" s="1"/>
  <c r="L23" i="26"/>
  <c r="J23" i="26"/>
  <c r="I23" i="26"/>
  <c r="C23" i="26"/>
  <c r="P22" i="26"/>
  <c r="M22" i="26" s="1"/>
  <c r="N22" i="26"/>
  <c r="O22" i="26" s="1"/>
  <c r="L22" i="26"/>
  <c r="J22" i="26"/>
  <c r="I22" i="26"/>
  <c r="C22" i="26"/>
  <c r="N21" i="26"/>
  <c r="O21" i="26" s="1"/>
  <c r="P21" i="26" s="1"/>
  <c r="M21" i="26" s="1"/>
  <c r="L21" i="26"/>
  <c r="J21" i="26"/>
  <c r="I21" i="26"/>
  <c r="C21" i="26"/>
  <c r="P20" i="26"/>
  <c r="M20" i="26" s="1"/>
  <c r="N20" i="26"/>
  <c r="O20" i="26" s="1"/>
  <c r="L20" i="26"/>
  <c r="J20" i="26"/>
  <c r="I20" i="26"/>
  <c r="C20" i="26"/>
  <c r="N19" i="26"/>
  <c r="O19" i="26" s="1"/>
  <c r="P19" i="26" s="1"/>
  <c r="M19" i="26" s="1"/>
  <c r="L19" i="26"/>
  <c r="J19" i="26"/>
  <c r="I19" i="26"/>
  <c r="C19" i="26"/>
  <c r="N18" i="26"/>
  <c r="O18" i="26" s="1"/>
  <c r="P18" i="26" s="1"/>
  <c r="M18" i="26"/>
  <c r="L18" i="26"/>
  <c r="J18" i="26"/>
  <c r="I18" i="26"/>
  <c r="C18" i="26"/>
  <c r="P17" i="26"/>
  <c r="M17" i="26" s="1"/>
  <c r="N17" i="26"/>
  <c r="O17" i="26" s="1"/>
  <c r="L17" i="26"/>
  <c r="J17" i="26"/>
  <c r="I17" i="26"/>
  <c r="C17" i="26"/>
  <c r="N16" i="26"/>
  <c r="O16" i="26" s="1"/>
  <c r="L16" i="26"/>
  <c r="J16" i="26"/>
  <c r="I16" i="26"/>
  <c r="C16" i="26"/>
  <c r="P16" i="26" s="1"/>
  <c r="M16" i="26" s="1"/>
  <c r="N15" i="26"/>
  <c r="O15" i="26" s="1"/>
  <c r="P15" i="26" s="1"/>
  <c r="M15" i="26" s="1"/>
  <c r="L15" i="26"/>
  <c r="J15" i="26"/>
  <c r="I15" i="26"/>
  <c r="C15" i="26"/>
  <c r="N14" i="26"/>
  <c r="O14" i="26" s="1"/>
  <c r="L14" i="26"/>
  <c r="J14" i="26"/>
  <c r="I14" i="26"/>
  <c r="C14" i="26"/>
  <c r="P14" i="26" s="1"/>
  <c r="M14" i="26" s="1"/>
  <c r="N13" i="26"/>
  <c r="O13" i="26" s="1"/>
  <c r="P13" i="26" s="1"/>
  <c r="M13" i="26" s="1"/>
  <c r="L13" i="26"/>
  <c r="J13" i="26"/>
  <c r="I13" i="26"/>
  <c r="C13" i="26"/>
  <c r="P12" i="26"/>
  <c r="N12" i="26"/>
  <c r="O12" i="26" s="1"/>
  <c r="M12" i="26"/>
  <c r="L12" i="26"/>
  <c r="J12" i="26"/>
  <c r="I12" i="26"/>
  <c r="C12" i="26"/>
  <c r="N11" i="26"/>
  <c r="O11" i="26" s="1"/>
  <c r="P11" i="26" s="1"/>
  <c r="M11" i="26" s="1"/>
  <c r="L11" i="26"/>
  <c r="J11" i="26"/>
  <c r="I11" i="26"/>
  <c r="C11" i="26"/>
  <c r="N10" i="26"/>
  <c r="O10" i="26" s="1"/>
  <c r="P10" i="26" s="1"/>
  <c r="M10" i="26"/>
  <c r="L10" i="26"/>
  <c r="J10" i="26"/>
  <c r="I10" i="26"/>
  <c r="C10" i="26"/>
  <c r="P9" i="26"/>
  <c r="M9" i="26" s="1"/>
  <c r="N9" i="26"/>
  <c r="O9" i="26" s="1"/>
  <c r="L9" i="26"/>
  <c r="J9" i="26"/>
  <c r="I9" i="26"/>
  <c r="C9" i="26"/>
  <c r="N8" i="26"/>
  <c r="O8" i="26" s="1"/>
  <c r="L8" i="26"/>
  <c r="J8" i="26"/>
  <c r="I8" i="26"/>
  <c r="C8" i="26"/>
  <c r="P8" i="26" s="1"/>
  <c r="M8" i="26" s="1"/>
  <c r="N7" i="26"/>
  <c r="O7" i="26" s="1"/>
  <c r="P7" i="26" s="1"/>
  <c r="M7" i="26" s="1"/>
  <c r="L7" i="26"/>
  <c r="J7" i="26"/>
  <c r="I7" i="26"/>
  <c r="C7" i="26"/>
  <c r="P6" i="26"/>
  <c r="M6" i="26" s="1"/>
  <c r="N6" i="26"/>
  <c r="O6" i="26" s="1"/>
  <c r="L6" i="26"/>
  <c r="J6" i="26"/>
  <c r="I6" i="26"/>
  <c r="C6" i="26"/>
  <c r="N5" i="26"/>
  <c r="O5" i="26" s="1"/>
  <c r="P5" i="26" s="1"/>
  <c r="M5" i="26" s="1"/>
  <c r="L5" i="26"/>
  <c r="J5" i="26"/>
  <c r="I5" i="26"/>
  <c r="C5" i="26"/>
  <c r="P4" i="26"/>
  <c r="N4" i="26"/>
  <c r="O4" i="26" s="1"/>
  <c r="M4" i="26"/>
  <c r="L4" i="26"/>
  <c r="J4" i="26"/>
  <c r="I4" i="26"/>
  <c r="C4" i="26"/>
  <c r="N3" i="26"/>
  <c r="O3" i="26" s="1"/>
  <c r="P3" i="26" s="1"/>
  <c r="M3" i="26" s="1"/>
  <c r="L3" i="26"/>
  <c r="J3" i="26"/>
  <c r="I3" i="26"/>
  <c r="C3" i="26"/>
  <c r="N2" i="26"/>
  <c r="O2" i="26" s="1"/>
  <c r="P2" i="26" s="1"/>
  <c r="M2" i="26"/>
  <c r="L2" i="26"/>
  <c r="J2" i="26"/>
  <c r="I2" i="26"/>
  <c r="C2" i="26"/>
  <c r="L65" i="12"/>
  <c r="L41" i="12"/>
  <c r="K34" i="12"/>
  <c r="N19" i="12"/>
  <c r="N20" i="12" s="1"/>
  <c r="O18" i="12"/>
  <c r="K16" i="12"/>
  <c r="N10" i="12" s="1"/>
  <c r="N12" i="12" s="1"/>
  <c r="N13" i="12" s="1"/>
  <c r="N21" i="12" s="1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P2384" i="26" l="1"/>
  <c r="M2384" i="26" s="1"/>
  <c r="P2392" i="26"/>
  <c r="M2392" i="26" s="1"/>
  <c r="P2400" i="26"/>
  <c r="M2400" i="26" s="1"/>
  <c r="P2408" i="26"/>
  <c r="M2408" i="26" s="1"/>
  <c r="P2416" i="26"/>
  <c r="M2416" i="26" s="1"/>
  <c r="P2424" i="26"/>
  <c r="M2424" i="26" s="1"/>
  <c r="P2432" i="26"/>
  <c r="M2432" i="26" s="1"/>
  <c r="P2383" i="26"/>
  <c r="M2383" i="26" s="1"/>
  <c r="P2391" i="26"/>
  <c r="M2391" i="26" s="1"/>
  <c r="P2399" i="26"/>
  <c r="M2399" i="26" s="1"/>
  <c r="P2407" i="26"/>
  <c r="M2407" i="26" s="1"/>
  <c r="P2415" i="26"/>
  <c r="M2415" i="26" s="1"/>
  <c r="P2423" i="26"/>
  <c r="M2423" i="26" s="1"/>
  <c r="P2431" i="26"/>
  <c r="M2431" i="26" s="1"/>
  <c r="P2439" i="26"/>
  <c r="M2439" i="26" s="1"/>
  <c r="P2460" i="26"/>
  <c r="M2460" i="26" s="1"/>
  <c r="P2518" i="26"/>
  <c r="M2518" i="26" s="1"/>
  <c r="P2446" i="26"/>
  <c r="M2446" i="26" s="1"/>
  <c r="P2451" i="26"/>
  <c r="M2451" i="26" s="1"/>
  <c r="P2450" i="26"/>
  <c r="M2450" i="26" s="1"/>
  <c r="P2444" i="26"/>
  <c r="M2444" i="26" s="1"/>
  <c r="P2484" i="26"/>
  <c r="M2484" i="26" s="1"/>
  <c r="P2492" i="26"/>
  <c r="M2492" i="26" s="1"/>
  <c r="P2500" i="26"/>
  <c r="M2500" i="26" s="1"/>
  <c r="P2508" i="26"/>
  <c r="M2508" i="26" s="1"/>
  <c r="P2459" i="26"/>
  <c r="M2459" i="26" s="1"/>
  <c r="P2467" i="26"/>
  <c r="M2467" i="26" s="1"/>
  <c r="P2475" i="26"/>
  <c r="M2475" i="26" s="1"/>
  <c r="P2483" i="26"/>
  <c r="M2483" i="26" s="1"/>
  <c r="P2482" i="26"/>
  <c r="M2482" i="26" s="1"/>
  <c r="P2490" i="26"/>
  <c r="M2490" i="26" s="1"/>
  <c r="P2498" i="26"/>
  <c r="M2498" i="26" s="1"/>
  <c r="P2506" i="26"/>
  <c r="M2506" i="26" s="1"/>
  <c r="P2489" i="26"/>
  <c r="M2489" i="26" s="1"/>
  <c r="P2497" i="26"/>
  <c r="M2497" i="26" s="1"/>
  <c r="P2505" i="26"/>
  <c r="M2505" i="26" s="1"/>
  <c r="P2480" i="26"/>
  <c r="M2480" i="26" s="1"/>
  <c r="P2488" i="26"/>
  <c r="M2488" i="26" s="1"/>
  <c r="P2496" i="26"/>
  <c r="M2496" i="26" s="1"/>
  <c r="P2504" i="26"/>
  <c r="M2504" i="26" s="1"/>
  <c r="P2463" i="26"/>
  <c r="M2463" i="26" s="1"/>
  <c r="P2471" i="26"/>
  <c r="M2471" i="26" s="1"/>
  <c r="P2479" i="26"/>
  <c r="M2479" i="26" s="1"/>
  <c r="P2487" i="26"/>
  <c r="M2487" i="26" s="1"/>
  <c r="P2495" i="26"/>
  <c r="M2495" i="26" s="1"/>
  <c r="P2503" i="26"/>
  <c r="M2503" i="26" s="1"/>
  <c r="P2511" i="26"/>
  <c r="M2511" i="26" s="1"/>
  <c r="P2575" i="26"/>
  <c r="M2575" i="26" s="1"/>
  <c r="P2579" i="26"/>
  <c r="M2579" i="26" s="1"/>
  <c r="P2583" i="26"/>
  <c r="M2583" i="26" s="1"/>
  <c r="P2587" i="26"/>
  <c r="M2587" i="26" s="1"/>
  <c r="P2591" i="26"/>
  <c r="M2591" i="26" s="1"/>
  <c r="P2595" i="26"/>
  <c r="M2595" i="26" s="1"/>
  <c r="P2574" i="26"/>
  <c r="M2574" i="26" s="1"/>
  <c r="P2578" i="26"/>
  <c r="M2578" i="26" s="1"/>
  <c r="P2582" i="26"/>
  <c r="M2582" i="26" s="1"/>
  <c r="P2586" i="26"/>
  <c r="M2586" i="26" s="1"/>
  <c r="P2590" i="26"/>
  <c r="M2590" i="26" s="1"/>
  <c r="P2594" i="26"/>
  <c r="M2594" i="26" s="1"/>
  <c r="P2573" i="26"/>
  <c r="M2573" i="26" s="1"/>
  <c r="P2577" i="26"/>
  <c r="M2577" i="26" s="1"/>
  <c r="P2581" i="26"/>
  <c r="M2581" i="26" s="1"/>
  <c r="P2585" i="26"/>
  <c r="M2585" i="26" s="1"/>
  <c r="P2589" i="26"/>
  <c r="M2589" i="26" s="1"/>
  <c r="P2593" i="26"/>
  <c r="M2593" i="26" s="1"/>
  <c r="P2572" i="26"/>
  <c r="M2572" i="26" s="1"/>
  <c r="P2576" i="26"/>
  <c r="M2576" i="26" s="1"/>
  <c r="P2580" i="26"/>
  <c r="M2580" i="26" s="1"/>
  <c r="P2584" i="26"/>
  <c r="M2584" i="26" s="1"/>
  <c r="P2588" i="26"/>
  <c r="M2588" i="26" s="1"/>
  <c r="P2592" i="26"/>
  <c r="M2592" i="26" s="1"/>
  <c r="P2596" i="26"/>
  <c r="M2596" i="26" s="1"/>
  <c r="P2110" i="26"/>
  <c r="M2110" i="26" s="1"/>
  <c r="P2112" i="26"/>
  <c r="M2112" i="26" s="1"/>
  <c r="P2114" i="26"/>
  <c r="M2114" i="26" s="1"/>
  <c r="P2116" i="26"/>
  <c r="M2116" i="26" s="1"/>
  <c r="P2118" i="26"/>
  <c r="M2118" i="26" s="1"/>
  <c r="P2120" i="26"/>
  <c r="M2120" i="26" s="1"/>
  <c r="P2122" i="26"/>
  <c r="M2122" i="26" s="1"/>
  <c r="P2124" i="26"/>
  <c r="M2124" i="26" s="1"/>
  <c r="P2126" i="26"/>
  <c r="M2126" i="26" s="1"/>
  <c r="P2128" i="26"/>
  <c r="M2128" i="26" s="1"/>
  <c r="P2130" i="26"/>
  <c r="M2130" i="26" s="1"/>
  <c r="P2132" i="26"/>
  <c r="M2132" i="26" s="1"/>
  <c r="P2134" i="26"/>
  <c r="M2134" i="26" s="1"/>
  <c r="P2136" i="26"/>
  <c r="M2136" i="26" s="1"/>
  <c r="P2138" i="26"/>
  <c r="M2138" i="26" s="1"/>
  <c r="P2140" i="26"/>
  <c r="M2140" i="26" s="1"/>
  <c r="P2142" i="26"/>
  <c r="M2142" i="26" s="1"/>
  <c r="P2144" i="26"/>
  <c r="M2144" i="26" s="1"/>
  <c r="P2146" i="26"/>
  <c r="M2146" i="26" s="1"/>
  <c r="P2148" i="26"/>
  <c r="M2148" i="26" s="1"/>
  <c r="P2150" i="26"/>
  <c r="M2150" i="26" s="1"/>
  <c r="P2152" i="26"/>
  <c r="M2152" i="26" s="1"/>
  <c r="P2154" i="26"/>
  <c r="M2154" i="26" s="1"/>
  <c r="P2156" i="26"/>
  <c r="M2156" i="26" s="1"/>
  <c r="P2158" i="26"/>
  <c r="M2158" i="26" s="1"/>
  <c r="P2160" i="26"/>
  <c r="M2160" i="26" s="1"/>
  <c r="P2162" i="26"/>
  <c r="M2162" i="26" s="1"/>
  <c r="P2164" i="26"/>
  <c r="M2164" i="26" s="1"/>
  <c r="P2166" i="26"/>
  <c r="M2166" i="26" s="1"/>
  <c r="P2168" i="26"/>
  <c r="M2168" i="26" s="1"/>
  <c r="P2170" i="26"/>
  <c r="M2170" i="26" s="1"/>
  <c r="P2172" i="26"/>
  <c r="M2172" i="26" s="1"/>
  <c r="P2174" i="26"/>
  <c r="M2174" i="26" s="1"/>
  <c r="P2190" i="26"/>
  <c r="M2190" i="26" s="1"/>
  <c r="P2198" i="26"/>
  <c r="M2198" i="26" s="1"/>
  <c r="P2206" i="26"/>
  <c r="M2206" i="26" s="1"/>
  <c r="P2214" i="26"/>
  <c r="M2214" i="26" s="1"/>
  <c r="P2222" i="26"/>
  <c r="M2222" i="26" s="1"/>
  <c r="P2230" i="26"/>
  <c r="M2230" i="26" s="1"/>
  <c r="P2238" i="26"/>
  <c r="M2238" i="26" s="1"/>
  <c r="P2246" i="26"/>
  <c r="M2246" i="26" s="1"/>
  <c r="P2189" i="26"/>
  <c r="M2189" i="26" s="1"/>
  <c r="P2197" i="26"/>
  <c r="M2197" i="26" s="1"/>
  <c r="P2205" i="26"/>
  <c r="M2205" i="26" s="1"/>
  <c r="P2213" i="26"/>
  <c r="M2213" i="26" s="1"/>
  <c r="P2221" i="26"/>
  <c r="M2221" i="26" s="1"/>
  <c r="P2229" i="26"/>
  <c r="M2229" i="26" s="1"/>
  <c r="P2237" i="26"/>
  <c r="M2237" i="26" s="1"/>
  <c r="P2245" i="26"/>
  <c r="M2245" i="26" s="1"/>
  <c r="P2253" i="26"/>
  <c r="M2253" i="26" s="1"/>
  <c r="P2261" i="26"/>
  <c r="M2261" i="26" s="1"/>
  <c r="P2186" i="26"/>
  <c r="M2186" i="26" s="1"/>
  <c r="P2194" i="26"/>
  <c r="M2194" i="26" s="1"/>
  <c r="P2202" i="26"/>
  <c r="M2202" i="26" s="1"/>
  <c r="P2210" i="26"/>
  <c r="M2210" i="26" s="1"/>
  <c r="P2218" i="26"/>
  <c r="M2218" i="26" s="1"/>
  <c r="P2226" i="26"/>
  <c r="M2226" i="26" s="1"/>
  <c r="P2234" i="26"/>
  <c r="M2234" i="26" s="1"/>
  <c r="P2242" i="26"/>
  <c r="M2242" i="26" s="1"/>
  <c r="P2250" i="26"/>
  <c r="M2250" i="26" s="1"/>
  <c r="P2258" i="26"/>
  <c r="M2258" i="26" s="1"/>
  <c r="P2266" i="26"/>
  <c r="M2266" i="26" s="1"/>
  <c r="P2191" i="26"/>
  <c r="M2191" i="26" s="1"/>
  <c r="P2199" i="26"/>
  <c r="M2199" i="26" s="1"/>
  <c r="P2207" i="26"/>
  <c r="M2207" i="26" s="1"/>
  <c r="P2215" i="26"/>
  <c r="M2215" i="26" s="1"/>
  <c r="P2223" i="26"/>
  <c r="M2223" i="26" s="1"/>
  <c r="P2231" i="26"/>
  <c r="M2231" i="26" s="1"/>
  <c r="P2239" i="26"/>
  <c r="M2239" i="26" s="1"/>
  <c r="P2247" i="26"/>
  <c r="M2247" i="26" s="1"/>
  <c r="P2255" i="26"/>
  <c r="M2255" i="26" s="1"/>
  <c r="P2263" i="26"/>
  <c r="M2263" i="26" s="1"/>
  <c r="P2188" i="26"/>
  <c r="M2188" i="26" s="1"/>
  <c r="P2196" i="26"/>
  <c r="M2196" i="26" s="1"/>
  <c r="P2204" i="26"/>
  <c r="M2204" i="26" s="1"/>
  <c r="P2212" i="26"/>
  <c r="M2212" i="26" s="1"/>
  <c r="P2220" i="26"/>
  <c r="M2220" i="26" s="1"/>
  <c r="P2228" i="26"/>
  <c r="M2228" i="26" s="1"/>
  <c r="P2236" i="26"/>
  <c r="M2236" i="26" s="1"/>
  <c r="P2244" i="26"/>
  <c r="M2244" i="26" s="1"/>
  <c r="P2252" i="26"/>
  <c r="M2252" i="26" s="1"/>
  <c r="P2260" i="26"/>
  <c r="M2260" i="26" s="1"/>
  <c r="P2268" i="26"/>
  <c r="M2268" i="26" s="1"/>
  <c r="P1829" i="26"/>
  <c r="M1829" i="26" s="1"/>
  <c r="P1865" i="26"/>
  <c r="M1865" i="26" s="1"/>
  <c r="P1825" i="26"/>
  <c r="M1825" i="26" s="1"/>
  <c r="P1839" i="26"/>
  <c r="M1839" i="26" s="1"/>
  <c r="P1853" i="26"/>
  <c r="M1853" i="26" s="1"/>
  <c r="P1873" i="26"/>
  <c r="M1873" i="26" s="1"/>
  <c r="P1889" i="26"/>
  <c r="M1889" i="26" s="1"/>
  <c r="P1833" i="26"/>
  <c r="M1833" i="26" s="1"/>
  <c r="P1847" i="26"/>
  <c r="M1847" i="26" s="1"/>
  <c r="P1861" i="26"/>
  <c r="M1861" i="26" s="1"/>
  <c r="P1841" i="26"/>
  <c r="M1841" i="26" s="1"/>
  <c r="P1855" i="26"/>
  <c r="M1855" i="26" s="1"/>
  <c r="P1879" i="26"/>
  <c r="M1879" i="26" s="1"/>
  <c r="P1849" i="26"/>
  <c r="M1849" i="26" s="1"/>
  <c r="P1863" i="26"/>
  <c r="M1863" i="26" s="1"/>
  <c r="P1895" i="26"/>
  <c r="M1895" i="26" s="1"/>
  <c r="P1897" i="26"/>
  <c r="M1897" i="26" s="1"/>
  <c r="P1899" i="26"/>
  <c r="M1899" i="26" s="1"/>
  <c r="P1872" i="26"/>
  <c r="M1872" i="26" s="1"/>
  <c r="P1880" i="26"/>
  <c r="M1880" i="26" s="1"/>
  <c r="P1888" i="26"/>
  <c r="M1888" i="26" s="1"/>
  <c r="P1934" i="26"/>
  <c r="M1934" i="26" s="1"/>
  <c r="P1938" i="26"/>
  <c r="M1938" i="26" s="1"/>
  <c r="P1942" i="26"/>
  <c r="M1942" i="26" s="1"/>
  <c r="P1946" i="26"/>
  <c r="M1946" i="26" s="1"/>
  <c r="P1950" i="26"/>
  <c r="M1950" i="26" s="1"/>
  <c r="P1954" i="26"/>
  <c r="M1954" i="26" s="1"/>
  <c r="P1958" i="26"/>
  <c r="M1958" i="26" s="1"/>
  <c r="P1962" i="26"/>
  <c r="M1962" i="26" s="1"/>
  <c r="P1966" i="26"/>
  <c r="M1966" i="26" s="1"/>
  <c r="P1970" i="26"/>
  <c r="M1970" i="26" s="1"/>
  <c r="P1974" i="26"/>
  <c r="M1974" i="26" s="1"/>
  <c r="P1978" i="26"/>
  <c r="M1978" i="26" s="1"/>
  <c r="P1933" i="26"/>
  <c r="M1933" i="26" s="1"/>
  <c r="P1937" i="26"/>
  <c r="M1937" i="26" s="1"/>
  <c r="P1941" i="26"/>
  <c r="M1941" i="26" s="1"/>
  <c r="P1945" i="26"/>
  <c r="M1945" i="26" s="1"/>
  <c r="P1949" i="26"/>
  <c r="M1949" i="26" s="1"/>
  <c r="P1953" i="26"/>
  <c r="M1953" i="26" s="1"/>
  <c r="P1957" i="26"/>
  <c r="M1957" i="26" s="1"/>
  <c r="P1961" i="26"/>
  <c r="M1961" i="26" s="1"/>
  <c r="P1965" i="26"/>
  <c r="M1965" i="26" s="1"/>
  <c r="P1969" i="26"/>
  <c r="M1969" i="26" s="1"/>
  <c r="P1973" i="26"/>
  <c r="M1973" i="26" s="1"/>
  <c r="P1977" i="26"/>
  <c r="M1977" i="26" s="1"/>
  <c r="P1932" i="26"/>
  <c r="M1932" i="26" s="1"/>
  <c r="P1936" i="26"/>
  <c r="M1936" i="26" s="1"/>
  <c r="P1940" i="26"/>
  <c r="M1940" i="26" s="1"/>
  <c r="P1944" i="26"/>
  <c r="M1944" i="26" s="1"/>
  <c r="P1948" i="26"/>
  <c r="M1948" i="26" s="1"/>
  <c r="P1952" i="26"/>
  <c r="M1952" i="26" s="1"/>
  <c r="P1956" i="26"/>
  <c r="M1956" i="26" s="1"/>
  <c r="P1960" i="26"/>
  <c r="M1960" i="26" s="1"/>
  <c r="P1964" i="26"/>
  <c r="M1964" i="26" s="1"/>
  <c r="P1968" i="26"/>
  <c r="M1968" i="26" s="1"/>
  <c r="P1972" i="26"/>
  <c r="M1972" i="26" s="1"/>
  <c r="P1976" i="26"/>
  <c r="M1976" i="26" s="1"/>
  <c r="P1931" i="26"/>
  <c r="M1931" i="26" s="1"/>
  <c r="P1935" i="26"/>
  <c r="M1935" i="26" s="1"/>
  <c r="P1939" i="26"/>
  <c r="M1939" i="26" s="1"/>
  <c r="P1943" i="26"/>
  <c r="M1943" i="26" s="1"/>
  <c r="P1947" i="26"/>
  <c r="M1947" i="26" s="1"/>
  <c r="P1951" i="26"/>
  <c r="M1951" i="26" s="1"/>
  <c r="P1955" i="26"/>
  <c r="M1955" i="26" s="1"/>
  <c r="P1959" i="26"/>
  <c r="M1959" i="26" s="1"/>
  <c r="P1963" i="26"/>
  <c r="M1963" i="26" s="1"/>
  <c r="P1967" i="26"/>
  <c r="M1967" i="26" s="1"/>
  <c r="P1971" i="26"/>
  <c r="M1971" i="26" s="1"/>
  <c r="P1975" i="26"/>
  <c r="M1975" i="26" s="1"/>
  <c r="P1979" i="26"/>
  <c r="M1979" i="26" s="1"/>
  <c r="P1563" i="26"/>
  <c r="M1563" i="26" s="1"/>
  <c r="P1573" i="26"/>
  <c r="M1573" i="26" s="1"/>
  <c r="P1633" i="26"/>
  <c r="M1633" i="26" s="1"/>
  <c r="P1512" i="26"/>
  <c r="M1512" i="26" s="1"/>
  <c r="P1504" i="26"/>
  <c r="M1504" i="26" s="1"/>
  <c r="P1496" i="26"/>
  <c r="M1496" i="26" s="1"/>
  <c r="P1597" i="26"/>
  <c r="M1597" i="26" s="1"/>
  <c r="P1624" i="26"/>
  <c r="M1624" i="26" s="1"/>
  <c r="P1565" i="26"/>
  <c r="M1565" i="26" s="1"/>
  <c r="P1571" i="26"/>
  <c r="M1571" i="26" s="1"/>
  <c r="P1577" i="26"/>
  <c r="M1577" i="26" s="1"/>
  <c r="P1583" i="26"/>
  <c r="M1583" i="26" s="1"/>
  <c r="P1559" i="26"/>
  <c r="M1559" i="26" s="1"/>
  <c r="P1605" i="26"/>
  <c r="M1605" i="26" s="1"/>
  <c r="P1611" i="26"/>
  <c r="M1611" i="26" s="1"/>
  <c r="P1617" i="26"/>
  <c r="M1617" i="26" s="1"/>
  <c r="P1620" i="26"/>
  <c r="M1620" i="26" s="1"/>
  <c r="P1635" i="26"/>
  <c r="M1635" i="26" s="1"/>
  <c r="P1581" i="26"/>
  <c r="M1581" i="26" s="1"/>
  <c r="P1587" i="26"/>
  <c r="M1587" i="26" s="1"/>
  <c r="P1593" i="26"/>
  <c r="M1593" i="26" s="1"/>
  <c r="P1599" i="26"/>
  <c r="M1599" i="26" s="1"/>
  <c r="P1556" i="26"/>
  <c r="M1556" i="26" s="1"/>
  <c r="P1564" i="26"/>
  <c r="M1564" i="26" s="1"/>
  <c r="P1572" i="26"/>
  <c r="M1572" i="26" s="1"/>
  <c r="P1580" i="26"/>
  <c r="M1580" i="26" s="1"/>
  <c r="P1588" i="26"/>
  <c r="M1588" i="26" s="1"/>
  <c r="P1596" i="26"/>
  <c r="M1596" i="26" s="1"/>
  <c r="P1604" i="26"/>
  <c r="M1604" i="26" s="1"/>
  <c r="P1612" i="26"/>
  <c r="M1612" i="26" s="1"/>
  <c r="P1634" i="26"/>
  <c r="M1634" i="26" s="1"/>
  <c r="P1554" i="26"/>
  <c r="M1554" i="26" s="1"/>
  <c r="P1562" i="26"/>
  <c r="M1562" i="26" s="1"/>
  <c r="P1570" i="26"/>
  <c r="M1570" i="26" s="1"/>
  <c r="P1578" i="26"/>
  <c r="M1578" i="26" s="1"/>
  <c r="P1586" i="26"/>
  <c r="M1586" i="26" s="1"/>
  <c r="P1594" i="26"/>
  <c r="M1594" i="26" s="1"/>
  <c r="P1602" i="26"/>
  <c r="M1602" i="26" s="1"/>
  <c r="P1610" i="26"/>
  <c r="M1610" i="26" s="1"/>
  <c r="P1636" i="26"/>
  <c r="M1636" i="26" s="1"/>
  <c r="P1637" i="26"/>
  <c r="M1637" i="26" s="1"/>
  <c r="P1641" i="26"/>
  <c r="M1641" i="26" s="1"/>
  <c r="P1645" i="26"/>
  <c r="M1645" i="26" s="1"/>
  <c r="P1649" i="26"/>
  <c r="M1649" i="26" s="1"/>
  <c r="P1653" i="26"/>
  <c r="M1653" i="26" s="1"/>
  <c r="P1657" i="26"/>
  <c r="M1657" i="26" s="1"/>
  <c r="P1661" i="26"/>
  <c r="M1661" i="26" s="1"/>
  <c r="P1665" i="26"/>
  <c r="M1665" i="26" s="1"/>
  <c r="P1669" i="26"/>
  <c r="M1669" i="26" s="1"/>
  <c r="P1673" i="26"/>
  <c r="M1673" i="26" s="1"/>
  <c r="P1677" i="26"/>
  <c r="M1677" i="26" s="1"/>
  <c r="P1681" i="26"/>
  <c r="M1681" i="26" s="1"/>
  <c r="P1685" i="26"/>
  <c r="M1685" i="26" s="1"/>
  <c r="P1689" i="26"/>
  <c r="M1689" i="26" s="1"/>
  <c r="P1693" i="26"/>
  <c r="M1693" i="26" s="1"/>
  <c r="P1697" i="26"/>
  <c r="M1697" i="26" s="1"/>
  <c r="P1701" i="26"/>
  <c r="M1701" i="26" s="1"/>
  <c r="P1640" i="26"/>
  <c r="M1640" i="26" s="1"/>
  <c r="P1644" i="26"/>
  <c r="M1644" i="26" s="1"/>
  <c r="P1648" i="26"/>
  <c r="M1648" i="26" s="1"/>
  <c r="P1652" i="26"/>
  <c r="M1652" i="26" s="1"/>
  <c r="P1656" i="26"/>
  <c r="M1656" i="26" s="1"/>
  <c r="P1660" i="26"/>
  <c r="M1660" i="26" s="1"/>
  <c r="P1664" i="26"/>
  <c r="M1664" i="26" s="1"/>
  <c r="P1668" i="26"/>
  <c r="M1668" i="26" s="1"/>
  <c r="P1672" i="26"/>
  <c r="M1672" i="26" s="1"/>
  <c r="P1676" i="26"/>
  <c r="M1676" i="26" s="1"/>
  <c r="P1680" i="26"/>
  <c r="M1680" i="26" s="1"/>
  <c r="P1684" i="26"/>
  <c r="M1684" i="26" s="1"/>
  <c r="P1688" i="26"/>
  <c r="M1688" i="26" s="1"/>
  <c r="P1692" i="26"/>
  <c r="M1692" i="26" s="1"/>
  <c r="P1696" i="26"/>
  <c r="M1696" i="26" s="1"/>
  <c r="P1700" i="26"/>
  <c r="M1700" i="26" s="1"/>
  <c r="P1639" i="26"/>
  <c r="M1639" i="26" s="1"/>
  <c r="P1643" i="26"/>
  <c r="M1643" i="26" s="1"/>
  <c r="P1647" i="26"/>
  <c r="M1647" i="26" s="1"/>
  <c r="P1651" i="26"/>
  <c r="M1651" i="26" s="1"/>
  <c r="P1655" i="26"/>
  <c r="M1655" i="26" s="1"/>
  <c r="P1659" i="26"/>
  <c r="M1659" i="26" s="1"/>
  <c r="P1663" i="26"/>
  <c r="M1663" i="26" s="1"/>
  <c r="P1667" i="26"/>
  <c r="M1667" i="26" s="1"/>
  <c r="P1671" i="26"/>
  <c r="M1671" i="26" s="1"/>
  <c r="P1675" i="26"/>
  <c r="M1675" i="26" s="1"/>
  <c r="P1679" i="26"/>
  <c r="M1679" i="26" s="1"/>
  <c r="P1683" i="26"/>
  <c r="M1683" i="26" s="1"/>
  <c r="P1687" i="26"/>
  <c r="M1687" i="26" s="1"/>
  <c r="P1691" i="26"/>
  <c r="M1691" i="26" s="1"/>
  <c r="P1695" i="26"/>
  <c r="M1695" i="26" s="1"/>
  <c r="P1699" i="26"/>
  <c r="M1699" i="26" s="1"/>
  <c r="P1638" i="26"/>
  <c r="M1638" i="26" s="1"/>
  <c r="P1642" i="26"/>
  <c r="M1642" i="26" s="1"/>
  <c r="P1646" i="26"/>
  <c r="M1646" i="26" s="1"/>
  <c r="P1650" i="26"/>
  <c r="M1650" i="26" s="1"/>
  <c r="P1654" i="26"/>
  <c r="M1654" i="26" s="1"/>
  <c r="P1658" i="26"/>
  <c r="M1658" i="26" s="1"/>
  <c r="P1662" i="26"/>
  <c r="M1662" i="26" s="1"/>
  <c r="P1666" i="26"/>
  <c r="M1666" i="26" s="1"/>
  <c r="P1670" i="26"/>
  <c r="M1670" i="26" s="1"/>
  <c r="P1674" i="26"/>
  <c r="M1674" i="26" s="1"/>
  <c r="P1678" i="26"/>
  <c r="M1678" i="26" s="1"/>
  <c r="P1682" i="26"/>
  <c r="M1682" i="26" s="1"/>
  <c r="P1686" i="26"/>
  <c r="M1686" i="26" s="1"/>
  <c r="P1690" i="26"/>
  <c r="M1690" i="26" s="1"/>
  <c r="P1694" i="26"/>
  <c r="M1694" i="26" s="1"/>
  <c r="P1698" i="26"/>
  <c r="M1698" i="26" s="1"/>
  <c r="P1702" i="26"/>
  <c r="M1702" i="26" s="1"/>
  <c r="P1376" i="26"/>
  <c r="M1376" i="26" s="1"/>
  <c r="P1131" i="26"/>
  <c r="M1131" i="26" s="1"/>
  <c r="P1133" i="26"/>
  <c r="M1133" i="26" s="1"/>
  <c r="P1135" i="26"/>
  <c r="M1135" i="26" s="1"/>
  <c r="P1137" i="26"/>
  <c r="M1137" i="26" s="1"/>
  <c r="P1139" i="26"/>
  <c r="M1139" i="26" s="1"/>
  <c r="P1141" i="26"/>
  <c r="M1141" i="26" s="1"/>
  <c r="P1143" i="26"/>
  <c r="M1143" i="26" s="1"/>
  <c r="P1145" i="26"/>
  <c r="M1145" i="26" s="1"/>
  <c r="P1147" i="26"/>
  <c r="M1147" i="26" s="1"/>
  <c r="P1149" i="26"/>
  <c r="M1149" i="26" s="1"/>
  <c r="P1151" i="26"/>
  <c r="M1151" i="26" s="1"/>
  <c r="P1153" i="26"/>
  <c r="M1153" i="26" s="1"/>
  <c r="P1155" i="26"/>
  <c r="M1155" i="26" s="1"/>
  <c r="P1157" i="26"/>
  <c r="M1157" i="26" s="1"/>
  <c r="P1159" i="26"/>
  <c r="M1159" i="26" s="1"/>
  <c r="P1161" i="26"/>
  <c r="M1161" i="26" s="1"/>
  <c r="P1163" i="26"/>
  <c r="M1163" i="26" s="1"/>
  <c r="P1165" i="26"/>
  <c r="M1165" i="26" s="1"/>
  <c r="P1167" i="26"/>
  <c r="M1167" i="26" s="1"/>
  <c r="P1169" i="26"/>
  <c r="M1169" i="26" s="1"/>
  <c r="P1171" i="26"/>
  <c r="M1171" i="26" s="1"/>
  <c r="P1173" i="26"/>
  <c r="M1173" i="26" s="1"/>
  <c r="P1175" i="26"/>
  <c r="M1175" i="26" s="1"/>
  <c r="P1177" i="26"/>
  <c r="M1177" i="26" s="1"/>
  <c r="P1179" i="26"/>
  <c r="M1179" i="26" s="1"/>
  <c r="P1181" i="26"/>
  <c r="M1181" i="26" s="1"/>
  <c r="P1183" i="26"/>
  <c r="M1183" i="26" s="1"/>
  <c r="P1185" i="26"/>
  <c r="M1185" i="26" s="1"/>
  <c r="P1187" i="26"/>
  <c r="M1187" i="26" s="1"/>
  <c r="P1189" i="26"/>
  <c r="M1189" i="26" s="1"/>
  <c r="P1191" i="26"/>
  <c r="M1191" i="26" s="1"/>
  <c r="P1193" i="26"/>
  <c r="M1193" i="26" s="1"/>
  <c r="P1195" i="26"/>
  <c r="M1195" i="26" s="1"/>
  <c r="P1197" i="26"/>
  <c r="M1197" i="26" s="1"/>
  <c r="P1199" i="26"/>
  <c r="M1199" i="26" s="1"/>
  <c r="P1201" i="26"/>
  <c r="M1201" i="26" s="1"/>
  <c r="P1203" i="26"/>
  <c r="M1203" i="26" s="1"/>
  <c r="P1205" i="26"/>
  <c r="M1205" i="26" s="1"/>
  <c r="P1207" i="26"/>
  <c r="M1207" i="26" s="1"/>
  <c r="P1209" i="26"/>
  <c r="M1209" i="26" s="1"/>
  <c r="P1211" i="26"/>
  <c r="M1211" i="26" s="1"/>
  <c r="P1213" i="26"/>
  <c r="M1213" i="26" s="1"/>
  <c r="P1130" i="26"/>
  <c r="M1130" i="26" s="1"/>
  <c r="P1132" i="26"/>
  <c r="M1132" i="26" s="1"/>
  <c r="P1134" i="26"/>
  <c r="M1134" i="26" s="1"/>
  <c r="P1136" i="26"/>
  <c r="M1136" i="26" s="1"/>
  <c r="P1138" i="26"/>
  <c r="M1138" i="26" s="1"/>
  <c r="P1140" i="26"/>
  <c r="M1140" i="26" s="1"/>
  <c r="P1142" i="26"/>
  <c r="M1142" i="26" s="1"/>
  <c r="P1144" i="26"/>
  <c r="M1144" i="26" s="1"/>
  <c r="P1146" i="26"/>
  <c r="M1146" i="26" s="1"/>
  <c r="P1148" i="26"/>
  <c r="M1148" i="26" s="1"/>
  <c r="P1150" i="26"/>
  <c r="M1150" i="26" s="1"/>
  <c r="P1152" i="26"/>
  <c r="M1152" i="26" s="1"/>
  <c r="P1154" i="26"/>
  <c r="M1154" i="26" s="1"/>
  <c r="P1156" i="26"/>
  <c r="M1156" i="26" s="1"/>
  <c r="P1158" i="26"/>
  <c r="M1158" i="26" s="1"/>
  <c r="P1160" i="26"/>
  <c r="M1160" i="26" s="1"/>
  <c r="P1162" i="26"/>
  <c r="M1162" i="26" s="1"/>
  <c r="P1164" i="26"/>
  <c r="M1164" i="26" s="1"/>
  <c r="P1166" i="26"/>
  <c r="M1166" i="26" s="1"/>
  <c r="P1168" i="26"/>
  <c r="M1168" i="26" s="1"/>
  <c r="P1170" i="26"/>
  <c r="M1170" i="26" s="1"/>
  <c r="P1172" i="26"/>
  <c r="M1172" i="26" s="1"/>
  <c r="P1174" i="26"/>
  <c r="M1174" i="26" s="1"/>
  <c r="P1176" i="26"/>
  <c r="M1176" i="26" s="1"/>
  <c r="P1178" i="26"/>
  <c r="M1178" i="26" s="1"/>
  <c r="P1180" i="26"/>
  <c r="M1180" i="26" s="1"/>
  <c r="P1182" i="26"/>
  <c r="M1182" i="26" s="1"/>
  <c r="P1184" i="26"/>
  <c r="M1184" i="26" s="1"/>
  <c r="P1186" i="26"/>
  <c r="M1186" i="26" s="1"/>
  <c r="P1188" i="26"/>
  <c r="M1188" i="26" s="1"/>
  <c r="P1190" i="26"/>
  <c r="M1190" i="26" s="1"/>
  <c r="P1192" i="26"/>
  <c r="M1192" i="26" s="1"/>
  <c r="P1194" i="26"/>
  <c r="M1194" i="26" s="1"/>
  <c r="P1196" i="26"/>
  <c r="M1196" i="26" s="1"/>
  <c r="P1198" i="26"/>
  <c r="M1198" i="26" s="1"/>
  <c r="P1200" i="26"/>
  <c r="M1200" i="26" s="1"/>
  <c r="P1202" i="26"/>
  <c r="M1202" i="26" s="1"/>
  <c r="P1204" i="26"/>
  <c r="M1204" i="26" s="1"/>
  <c r="P1206" i="26"/>
  <c r="M1206" i="26" s="1"/>
  <c r="P1208" i="26"/>
  <c r="M1208" i="26" s="1"/>
  <c r="P1210" i="26"/>
  <c r="M1210" i="26" s="1"/>
  <c r="P1212" i="26"/>
  <c r="M1212" i="26" s="1"/>
  <c r="P1214" i="26"/>
  <c r="M1214" i="26" s="1"/>
  <c r="L1022" i="26"/>
  <c r="I829" i="26"/>
  <c r="J829" i="26" s="1"/>
  <c r="L829" i="26"/>
  <c r="P700" i="26"/>
  <c r="M700" i="26" s="1"/>
  <c r="P708" i="26"/>
  <c r="M708" i="26" s="1"/>
  <c r="P716" i="26"/>
  <c r="M716" i="26" s="1"/>
  <c r="P724" i="26"/>
  <c r="M724" i="26" s="1"/>
  <c r="P732" i="26"/>
  <c r="M732" i="26" s="1"/>
  <c r="P740" i="26"/>
  <c r="M740" i="26" s="1"/>
  <c r="P697" i="26"/>
  <c r="M697" i="26" s="1"/>
  <c r="P705" i="26"/>
  <c r="M705" i="26" s="1"/>
  <c r="P713" i="26"/>
  <c r="M713" i="26" s="1"/>
  <c r="P721" i="26"/>
  <c r="M721" i="26" s="1"/>
  <c r="P729" i="26"/>
  <c r="M729" i="26" s="1"/>
  <c r="P737" i="26"/>
  <c r="M737" i="26" s="1"/>
  <c r="P745" i="26"/>
  <c r="M745" i="26" s="1"/>
  <c r="P699" i="26"/>
  <c r="M699" i="26" s="1"/>
  <c r="P707" i="26"/>
  <c r="M707" i="26" s="1"/>
  <c r="P715" i="26"/>
  <c r="M715" i="26" s="1"/>
  <c r="P723" i="26"/>
  <c r="M723" i="26" s="1"/>
  <c r="P731" i="26"/>
  <c r="M731" i="26" s="1"/>
  <c r="P739" i="26"/>
  <c r="M739" i="26" s="1"/>
  <c r="P744" i="26"/>
  <c r="M744" i="26" s="1"/>
  <c r="P698" i="26"/>
  <c r="M698" i="26" s="1"/>
  <c r="P706" i="26"/>
  <c r="M706" i="26" s="1"/>
  <c r="P714" i="26"/>
  <c r="M714" i="26" s="1"/>
  <c r="P722" i="26"/>
  <c r="M722" i="26" s="1"/>
  <c r="P730" i="26"/>
  <c r="M730" i="26" s="1"/>
  <c r="P738" i="26"/>
  <c r="M738" i="26" s="1"/>
  <c r="P746" i="26"/>
  <c r="M746" i="26" s="1"/>
  <c r="L563" i="26"/>
  <c r="L252" i="26"/>
  <c r="L253" i="26"/>
  <c r="L180" i="26"/>
  <c r="N202" i="26"/>
  <c r="O202" i="26" s="1"/>
  <c r="P202" i="26" s="1"/>
  <c r="M202" i="26" s="1"/>
  <c r="L208" i="26"/>
  <c r="L181" i="26"/>
  <c r="L212" i="26"/>
  <c r="L191" i="26"/>
  <c r="L215" i="26"/>
  <c r="L192" i="26"/>
  <c r="L7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5" authorId="0" shapeId="0" xr:uid="{A61C806B-1743-429A-B72F-3B590FEF62EB}">
      <text>
        <r>
          <rPr>
            <sz val="10"/>
            <color rgb="FF000000"/>
            <rFont val="Arial"/>
            <scheme val="minor"/>
          </rPr>
          <t>Оксана, просьба указывать номенклатуру (можно в примечании) как отражаешь в системе</t>
        </r>
      </text>
    </comment>
    <comment ref="E76" authorId="0" shapeId="0" xr:uid="{56B8D380-1470-49B6-8108-560F9367A04F}">
      <text>
        <r>
          <rPr>
            <sz val="10"/>
            <color rgb="FF000000"/>
            <rFont val="Arial"/>
            <scheme val="minor"/>
          </rPr>
          <t>Starkbond 2014 RB103 ведро 10 кг
Starkbond 2014 RH202 ведро 10 кг
Starkbond 2014 RB102 ведро 10 кг</t>
        </r>
      </text>
    </comment>
    <comment ref="E93" authorId="0" shapeId="0" xr:uid="{48C39D53-0760-46C1-95AB-C16CC5A76ACA}">
      <text>
        <r>
          <rPr>
            <sz val="10"/>
            <color rgb="FF000000"/>
            <rFont val="Arial"/>
            <scheme val="minor"/>
          </rPr>
          <t>шел полиол от русхимсеть и флексотех</t>
        </r>
      </text>
    </comment>
    <comment ref="E146" authorId="0" shapeId="0" xr:uid="{D9A28F58-5B42-428F-824C-4B13C6DDFE22}">
      <text>
        <r>
          <rPr>
            <sz val="10"/>
            <color rgb="FF000000"/>
            <rFont val="Arial"/>
            <scheme val="minor"/>
          </rPr>
          <t>Ждем док-ты за доставку пол.303</t>
        </r>
      </text>
    </comment>
    <comment ref="E149" authorId="0" shapeId="0" xr:uid="{16E0790B-A27D-4388-AD0C-6A6AE3154B95}">
      <text>
        <r>
          <rPr>
            <sz val="10"/>
            <color rgb="FF000000"/>
            <rFont val="Arial"/>
            <scheme val="minor"/>
          </rPr>
          <t>Ждем док-ты за доставку пол.303</t>
        </r>
      </text>
    </comment>
    <comment ref="E150" authorId="0" shapeId="0" xr:uid="{CB32ABA6-9723-4122-ABB0-269210EC5040}">
      <text>
        <r>
          <rPr>
            <sz val="10"/>
            <color rgb="FF000000"/>
            <rFont val="Arial"/>
            <scheme val="minor"/>
          </rPr>
          <t>касторка+0,1 цент плюс транспорт.расходы выше</t>
        </r>
      </text>
    </comment>
    <comment ref="E152" authorId="0" shapeId="0" xr:uid="{B7581A65-F0C3-4706-9FCC-057F2ED7565C}">
      <text>
        <r>
          <rPr>
            <sz val="10"/>
            <color rgb="FF000000"/>
            <rFont val="Arial"/>
            <scheme val="minor"/>
          </rPr>
          <t>Ждем док-ты за доставку пол.303</t>
        </r>
      </text>
    </comment>
    <comment ref="H174" authorId="0" shapeId="0" xr:uid="{3E5A8778-81D8-4346-BFDC-065989E6B6E4}">
      <text>
        <r>
          <rPr>
            <sz val="10"/>
            <color rgb="FF000000"/>
            <rFont val="Arial"/>
            <scheme val="minor"/>
          </rPr>
          <t>Вошел полиол по 1,74 поставки от 2022г,  в связи с переформированием партий 
104,5 кг на выпуск объемом 1100 кг</t>
        </r>
      </text>
    </comment>
    <comment ref="E599" authorId="0" shapeId="0" xr:uid="{E038CECA-1BFB-4614-A7CC-7B0CD2A90E97}">
      <text>
        <r>
          <rPr>
            <sz val="10"/>
            <color rgb="FF000000"/>
            <rFont val="Arial"/>
            <scheme val="minor"/>
          </rPr>
          <t>добавлен Полиол Puranol Polyether polyol D220</t>
        </r>
      </text>
    </comment>
    <comment ref="E616" authorId="0" shapeId="0" xr:uid="{D6ACA090-0F3D-412E-A9A1-137DBE378B05}">
      <text>
        <r>
          <rPr>
            <sz val="10"/>
            <color rgb="FF000000"/>
            <rFont val="Arial"/>
            <scheme val="minor"/>
          </rPr>
          <t>кукдо</t>
        </r>
      </text>
    </comment>
    <comment ref="E618" authorId="0" shapeId="0" xr:uid="{E66AAE5D-4E46-46A1-8378-2CB97761A4A1}">
      <text>
        <r>
          <rPr>
            <sz val="10"/>
            <color rgb="FF000000"/>
            <rFont val="Arial"/>
            <scheme val="minor"/>
          </rPr>
          <t>кукдо</t>
        </r>
      </text>
    </comment>
    <comment ref="E621" authorId="0" shapeId="0" xr:uid="{9F85390C-BCA7-4DB2-A204-B97AFB94BC4C}">
      <text>
        <r>
          <rPr>
            <sz val="10"/>
            <color rgb="FF000000"/>
            <rFont val="Arial"/>
            <scheme val="minor"/>
          </rPr>
          <t>кукдо</t>
        </r>
      </text>
    </comment>
    <comment ref="E623" authorId="0" shapeId="0" xr:uid="{0AF82294-A1AB-4754-977F-CB1249B96C44}">
      <text>
        <r>
          <rPr>
            <sz val="10"/>
            <color rgb="FF000000"/>
            <rFont val="Arial"/>
            <scheme val="minor"/>
          </rPr>
          <t>кукдо</t>
        </r>
      </text>
    </comment>
    <comment ref="E992" authorId="0" shapeId="0" xr:uid="{FB5E59E8-7E70-42BB-BC32-BB2D2B8C6FB6}">
      <text>
        <r>
          <rPr>
            <sz val="10"/>
            <color rgb="FF000000"/>
            <rFont val="Arial"/>
            <scheme val="minor"/>
          </rPr>
          <t>MDI 4.14 долл Айрон</t>
        </r>
      </text>
    </comment>
    <comment ref="E1354" authorId="0" shapeId="0" xr:uid="{89D0B72F-D61C-4BBD-8A7B-1D7AC1874CD2}">
      <text>
        <r>
          <rPr>
            <sz val="10"/>
            <color rgb="FF000000"/>
            <rFont val="Arial"/>
            <scheme val="minor"/>
          </rPr>
          <t>MDI от Авис 27,88 юаней  (3,49 евро с НДС)</t>
        </r>
      </text>
    </comment>
  </commentList>
</comments>
</file>

<file path=xl/sharedStrings.xml><?xml version="1.0" encoding="utf-8"?>
<sst xmlns="http://schemas.openxmlformats.org/spreadsheetml/2006/main" count="6724" uniqueCount="2521">
  <si>
    <t>Дата выпуска продукции</t>
  </si>
  <si>
    <t>курс</t>
  </si>
  <si>
    <t>№ ЗП</t>
  </si>
  <si>
    <t>Продукт</t>
  </si>
  <si>
    <t>Вес готового продукта</t>
  </si>
  <si>
    <t>Израсходовано по факту</t>
  </si>
  <si>
    <t>Потери, кг</t>
  </si>
  <si>
    <t>% потерь</t>
  </si>
  <si>
    <t>СС 1С на дату выпуска, EUR</t>
  </si>
  <si>
    <t>СС КГ, РУБ, Б/НДС</t>
  </si>
  <si>
    <t>СС Факт , EUR, Б/НДС</t>
  </si>
  <si>
    <t>СС Партии, EUR, Б/НДС</t>
  </si>
  <si>
    <t>СС Партии, РУБ, Б/НДС</t>
  </si>
  <si>
    <t>Примечание</t>
  </si>
  <si>
    <t>01L2503-6</t>
  </si>
  <si>
    <t>клей Starkbond 521 A бочка 220кг</t>
  </si>
  <si>
    <t>03L2501-10</t>
  </si>
  <si>
    <t>04L2501-09</t>
  </si>
  <si>
    <t>05L2501-10</t>
  </si>
  <si>
    <t>06L2501-09</t>
  </si>
  <si>
    <t>07L2501-10</t>
  </si>
  <si>
    <t>08L2501-10</t>
  </si>
  <si>
    <t>09L2502-10</t>
  </si>
  <si>
    <t>10L2501-10</t>
  </si>
  <si>
    <t>EUR</t>
  </si>
  <si>
    <t>RUB</t>
  </si>
  <si>
    <t xml:space="preserve">Продукт </t>
  </si>
  <si>
    <t>Сентябрь 24</t>
  </si>
  <si>
    <t>Октябрь 24</t>
  </si>
  <si>
    <t>Ноябрь 24</t>
  </si>
  <si>
    <t xml:space="preserve">Декабрь 24 </t>
  </si>
  <si>
    <t>Январь 25</t>
  </si>
  <si>
    <t>Февраль 2025</t>
  </si>
  <si>
    <t>Март 25</t>
  </si>
  <si>
    <t>Апрель 25</t>
  </si>
  <si>
    <t>Май 25</t>
  </si>
  <si>
    <t>Июнь 25</t>
  </si>
  <si>
    <t>Июль 25</t>
  </si>
  <si>
    <t>Август 25</t>
  </si>
  <si>
    <t>Сентябрь 25</t>
  </si>
  <si>
    <t>Октябрь 25</t>
  </si>
  <si>
    <t>Ноябрь 25</t>
  </si>
  <si>
    <t>Декабрь 25</t>
  </si>
  <si>
    <t>Январь 26</t>
  </si>
  <si>
    <t>Февраль 26</t>
  </si>
  <si>
    <t>Март 26</t>
  </si>
  <si>
    <t>Апрель 2026</t>
  </si>
  <si>
    <t>Май 2026</t>
  </si>
  <si>
    <t>Июнь 2026</t>
  </si>
  <si>
    <t>Июль 2026</t>
  </si>
  <si>
    <t>Отвердитель Starkbond 521C 10.0 бочка 200кг</t>
  </si>
  <si>
    <t>Отвердитель Starkbond 521C 11.0 бочка 200кг</t>
  </si>
  <si>
    <t>отвердитель Starkbond 746/1 С бочка 200кг</t>
  </si>
  <si>
    <t>Отвердитель Starkbond 525C 2.0 Бочка 200 кг</t>
  </si>
  <si>
    <t>Отвердитель Starkbond 525C 3.0 Бочка 200 кг</t>
  </si>
  <si>
    <t>отвердитель Starkbond 525C v0 (ведро 22 кг)</t>
  </si>
  <si>
    <t>Клей Starkbond 745/41 А (бочка 200 кг)</t>
  </si>
  <si>
    <t>Клей Starkbond 525A бочка 200 кг</t>
  </si>
  <si>
    <t>Клей Starkbond 522A бочка 220 кг</t>
  </si>
  <si>
    <t>Отвердитель Starkbond 747С ведро 5 кг</t>
  </si>
  <si>
    <t>Клей Starkbond 2014 бочка 225кг</t>
  </si>
  <si>
    <t>Клей Starkbond 746A бочка 200 кг</t>
  </si>
  <si>
    <t>Клей Starkbond 745/40А ведро 20 кг, Клей Starkbond 745/41 А (ведро 20кг)</t>
  </si>
  <si>
    <t>клей Starkbond 745/3 А</t>
  </si>
  <si>
    <t>Клей Starkbond 2025 RC7 бочка 225 кг</t>
  </si>
  <si>
    <t>отвердитель Starkbond 521 C 2.2 бочка 200кг</t>
  </si>
  <si>
    <t>отвердитель Starkbond 521 C 3.0 бочка 200кг</t>
  </si>
  <si>
    <t>Отвердитель Starkbond 521C 10.0 ведро 20кг</t>
  </si>
  <si>
    <t>Отвердитель Starkbond 521C бочка 200кг</t>
  </si>
  <si>
    <t>Отвердитель Starkbond 525C 2.0</t>
  </si>
  <si>
    <t>Клей Starkbond 745/41 А (ведро 20кг)</t>
  </si>
  <si>
    <t>Sancon Pro</t>
  </si>
  <si>
    <t>отвердитель Starkbond 525C 3.0 ведро 20кг</t>
  </si>
  <si>
    <t>Клей Starkbond FW-0001 ведро 20 кг</t>
  </si>
  <si>
    <t>Клей Starkbond 523/1A ведро 20 кг</t>
  </si>
  <si>
    <t>Starkbond 2004 бочка 225 кг</t>
  </si>
  <si>
    <t>отвердитель Starkbond 746 С ведро 20кг</t>
  </si>
  <si>
    <t>Образцы</t>
  </si>
  <si>
    <t>клей Starkbond 745/3 А бочка 200кг</t>
  </si>
  <si>
    <t>Клей Starkbond 745/40А ведро 20 кг</t>
  </si>
  <si>
    <t>Клей Starkbond 745/4А (ведро 20кг)</t>
  </si>
  <si>
    <t>Отвердитель Starkbond 745С ведро 20 кг</t>
  </si>
  <si>
    <t>Клей Starkbond 745/40А бочка 200 кг</t>
  </si>
  <si>
    <t>Клей Starkbond 523A бочка 220кг</t>
  </si>
  <si>
    <t>Клей Starkbond 2025 RC7 LV 225 кг</t>
  </si>
  <si>
    <t>SANCOS PRO</t>
  </si>
  <si>
    <t>Клей Starkbond 521A ведро 22 кг</t>
  </si>
  <si>
    <t>Отвердитель Starkbond 521C 10.0 ведро 11кг</t>
  </si>
  <si>
    <t>Клей Starkbond 523/1A бочка 220 кг</t>
  </si>
  <si>
    <t>отвердитель Starkbond 746/1 С ведро 20кг</t>
  </si>
  <si>
    <t>Клей Starkbond 523A 1.0 бочка 220кг</t>
  </si>
  <si>
    <t>Клей Starkbond 746A ведро 20 кг</t>
  </si>
  <si>
    <t>Отвердитель Starkbond 521C ведро 20кг</t>
  </si>
  <si>
    <t>Клей Starkbond 522A ведро 22 кг</t>
  </si>
  <si>
    <t>Starkbond 2014 ведро 20кг</t>
  </si>
  <si>
    <t>Sancos PROPOL 101A бочка 180 кг</t>
  </si>
  <si>
    <t>отвердитель Starkbond 746 С бочка 200 кг</t>
  </si>
  <si>
    <t>Starkbond 2014 ведро 5кг, Клей Starkbond 2025 RC7 ведро 5 кг</t>
  </si>
  <si>
    <t>отвердитель Starkbond 525C VO ведро 20кг</t>
  </si>
  <si>
    <t>отвердитель Starkbond 525C 2.0 ведро 20кг</t>
  </si>
  <si>
    <t>Отвердитель Starkbond 525С 3.1  ведро 20 кг</t>
  </si>
  <si>
    <t>Отвердитель Starkbond 525 C 6.0 бочка 200 кг</t>
  </si>
  <si>
    <t>SANCOS PRO SAFETY 145 M канистра 11,59 кг</t>
  </si>
  <si>
    <t>Отвердитель Starkbond 521C 3.0 бочка 200кг</t>
  </si>
  <si>
    <t>Sancos PRONATE 501B бочка 240 кг</t>
  </si>
  <si>
    <t>SANCOS PRO SAFETY 145 M канистра 23,18 кг</t>
  </si>
  <si>
    <t>Отвердитель Starkbond 525C 3.2 Бочка 200 кг</t>
  </si>
  <si>
    <t>Отвердитель Starkbond 525C 7.0 бочка 120 кг</t>
  </si>
  <si>
    <t>Клей Starkbond 525A 2.0 бочка 200 кг</t>
  </si>
  <si>
    <t>Отвердитель Starkbond 525C 3.21 бочка 200 кг</t>
  </si>
  <si>
    <t>Отвердитель Starkbond 525C 7.0 бочка 200 кг</t>
  </si>
  <si>
    <t>SANCOS PRO SAFETY 345/5 канистра 7,73 кг</t>
  </si>
  <si>
    <t>Отвердитель Starkbond 525C 7.0 ведро 20 кг</t>
  </si>
  <si>
    <t>Клей Starkbond 525A 2.0 ведро 20 кг</t>
  </si>
  <si>
    <t>Starkbond 2015 ведро 10 кг</t>
  </si>
  <si>
    <t>Sancos Pro Safety 165 канистра 14,8 кг</t>
  </si>
  <si>
    <t>Отвердитель Starkbond 747/2C (ведро 10кг)</t>
  </si>
  <si>
    <t>Клей Starkbond 746/3A (ведро 20 кг)</t>
  </si>
  <si>
    <t>Sancos PROPOL 101A бочка 90 кг</t>
  </si>
  <si>
    <t>SANCOS PRO SAFETY 160 канистра 23,18 кг</t>
  </si>
  <si>
    <t>SANCOS PRO SAFETY 345 канистра 23,18 кг</t>
  </si>
  <si>
    <t>SANCOS PRO SAFETY 160 канистра 11,59 кг</t>
  </si>
  <si>
    <t>Отвердитель Starkbond 747/2C ведро 6 кг</t>
  </si>
  <si>
    <t>Sancos Pro Safety 345 канистра 11,59 кг</t>
  </si>
  <si>
    <t>Отвердитель Starkbond 525C 6.0 ведро 20кг</t>
  </si>
  <si>
    <t>Клей Starkbond 2025 RC7 LV 220 кг</t>
  </si>
  <si>
    <t>Sancos Pro Safety 145 канистра 11,59 кг</t>
  </si>
  <si>
    <t>01F2601</t>
  </si>
  <si>
    <t>01F2602</t>
  </si>
  <si>
    <t>01F2603</t>
  </si>
  <si>
    <t>01F2604</t>
  </si>
  <si>
    <t>01F2605</t>
  </si>
  <si>
    <t>01F2606</t>
  </si>
  <si>
    <t>01F2607</t>
  </si>
  <si>
    <t>01F2608</t>
  </si>
  <si>
    <t>01F2609</t>
  </si>
  <si>
    <t>01F2610</t>
  </si>
  <si>
    <t>01F26R11</t>
  </si>
  <si>
    <t>02F2601</t>
  </si>
  <si>
    <t>02F2602</t>
  </si>
  <si>
    <t>02F2603</t>
  </si>
  <si>
    <t>02F2604</t>
  </si>
  <si>
    <t>02F2605</t>
  </si>
  <si>
    <t>02F2606</t>
  </si>
  <si>
    <t>02F2607</t>
  </si>
  <si>
    <t>02F2608</t>
  </si>
  <si>
    <t>02F26R11</t>
  </si>
  <si>
    <t>02F2609</t>
  </si>
  <si>
    <t>02F2610</t>
  </si>
  <si>
    <t>03F2601</t>
  </si>
  <si>
    <t>03F2602</t>
  </si>
  <si>
    <t>03F2603</t>
  </si>
  <si>
    <t>03F26R11</t>
  </si>
  <si>
    <t>2014 (1800) Тестовый Изоцианат COSMONATE PH</t>
  </si>
  <si>
    <t>03F2604</t>
  </si>
  <si>
    <t>03F2605</t>
  </si>
  <si>
    <t>03F2606</t>
  </si>
  <si>
    <t>03F2607</t>
  </si>
  <si>
    <t>03F2608</t>
  </si>
  <si>
    <t>03F2609</t>
  </si>
  <si>
    <t>03F2610</t>
  </si>
  <si>
    <t>04F2601</t>
  </si>
  <si>
    <t>04F2602</t>
  </si>
  <si>
    <t>04F2603</t>
  </si>
  <si>
    <t>04F2604</t>
  </si>
  <si>
    <t>04F2605</t>
  </si>
  <si>
    <t>13А2609</t>
  </si>
  <si>
    <t>Отвердитель Starkbond 521C 11.0 ведро 11кг</t>
  </si>
  <si>
    <t>Акт №44 от 04.06.26 Продление ГП, смена партии 04FP2609</t>
  </si>
  <si>
    <t>04F2606</t>
  </si>
  <si>
    <t>02F26R03</t>
  </si>
  <si>
    <t>Клей Starkbond 746/4А (ведро 20кг)</t>
  </si>
  <si>
    <t>смена номенклатуры</t>
  </si>
  <si>
    <t>04F2607</t>
  </si>
  <si>
    <t>04F2608</t>
  </si>
  <si>
    <t>04F26R11</t>
  </si>
  <si>
    <t>04F2609</t>
  </si>
  <si>
    <t>04F2610</t>
  </si>
  <si>
    <t>25K2501R019</t>
  </si>
  <si>
    <t>Акт №45 продление ГП</t>
  </si>
  <si>
    <t>25K2502R019</t>
  </si>
  <si>
    <t>25K2503R019</t>
  </si>
  <si>
    <t>25K2504R019</t>
  </si>
  <si>
    <t>25K2509R019</t>
  </si>
  <si>
    <t>ШККА-000243</t>
  </si>
  <si>
    <t>Фильтрация Отвердитель Starkbond 521C бочка 200кг - 14B2517EX06R0190, 25K2501EX06R0190</t>
  </si>
  <si>
    <t>05F2601</t>
  </si>
  <si>
    <t>05F2602</t>
  </si>
  <si>
    <t>05F2603</t>
  </si>
  <si>
    <t>05F2604</t>
  </si>
  <si>
    <t>05F2605</t>
  </si>
  <si>
    <t>05F2606</t>
  </si>
  <si>
    <t>05F2607</t>
  </si>
  <si>
    <t>05F26R11</t>
  </si>
  <si>
    <t>05F2608</t>
  </si>
  <si>
    <t>05F2609</t>
  </si>
  <si>
    <t>05F2610</t>
  </si>
  <si>
    <t>06F26R11</t>
  </si>
  <si>
    <t>06F2601</t>
  </si>
  <si>
    <t>06F2602</t>
  </si>
  <si>
    <t>06F2603</t>
  </si>
  <si>
    <t>06F2604</t>
  </si>
  <si>
    <t>06F2605</t>
  </si>
  <si>
    <t>06F2611</t>
  </si>
  <si>
    <t>Клей Starkbond 521A  ведро 22 кг</t>
  </si>
  <si>
    <t>фасовка</t>
  </si>
  <si>
    <t>06F2612</t>
  </si>
  <si>
    <t>Отвердитель Starkbond 525C 6.0  ведро 20кг</t>
  </si>
  <si>
    <t>06F2606</t>
  </si>
  <si>
    <t>06F2607</t>
  </si>
  <si>
    <t>06F2608</t>
  </si>
  <si>
    <t>06F2609</t>
  </si>
  <si>
    <t>06F2610</t>
  </si>
  <si>
    <t>07F26R11</t>
  </si>
  <si>
    <t>07F2601</t>
  </si>
  <si>
    <t>07F2602</t>
  </si>
  <si>
    <t>07F2603</t>
  </si>
  <si>
    <t>07F2604</t>
  </si>
  <si>
    <t>07F2605</t>
  </si>
  <si>
    <t>07F2606</t>
  </si>
  <si>
    <t>07F2607</t>
  </si>
  <si>
    <t>07F2608</t>
  </si>
  <si>
    <t>07F2609</t>
  </si>
  <si>
    <t>07F2610</t>
  </si>
  <si>
    <t>08F26R11</t>
  </si>
  <si>
    <t>08F2601</t>
  </si>
  <si>
    <t>08F2602</t>
  </si>
  <si>
    <t>08F2603</t>
  </si>
  <si>
    <t>08F2604</t>
  </si>
  <si>
    <t>08F2605</t>
  </si>
  <si>
    <t>08F2606</t>
  </si>
  <si>
    <t>08F2607</t>
  </si>
  <si>
    <t>08F2608</t>
  </si>
  <si>
    <t>08F2609</t>
  </si>
  <si>
    <t>08F2610</t>
  </si>
  <si>
    <t>09F26R11</t>
  </si>
  <si>
    <t>09F2601</t>
  </si>
  <si>
    <t>09F2602</t>
  </si>
  <si>
    <t>09F2603</t>
  </si>
  <si>
    <t>09F2604</t>
  </si>
  <si>
    <t>09F2605</t>
  </si>
  <si>
    <t>09F2606</t>
  </si>
  <si>
    <t>18L2506</t>
  </si>
  <si>
    <t>Акт №46 продление ГП</t>
  </si>
  <si>
    <t>09F2607</t>
  </si>
  <si>
    <t>09F2608</t>
  </si>
  <si>
    <t>09F2609</t>
  </si>
  <si>
    <t>09F2610</t>
  </si>
  <si>
    <t>09F2611</t>
  </si>
  <si>
    <t>Клей Starkbond 525A 3.0 ведро 20 кг</t>
  </si>
  <si>
    <t>09F2612</t>
  </si>
  <si>
    <t>Клей Starkbond 525A 4.0 ведро 20 кг</t>
  </si>
  <si>
    <t>09F2613</t>
  </si>
  <si>
    <t>10F26R11</t>
  </si>
  <si>
    <t>10F2601</t>
  </si>
  <si>
    <t>10F2602</t>
  </si>
  <si>
    <t>10F2603</t>
  </si>
  <si>
    <t>10F2604</t>
  </si>
  <si>
    <t>10F2605</t>
  </si>
  <si>
    <t>10F2606</t>
  </si>
  <si>
    <t>10F2607</t>
  </si>
  <si>
    <t>10F2608</t>
  </si>
  <si>
    <t>10F2609</t>
  </si>
  <si>
    <t>10F2610</t>
  </si>
  <si>
    <t>11F2601</t>
  </si>
  <si>
    <t>11F2602</t>
  </si>
  <si>
    <t>11F2603</t>
  </si>
  <si>
    <t>11F2604</t>
  </si>
  <si>
    <t>11F2605</t>
  </si>
  <si>
    <t>11F2606</t>
  </si>
  <si>
    <t>11F2607</t>
  </si>
  <si>
    <t>11F2608</t>
  </si>
  <si>
    <t>11F2609</t>
  </si>
  <si>
    <t>11F2610</t>
  </si>
  <si>
    <t>11F2611</t>
  </si>
  <si>
    <t>521A (55) 11F2611R0190 Образец (PREPOLYMER Polyurethane Binder)</t>
  </si>
  <si>
    <t>11F2612</t>
  </si>
  <si>
    <t>521A (65) 11F2612R0190 Образец (PREPOLYMER HC-8419V)</t>
  </si>
  <si>
    <t>11F2613</t>
  </si>
  <si>
    <t>521A (70) 11F2613R0190 Образец (PREPOLYMER Madisonol P5191)</t>
  </si>
  <si>
    <t>12F2601</t>
  </si>
  <si>
    <t>12F2602</t>
  </si>
  <si>
    <t>12F2603</t>
  </si>
  <si>
    <t>12F2604</t>
  </si>
  <si>
    <t>12F2605</t>
  </si>
  <si>
    <t>12F2606</t>
  </si>
  <si>
    <t>12F2607</t>
  </si>
  <si>
    <t>12F2608</t>
  </si>
  <si>
    <t>12F2609</t>
  </si>
  <si>
    <t>12F2610</t>
  </si>
  <si>
    <t>12F2611</t>
  </si>
  <si>
    <t>13F2601</t>
  </si>
  <si>
    <t>13F2602</t>
  </si>
  <si>
    <t>13F2603</t>
  </si>
  <si>
    <t>13F2604</t>
  </si>
  <si>
    <t>13F2605</t>
  </si>
  <si>
    <t>13F2606</t>
  </si>
  <si>
    <t>13F2607</t>
  </si>
  <si>
    <t>13F2608</t>
  </si>
  <si>
    <t>13F2609</t>
  </si>
  <si>
    <t>13F2610</t>
  </si>
  <si>
    <t>14F2601</t>
  </si>
  <si>
    <t>14F2602</t>
  </si>
  <si>
    <t>14F2603</t>
  </si>
  <si>
    <t>14F2604</t>
  </si>
  <si>
    <t>14F2605</t>
  </si>
  <si>
    <t>14F2606</t>
  </si>
  <si>
    <t>14F2607</t>
  </si>
  <si>
    <t>14F2608</t>
  </si>
  <si>
    <t>14F2609</t>
  </si>
  <si>
    <t>14F2610</t>
  </si>
  <si>
    <t>15F2601</t>
  </si>
  <si>
    <t>15F2602</t>
  </si>
  <si>
    <t>15F2603</t>
  </si>
  <si>
    <t>15F2604</t>
  </si>
  <si>
    <t>15F2605</t>
  </si>
  <si>
    <t>15F2606</t>
  </si>
  <si>
    <t>15F2607</t>
  </si>
  <si>
    <t>15F2608</t>
  </si>
  <si>
    <t>15F2609</t>
  </si>
  <si>
    <t>15F2610</t>
  </si>
  <si>
    <t>16F2601</t>
  </si>
  <si>
    <t>16F2602</t>
  </si>
  <si>
    <t>16F2603</t>
  </si>
  <si>
    <t>16F2604</t>
  </si>
  <si>
    <t>16F2605</t>
  </si>
  <si>
    <t>16F2606</t>
  </si>
  <si>
    <t>16F2607</t>
  </si>
  <si>
    <t>16F2608</t>
  </si>
  <si>
    <t>16F2609</t>
  </si>
  <si>
    <t>16F2610</t>
  </si>
  <si>
    <t>17F2601</t>
  </si>
  <si>
    <t>17F2602</t>
  </si>
  <si>
    <t>17F2603</t>
  </si>
  <si>
    <t>17F2604</t>
  </si>
  <si>
    <t>17F2605</t>
  </si>
  <si>
    <t>17F2606</t>
  </si>
  <si>
    <t>17F2607</t>
  </si>
  <si>
    <t>17F2608</t>
  </si>
  <si>
    <t>17F2609</t>
  </si>
  <si>
    <t>17F2610</t>
  </si>
  <si>
    <t>ШККА-000244</t>
  </si>
  <si>
    <t>Декатализация Отвердитель Starkbond 521C бочка 200кг</t>
  </si>
  <si>
    <t>18F2601</t>
  </si>
  <si>
    <t>18F2602</t>
  </si>
  <si>
    <t>18F2603</t>
  </si>
  <si>
    <t>18F2604</t>
  </si>
  <si>
    <t>18F2605</t>
  </si>
  <si>
    <t>18F2606</t>
  </si>
  <si>
    <t>18F2607</t>
  </si>
  <si>
    <t>18F2608</t>
  </si>
  <si>
    <t>18F2609</t>
  </si>
  <si>
    <t>18F2610</t>
  </si>
  <si>
    <t>19F2601</t>
  </si>
  <si>
    <t>19F2602</t>
  </si>
  <si>
    <t>19F2603</t>
  </si>
  <si>
    <t>19F2604</t>
  </si>
  <si>
    <t>19F2611</t>
  </si>
  <si>
    <t>Фасовка 525C 6.0 400 кг по 20кг</t>
  </si>
  <si>
    <t>19F26R11</t>
  </si>
  <si>
    <t>19F2605</t>
  </si>
  <si>
    <t>19F2606</t>
  </si>
  <si>
    <t>19F2607</t>
  </si>
  <si>
    <t>19F2608</t>
  </si>
  <si>
    <t>19F2609</t>
  </si>
  <si>
    <t>19F2610</t>
  </si>
  <si>
    <t>20F26R11</t>
  </si>
  <si>
    <t>20F2611</t>
  </si>
  <si>
    <t>Фасовка 521А 660 кг по 22кг</t>
  </si>
  <si>
    <t>20F2601</t>
  </si>
  <si>
    <t>20F2602</t>
  </si>
  <si>
    <t>20F2603</t>
  </si>
  <si>
    <t>20F2604</t>
  </si>
  <si>
    <t>20F2605</t>
  </si>
  <si>
    <t>20F2606</t>
  </si>
  <si>
    <t>20F2607</t>
  </si>
  <si>
    <t>20F2608</t>
  </si>
  <si>
    <t>20F2609</t>
  </si>
  <si>
    <t>20F2610</t>
  </si>
  <si>
    <t>21F26R11</t>
  </si>
  <si>
    <t>21F2601</t>
  </si>
  <si>
    <t>21F2602</t>
  </si>
  <si>
    <t>21F2603</t>
  </si>
  <si>
    <t>21F2604</t>
  </si>
  <si>
    <t>21F2605</t>
  </si>
  <si>
    <t>21F2606</t>
  </si>
  <si>
    <t>21F2607</t>
  </si>
  <si>
    <t>21F2608</t>
  </si>
  <si>
    <t>21F2609</t>
  </si>
  <si>
    <t>21F2610</t>
  </si>
  <si>
    <t>22F2601</t>
  </si>
  <si>
    <t>22F2602</t>
  </si>
  <si>
    <t>22F2603</t>
  </si>
  <si>
    <t>22F2604</t>
  </si>
  <si>
    <t>01G25R11R01</t>
  </si>
  <si>
    <t>Акт №47 продление склада адресного хранения</t>
  </si>
  <si>
    <t>05H2504R019</t>
  </si>
  <si>
    <t>14G2501R019</t>
  </si>
  <si>
    <t>14G2502R019</t>
  </si>
  <si>
    <t>22F2605</t>
  </si>
  <si>
    <t>22F2606</t>
  </si>
  <si>
    <t>22F2607</t>
  </si>
  <si>
    <t>22F2608</t>
  </si>
  <si>
    <t>22F2609</t>
  </si>
  <si>
    <t>22F26R11</t>
  </si>
  <si>
    <t>22F2610</t>
  </si>
  <si>
    <t>23F2601</t>
  </si>
  <si>
    <t>23F2602</t>
  </si>
  <si>
    <t>23F2603</t>
  </si>
  <si>
    <t>23F2604</t>
  </si>
  <si>
    <t>23F2605</t>
  </si>
  <si>
    <t>23F2606</t>
  </si>
  <si>
    <t>23F2607</t>
  </si>
  <si>
    <t>23F2608</t>
  </si>
  <si>
    <t>23F2609</t>
  </si>
  <si>
    <t>23F2610</t>
  </si>
  <si>
    <t>24F2601</t>
  </si>
  <si>
    <t>24F2602</t>
  </si>
  <si>
    <t>24F2603</t>
  </si>
  <si>
    <t>24F2604</t>
  </si>
  <si>
    <t>24F2605</t>
  </si>
  <si>
    <t>24F2606</t>
  </si>
  <si>
    <t>24F2607</t>
  </si>
  <si>
    <t>ШККА-000246</t>
  </si>
  <si>
    <t>переклейка ГП для отгрузки Презент Упаковка 29.06.26</t>
  </si>
  <si>
    <t>24F2608</t>
  </si>
  <si>
    <t>24F2609</t>
  </si>
  <si>
    <t>24F2610</t>
  </si>
  <si>
    <t>18A2601.</t>
  </si>
  <si>
    <t>Акт №48 продление ГП,смена партии</t>
  </si>
  <si>
    <t>18A2602.</t>
  </si>
  <si>
    <t>24F2611</t>
  </si>
  <si>
    <t>SANCOS PRO SAFETY 145 канистра 23,18 кг</t>
  </si>
  <si>
    <t xml:space="preserve">выпуск ГП 24.06.26, розлив в канистры 25.06.26 </t>
  </si>
  <si>
    <t>25F2601</t>
  </si>
  <si>
    <t>25F2602</t>
  </si>
  <si>
    <t>25F2603</t>
  </si>
  <si>
    <t>25F2604</t>
  </si>
  <si>
    <t>25F2605</t>
  </si>
  <si>
    <t>25F2611</t>
  </si>
  <si>
    <t>521A (1100) 25F2611R0190 (Мипс)</t>
  </si>
  <si>
    <t>25F2606</t>
  </si>
  <si>
    <t>25F2607</t>
  </si>
  <si>
    <t>25F2608</t>
  </si>
  <si>
    <t>25F2612</t>
  </si>
  <si>
    <t>521A (220) 25F2612R0190 из преполимера 62/38</t>
  </si>
  <si>
    <t>25F2613</t>
  </si>
  <si>
    <t>521A (220) 25F2613R0190 из преполимера 62/38</t>
  </si>
  <si>
    <t>25F2614</t>
  </si>
  <si>
    <t>521A (220) 25F2614R0190 из преполимера 55/45</t>
  </si>
  <si>
    <t>25F2615</t>
  </si>
  <si>
    <t>521A (220) 25F2615R0190 из преполимера 55/45</t>
  </si>
  <si>
    <t>25F2609</t>
  </si>
  <si>
    <t>25F2620</t>
  </si>
  <si>
    <t>25F2610</t>
  </si>
  <si>
    <t>26F2601</t>
  </si>
  <si>
    <t>521A (1100) 26F2601R0190 (Мипс)</t>
  </si>
  <si>
    <t>26F2602</t>
  </si>
  <si>
    <t>521A (1100) 26F2602R0190 (Мипс)</t>
  </si>
  <si>
    <t>26F2603</t>
  </si>
  <si>
    <t>521A (1100) 26F2603R0190 (Мипс)</t>
  </si>
  <si>
    <t>26F2604</t>
  </si>
  <si>
    <t>521A (1100) 26F2604R0190 (Мипс)</t>
  </si>
  <si>
    <t>26F2605</t>
  </si>
  <si>
    <t>521A (1100) 26F2605R0190 (Мипс)</t>
  </si>
  <si>
    <t>26F2606</t>
  </si>
  <si>
    <t>521A (1100) 26F2606R0190 (Мипс)</t>
  </si>
  <si>
    <t>26F2607</t>
  </si>
  <si>
    <t>521A (1100) 26F2607R0190 (Мипс)</t>
  </si>
  <si>
    <t>26F2608</t>
  </si>
  <si>
    <t>521A (1100) 26F2608R0190 (Мипс)</t>
  </si>
  <si>
    <t>26F2609</t>
  </si>
  <si>
    <t>521A (1100) 26F2609R0190 (Мипс)</t>
  </si>
  <si>
    <t>27F2601</t>
  </si>
  <si>
    <t>27F2602</t>
  </si>
  <si>
    <t>27F2603</t>
  </si>
  <si>
    <t>27F2604</t>
  </si>
  <si>
    <t>27F2605</t>
  </si>
  <si>
    <t>27F2606</t>
  </si>
  <si>
    <t>27F2607</t>
  </si>
  <si>
    <t>27F2608</t>
  </si>
  <si>
    <t>27F2609</t>
  </si>
  <si>
    <t>27F2610</t>
  </si>
  <si>
    <t>27F2611</t>
  </si>
  <si>
    <t>Клей Starkbond 522A  ведро 22 кг</t>
  </si>
  <si>
    <t>27F2612</t>
  </si>
  <si>
    <t>Клей Starkbond 525A 4.1 ведро 20 кг</t>
  </si>
  <si>
    <t>27F2613</t>
  </si>
  <si>
    <t>Отвердитель Starkbond 525C 8.1 ведро 20кг</t>
  </si>
  <si>
    <t>28F26R11</t>
  </si>
  <si>
    <t>28F2611</t>
  </si>
  <si>
    <t>29F2601</t>
  </si>
  <si>
    <t>521A (880) 29F2601R0190 (Мипс)</t>
  </si>
  <si>
    <t>29F2611</t>
  </si>
  <si>
    <t>29F26R11</t>
  </si>
  <si>
    <t>29F2606</t>
  </si>
  <si>
    <t>29F2607</t>
  </si>
  <si>
    <t>01E26R11</t>
  </si>
  <si>
    <t>01E2601</t>
  </si>
  <si>
    <t>01E2602</t>
  </si>
  <si>
    <t>01E2603</t>
  </si>
  <si>
    <t>01E2604</t>
  </si>
  <si>
    <t>01E2605</t>
  </si>
  <si>
    <t>01E2606</t>
  </si>
  <si>
    <t>01E2607</t>
  </si>
  <si>
    <t>01E2608</t>
  </si>
  <si>
    <t>01E2609</t>
  </si>
  <si>
    <t>01E2610</t>
  </si>
  <si>
    <t>02E26R11</t>
  </si>
  <si>
    <t>02E2601</t>
  </si>
  <si>
    <t>02E2602</t>
  </si>
  <si>
    <t>02E2603</t>
  </si>
  <si>
    <t>02E2604</t>
  </si>
  <si>
    <t>02E2605</t>
  </si>
  <si>
    <t>02E2606</t>
  </si>
  <si>
    <t>02E2607</t>
  </si>
  <si>
    <t>02E2608</t>
  </si>
  <si>
    <t>02E2609</t>
  </si>
  <si>
    <t>02E2610</t>
  </si>
  <si>
    <t>03E26R11</t>
  </si>
  <si>
    <t>03E2615</t>
  </si>
  <si>
    <t>03E2601</t>
  </si>
  <si>
    <t>03E2602</t>
  </si>
  <si>
    <t>03E2603</t>
  </si>
  <si>
    <t>03E2604</t>
  </si>
  <si>
    <t>03E2605</t>
  </si>
  <si>
    <t>03E2606</t>
  </si>
  <si>
    <t>03E2607</t>
  </si>
  <si>
    <t>03E2608</t>
  </si>
  <si>
    <t>03E2609</t>
  </si>
  <si>
    <t>03E2610</t>
  </si>
  <si>
    <t>04E26R21</t>
  </si>
  <si>
    <t>04E2601</t>
  </si>
  <si>
    <t>04E2602</t>
  </si>
  <si>
    <t>04E2603</t>
  </si>
  <si>
    <t>04E2604</t>
  </si>
  <si>
    <t>04E2605</t>
  </si>
  <si>
    <t>04E2606</t>
  </si>
  <si>
    <t>04E2607</t>
  </si>
  <si>
    <t>04E2608</t>
  </si>
  <si>
    <t>04E26R11</t>
  </si>
  <si>
    <t>04E2609</t>
  </si>
  <si>
    <t>04E2610</t>
  </si>
  <si>
    <t>05E2601</t>
  </si>
  <si>
    <t>05E2602</t>
  </si>
  <si>
    <t>05E2603</t>
  </si>
  <si>
    <t>05E2604</t>
  </si>
  <si>
    <t>05E2605</t>
  </si>
  <si>
    <t>05E26R21</t>
  </si>
  <si>
    <t>05E26R11</t>
  </si>
  <si>
    <t>05E2606</t>
  </si>
  <si>
    <t>05E2607</t>
  </si>
  <si>
    <t>05E2608</t>
  </si>
  <si>
    <t>05E2609</t>
  </si>
  <si>
    <t>05E2610</t>
  </si>
  <si>
    <t>24K25R21EX06</t>
  </si>
  <si>
    <t>Sancos PRONATE 501B бочка 80 кг</t>
  </si>
  <si>
    <t xml:space="preserve">Акт № 41 о продлении срока годности ГП
</t>
  </si>
  <si>
    <t>22E25R11EX06</t>
  </si>
  <si>
    <t>Starkbond 2004  бочка 225 кг</t>
  </si>
  <si>
    <t>23E25R11EX06</t>
  </si>
  <si>
    <t>21E25R11EX06</t>
  </si>
  <si>
    <t>Starkbond 2015 бочка 220кг</t>
  </si>
  <si>
    <t>04E25R11EX06</t>
  </si>
  <si>
    <t>Клей Starkbond 2025 RC7 LV ведро 20кг</t>
  </si>
  <si>
    <t>04K25R11EX06</t>
  </si>
  <si>
    <t>06E2611</t>
  </si>
  <si>
    <t>06E26R11</t>
  </si>
  <si>
    <t>06E26R21</t>
  </si>
  <si>
    <t>07E26R11</t>
  </si>
  <si>
    <t>07E26R21</t>
  </si>
  <si>
    <t>07E2601</t>
  </si>
  <si>
    <t>16C2601</t>
  </si>
  <si>
    <t>SANCOS PRO SAFETY 160 А канистра 11,59 кг</t>
  </si>
  <si>
    <t xml:space="preserve">смена номенклатуры для отгрузки Спецзаказ (заказ клиента ШККА-000196 от 04.05.26) </t>
  </si>
  <si>
    <t>08E2601</t>
  </si>
  <si>
    <t>08E2602</t>
  </si>
  <si>
    <t>08E2603</t>
  </si>
  <si>
    <t>08E2604</t>
  </si>
  <si>
    <t>08E2605</t>
  </si>
  <si>
    <t>08E2606</t>
  </si>
  <si>
    <t>08E26R21</t>
  </si>
  <si>
    <t>08E2607</t>
  </si>
  <si>
    <t>08E2608</t>
  </si>
  <si>
    <t>08E26R11</t>
  </si>
  <si>
    <t>08E2609</t>
  </si>
  <si>
    <t>08E2610</t>
  </si>
  <si>
    <t>09E2611</t>
  </si>
  <si>
    <t>09E2601</t>
  </si>
  <si>
    <t>09E2602</t>
  </si>
  <si>
    <t>09E2603</t>
  </si>
  <si>
    <t>09E2604</t>
  </si>
  <si>
    <t>09E2605</t>
  </si>
  <si>
    <t>09E2606</t>
  </si>
  <si>
    <t>09E2607</t>
  </si>
  <si>
    <t>09E2608</t>
  </si>
  <si>
    <t>09E2609</t>
  </si>
  <si>
    <t>09E2610</t>
  </si>
  <si>
    <t>10E2601</t>
  </si>
  <si>
    <t>10E2602</t>
  </si>
  <si>
    <t>10E2603</t>
  </si>
  <si>
    <t>10E2604</t>
  </si>
  <si>
    <t>10E2605</t>
  </si>
  <si>
    <t>10E2606</t>
  </si>
  <si>
    <t>10E2607</t>
  </si>
  <si>
    <t>10E2608</t>
  </si>
  <si>
    <t>10E2609</t>
  </si>
  <si>
    <t>10E2610</t>
  </si>
  <si>
    <t>11E2601</t>
  </si>
  <si>
    <t>11E2602</t>
  </si>
  <si>
    <t>11E2603</t>
  </si>
  <si>
    <t>11E2604</t>
  </si>
  <si>
    <t>12E2601</t>
  </si>
  <si>
    <t>12E2602</t>
  </si>
  <si>
    <t>12E2603</t>
  </si>
  <si>
    <t>12E2604</t>
  </si>
  <si>
    <t>12E2605</t>
  </si>
  <si>
    <t>12E2606</t>
  </si>
  <si>
    <t>12E2607</t>
  </si>
  <si>
    <t>12E2608</t>
  </si>
  <si>
    <t>13E2601</t>
  </si>
  <si>
    <t>13E2602</t>
  </si>
  <si>
    <t>13E2603</t>
  </si>
  <si>
    <t>13E2604</t>
  </si>
  <si>
    <t>13E2605</t>
  </si>
  <si>
    <t>13E2606</t>
  </si>
  <si>
    <t>13E2612</t>
  </si>
  <si>
    <t>13E2611</t>
  </si>
  <si>
    <t>13E2607</t>
  </si>
  <si>
    <t>13E2608</t>
  </si>
  <si>
    <t>14E2601</t>
  </si>
  <si>
    <t>14E2602</t>
  </si>
  <si>
    <t>14E2603</t>
  </si>
  <si>
    <t>06E25R11EX06R0190</t>
  </si>
  <si>
    <t>Акт № 42 о продлении срока годности ГП адресное хранение</t>
  </si>
  <si>
    <t>27DP2601</t>
  </si>
  <si>
    <t>Акт № 38 о продлении срока годности ГП 27.04.26</t>
  </si>
  <si>
    <t>27DP2601.</t>
  </si>
  <si>
    <t>28I2215EX35R0190</t>
  </si>
  <si>
    <t>Акт №25 от 20.02.26 продление ГП адресного хранения</t>
  </si>
  <si>
    <t>30H2416EX13R0190</t>
  </si>
  <si>
    <t>25F2501EX03R0190</t>
  </si>
  <si>
    <t>Акт № 40 о продлении срока годности ГП 30.04.26</t>
  </si>
  <si>
    <t>15E2501EX03R0190</t>
  </si>
  <si>
    <t>14E2604</t>
  </si>
  <si>
    <t>14E2605</t>
  </si>
  <si>
    <t>14E2606</t>
  </si>
  <si>
    <t>14E2607</t>
  </si>
  <si>
    <t>14E2608</t>
  </si>
  <si>
    <t>14E2609</t>
  </si>
  <si>
    <t>14E2610</t>
  </si>
  <si>
    <t>15E2601</t>
  </si>
  <si>
    <t>15E2611</t>
  </si>
  <si>
    <t>15E2612</t>
  </si>
  <si>
    <t>15E2602</t>
  </si>
  <si>
    <t>15E2603</t>
  </si>
  <si>
    <t>15E2604</t>
  </si>
  <si>
    <t>15E2613</t>
  </si>
  <si>
    <t>15E2614</t>
  </si>
  <si>
    <t>15E2605</t>
  </si>
  <si>
    <t>15E2606</t>
  </si>
  <si>
    <t>15E2607</t>
  </si>
  <si>
    <t>15E2608</t>
  </si>
  <si>
    <t>15E2609</t>
  </si>
  <si>
    <t>15E2610</t>
  </si>
  <si>
    <t>16E2601</t>
  </si>
  <si>
    <t>16E2602</t>
  </si>
  <si>
    <t>16E2603</t>
  </si>
  <si>
    <t>16E2604</t>
  </si>
  <si>
    <t>16E2605</t>
  </si>
  <si>
    <t>16E2606</t>
  </si>
  <si>
    <t>16E2607</t>
  </si>
  <si>
    <t>16E2608</t>
  </si>
  <si>
    <t>16E2609</t>
  </si>
  <si>
    <t>16E2610</t>
  </si>
  <si>
    <t>16E2611</t>
  </si>
  <si>
    <t>16E2612</t>
  </si>
  <si>
    <t>16E2613</t>
  </si>
  <si>
    <t>17E2601</t>
  </si>
  <si>
    <t>17E2602</t>
  </si>
  <si>
    <t>17E2603</t>
  </si>
  <si>
    <t>17E2604</t>
  </si>
  <si>
    <t>17E2605</t>
  </si>
  <si>
    <t>17E2606</t>
  </si>
  <si>
    <t>17E2607</t>
  </si>
  <si>
    <t>17E2608</t>
  </si>
  <si>
    <t>17E2611</t>
  </si>
  <si>
    <t>Фасовка 521А 440кг (15E2608, 15E2607)</t>
  </si>
  <si>
    <t>17E2612</t>
  </si>
  <si>
    <t>Фасовка 525C 6.0 200 (22C2612)</t>
  </si>
  <si>
    <t>19E2601</t>
  </si>
  <si>
    <t>19E2602</t>
  </si>
  <si>
    <t>19E2603</t>
  </si>
  <si>
    <t>19E2604</t>
  </si>
  <si>
    <t>19E2605</t>
  </si>
  <si>
    <t>19E2606</t>
  </si>
  <si>
    <t>20E2601</t>
  </si>
  <si>
    <t>20E2602</t>
  </si>
  <si>
    <t>20E2603</t>
  </si>
  <si>
    <t>20E2604</t>
  </si>
  <si>
    <t>20E2605</t>
  </si>
  <si>
    <t>20E2606</t>
  </si>
  <si>
    <t>21E2601</t>
  </si>
  <si>
    <t>21E2602</t>
  </si>
  <si>
    <t>21E2603</t>
  </si>
  <si>
    <t>21E2604</t>
  </si>
  <si>
    <t>21E26R11</t>
  </si>
  <si>
    <t>21E26R21</t>
  </si>
  <si>
    <t>21E2605</t>
  </si>
  <si>
    <t>21E2606</t>
  </si>
  <si>
    <t>21E2607</t>
  </si>
  <si>
    <t>21E2608</t>
  </si>
  <si>
    <t>22E2601</t>
  </si>
  <si>
    <t>22E2602</t>
  </si>
  <si>
    <t>22E2603</t>
  </si>
  <si>
    <t>22E2604</t>
  </si>
  <si>
    <t>22E2611</t>
  </si>
  <si>
    <t>22E26R21</t>
  </si>
  <si>
    <t>22E2615</t>
  </si>
  <si>
    <t>Фасовка 521С 10.0 - 19C2609</t>
  </si>
  <si>
    <t>22E2612</t>
  </si>
  <si>
    <t>23E2601</t>
  </si>
  <si>
    <t>23E2602</t>
  </si>
  <si>
    <t>23E2603</t>
  </si>
  <si>
    <t>23E2604</t>
  </si>
  <si>
    <t>23E2605</t>
  </si>
  <si>
    <t>23E2606</t>
  </si>
  <si>
    <t>23E2607</t>
  </si>
  <si>
    <t>23E2608</t>
  </si>
  <si>
    <t>24E2601</t>
  </si>
  <si>
    <t>24E2602</t>
  </si>
  <si>
    <t>24E2603</t>
  </si>
  <si>
    <t>24E2604</t>
  </si>
  <si>
    <t>24E2605</t>
  </si>
  <si>
    <t>24E2606</t>
  </si>
  <si>
    <t>24E2607</t>
  </si>
  <si>
    <t>24E2608</t>
  </si>
  <si>
    <t>25E2611</t>
  </si>
  <si>
    <t>745/41A (фасовка в ведра 1800кг) 01E26R11</t>
  </si>
  <si>
    <t>25E2612</t>
  </si>
  <si>
    <t>745/40A (фасовка в ведра) 23D26R21, 01E26R11, 02E26R11</t>
  </si>
  <si>
    <t>26E2601</t>
  </si>
  <si>
    <t>26E2602</t>
  </si>
  <si>
    <t>26E2603</t>
  </si>
  <si>
    <t>26E2604</t>
  </si>
  <si>
    <t>26E2611</t>
  </si>
  <si>
    <t>26E2612</t>
  </si>
  <si>
    <t>26E2605</t>
  </si>
  <si>
    <t>26E2606</t>
  </si>
  <si>
    <t>26E2607</t>
  </si>
  <si>
    <t>26E2608</t>
  </si>
  <si>
    <t>27E2601</t>
  </si>
  <si>
    <t>27E2602</t>
  </si>
  <si>
    <t>27E2603</t>
  </si>
  <si>
    <t>27E2604</t>
  </si>
  <si>
    <t>27E2611</t>
  </si>
  <si>
    <t>Фасовка 521А 440кг (01E2609,14E2605 )</t>
  </si>
  <si>
    <t>27E2605</t>
  </si>
  <si>
    <t>27E2606</t>
  </si>
  <si>
    <t>27E2607</t>
  </si>
  <si>
    <t>27E2608</t>
  </si>
  <si>
    <t>27E2612</t>
  </si>
  <si>
    <t>Фасовка 525C 6.0 200 (22C2614)</t>
  </si>
  <si>
    <t>27E2613</t>
  </si>
  <si>
    <t>Клей Starkbond 525A  ведро 20 кг</t>
  </si>
  <si>
    <t>Фасовка 525А 200 (26B26R11)</t>
  </si>
  <si>
    <t>28E2601</t>
  </si>
  <si>
    <t>28E2602</t>
  </si>
  <si>
    <t>28E2603</t>
  </si>
  <si>
    <t>28E2604</t>
  </si>
  <si>
    <t>28E2605</t>
  </si>
  <si>
    <t>28E2606</t>
  </si>
  <si>
    <t>28E2607</t>
  </si>
  <si>
    <t>28E2608</t>
  </si>
  <si>
    <t>29E2601</t>
  </si>
  <si>
    <t>29E2602</t>
  </si>
  <si>
    <t>29E2603</t>
  </si>
  <si>
    <t>29E2604</t>
  </si>
  <si>
    <t>29E2605</t>
  </si>
  <si>
    <t>29E2606</t>
  </si>
  <si>
    <t>29E2607</t>
  </si>
  <si>
    <t>29E2608</t>
  </si>
  <si>
    <t>29E2609</t>
  </si>
  <si>
    <t>29E2610</t>
  </si>
  <si>
    <t>30E2601</t>
  </si>
  <si>
    <t>30E2602</t>
  </si>
  <si>
    <t>30E2603</t>
  </si>
  <si>
    <t>30E2604</t>
  </si>
  <si>
    <t>30E2605</t>
  </si>
  <si>
    <t>30E2606</t>
  </si>
  <si>
    <t>30E2607</t>
  </si>
  <si>
    <t>30E2608</t>
  </si>
  <si>
    <t>30E2609</t>
  </si>
  <si>
    <t>30E2610</t>
  </si>
  <si>
    <t>31E2611</t>
  </si>
  <si>
    <t>31E2615</t>
  </si>
  <si>
    <t>Отвердитель Starkbond 746/3C ведро 20 кг</t>
  </si>
  <si>
    <t>31E2612</t>
  </si>
  <si>
    <t>31E2613</t>
  </si>
  <si>
    <t>31E2614</t>
  </si>
  <si>
    <t>31E2601</t>
  </si>
  <si>
    <t>31E2602</t>
  </si>
  <si>
    <t>31E2603</t>
  </si>
  <si>
    <t>31E2604</t>
  </si>
  <si>
    <t>01D2612</t>
  </si>
  <si>
    <t>01D2611</t>
  </si>
  <si>
    <t>01D2601</t>
  </si>
  <si>
    <t>01D2602</t>
  </si>
  <si>
    <t>01D2603</t>
  </si>
  <si>
    <t>01D2604</t>
  </si>
  <si>
    <t>01D2605</t>
  </si>
  <si>
    <t>09H25R11.</t>
  </si>
  <si>
    <t>Фасовка 2015- 10кг</t>
  </si>
  <si>
    <t>01D2606</t>
  </si>
  <si>
    <t>01D26R11</t>
  </si>
  <si>
    <t>01D2607</t>
  </si>
  <si>
    <t>01D2608</t>
  </si>
  <si>
    <t>01D2609</t>
  </si>
  <si>
    <t>01D2610</t>
  </si>
  <si>
    <t>02D2601</t>
  </si>
  <si>
    <t>02D2602</t>
  </si>
  <si>
    <t>02D2603</t>
  </si>
  <si>
    <t>02D2604</t>
  </si>
  <si>
    <t>02D2605</t>
  </si>
  <si>
    <t>02D2606</t>
  </si>
  <si>
    <t>02D2607</t>
  </si>
  <si>
    <t>02D2608</t>
  </si>
  <si>
    <t>02D2609</t>
  </si>
  <si>
    <t>02D2610</t>
  </si>
  <si>
    <t>02D26R11</t>
  </si>
  <si>
    <t>03D2601</t>
  </si>
  <si>
    <t>03D2602</t>
  </si>
  <si>
    <t>03D2603</t>
  </si>
  <si>
    <t>03D2604</t>
  </si>
  <si>
    <t>03D2605</t>
  </si>
  <si>
    <t>03D2606</t>
  </si>
  <si>
    <t>03D2607</t>
  </si>
  <si>
    <t>03D2608</t>
  </si>
  <si>
    <t>03D2609</t>
  </si>
  <si>
    <t>03D26R11</t>
  </si>
  <si>
    <t>03D2610</t>
  </si>
  <si>
    <t>04D26R11</t>
  </si>
  <si>
    <t>04D26R21</t>
  </si>
  <si>
    <t>04D2601</t>
  </si>
  <si>
    <t>04D2602</t>
  </si>
  <si>
    <t>04D2603</t>
  </si>
  <si>
    <t>04D2604</t>
  </si>
  <si>
    <t>04D2605</t>
  </si>
  <si>
    <t>04D2606</t>
  </si>
  <si>
    <t>04D2607</t>
  </si>
  <si>
    <t>05D26R11</t>
  </si>
  <si>
    <t>05D2601</t>
  </si>
  <si>
    <t>05D2602</t>
  </si>
  <si>
    <t>05D2603</t>
  </si>
  <si>
    <t>05D2604</t>
  </si>
  <si>
    <t>05D2605</t>
  </si>
  <si>
    <t>05D2606</t>
  </si>
  <si>
    <t>05D2607</t>
  </si>
  <si>
    <t>05D2608</t>
  </si>
  <si>
    <t>05D2609</t>
  </si>
  <si>
    <t>26C2619.</t>
  </si>
  <si>
    <t>Фасовка 521А 220кг 26C2619</t>
  </si>
  <si>
    <t>06D26R11</t>
  </si>
  <si>
    <t>06D2601</t>
  </si>
  <si>
    <t>06D2602</t>
  </si>
  <si>
    <t>521A (1100) из Мутного МИПС</t>
  </si>
  <si>
    <t>07D2601</t>
  </si>
  <si>
    <t>07D2602</t>
  </si>
  <si>
    <t>07D2603</t>
  </si>
  <si>
    <t>07D2604</t>
  </si>
  <si>
    <t>07D2605</t>
  </si>
  <si>
    <t>07D2606</t>
  </si>
  <si>
    <t>07D2607</t>
  </si>
  <si>
    <t>07D2608</t>
  </si>
  <si>
    <t>07D2609</t>
  </si>
  <si>
    <t>07D26R11</t>
  </si>
  <si>
    <t>07D2610</t>
  </si>
  <si>
    <t>08D26R11</t>
  </si>
  <si>
    <t>08D26R21</t>
  </si>
  <si>
    <t>09D26R11</t>
  </si>
  <si>
    <t>09D26R21</t>
  </si>
  <si>
    <t>09D2601</t>
  </si>
  <si>
    <t>10D2601</t>
  </si>
  <si>
    <t>10D2602</t>
  </si>
  <si>
    <t>10D2603</t>
  </si>
  <si>
    <t>10D2604</t>
  </si>
  <si>
    <t>10D2605</t>
  </si>
  <si>
    <t>10D26R11</t>
  </si>
  <si>
    <t>10D2606</t>
  </si>
  <si>
    <t>10D2607</t>
  </si>
  <si>
    <t>10D2608</t>
  </si>
  <si>
    <t>10D2609</t>
  </si>
  <si>
    <t>10D2610</t>
  </si>
  <si>
    <t>11D26R11</t>
  </si>
  <si>
    <t>11D2601</t>
  </si>
  <si>
    <t>11D2602</t>
  </si>
  <si>
    <t>11D2603</t>
  </si>
  <si>
    <t>11D2604</t>
  </si>
  <si>
    <t>11D2605</t>
  </si>
  <si>
    <t>11D2606</t>
  </si>
  <si>
    <t>11D2607</t>
  </si>
  <si>
    <t>11D2608</t>
  </si>
  <si>
    <t>11D2609</t>
  </si>
  <si>
    <t>11D2610</t>
  </si>
  <si>
    <t>12D26R11</t>
  </si>
  <si>
    <t>12D26R21</t>
  </si>
  <si>
    <t>12D2601</t>
  </si>
  <si>
    <t>12D2602</t>
  </si>
  <si>
    <t>12D2603</t>
  </si>
  <si>
    <t>12D2604</t>
  </si>
  <si>
    <t>12D2605</t>
  </si>
  <si>
    <t>12D2606</t>
  </si>
  <si>
    <t>12D2607</t>
  </si>
  <si>
    <t>12D2608</t>
  </si>
  <si>
    <t>12D2609</t>
  </si>
  <si>
    <t>12D2610</t>
  </si>
  <si>
    <t>13D2601</t>
  </si>
  <si>
    <t>13D2602</t>
  </si>
  <si>
    <t>13D2603</t>
  </si>
  <si>
    <t>13D2604</t>
  </si>
  <si>
    <t>13D2605</t>
  </si>
  <si>
    <t>13D26R21</t>
  </si>
  <si>
    <t>13D26R11</t>
  </si>
  <si>
    <t>13D2606</t>
  </si>
  <si>
    <t>14D2601</t>
  </si>
  <si>
    <t>14D2602</t>
  </si>
  <si>
    <t>14D2603</t>
  </si>
  <si>
    <t>14D2604</t>
  </si>
  <si>
    <t>14D2605</t>
  </si>
  <si>
    <t>14D2606</t>
  </si>
  <si>
    <t>14D2607</t>
  </si>
  <si>
    <t>14D2608</t>
  </si>
  <si>
    <t>14D26R21</t>
  </si>
  <si>
    <t>14D2609</t>
  </si>
  <si>
    <t>14D2610</t>
  </si>
  <si>
    <t>15D2601</t>
  </si>
  <si>
    <t>15D2602</t>
  </si>
  <si>
    <t>15D2603</t>
  </si>
  <si>
    <t>15D2604</t>
  </si>
  <si>
    <t>15D2605</t>
  </si>
  <si>
    <t>15D2606</t>
  </si>
  <si>
    <t>15D2607</t>
  </si>
  <si>
    <t>15D2608</t>
  </si>
  <si>
    <t>15D2609</t>
  </si>
  <si>
    <t>15D2610</t>
  </si>
  <si>
    <t>15D26R21</t>
  </si>
  <si>
    <t>16D2606.</t>
  </si>
  <si>
    <t>16D2607</t>
  </si>
  <si>
    <t>16D2608</t>
  </si>
  <si>
    <t>16D2609</t>
  </si>
  <si>
    <t>16D2610</t>
  </si>
  <si>
    <t>16D26R21</t>
  </si>
  <si>
    <t>16D2601</t>
  </si>
  <si>
    <t>16D2602</t>
  </si>
  <si>
    <t>16D2603</t>
  </si>
  <si>
    <t>16D2604</t>
  </si>
  <si>
    <t>16D2605</t>
  </si>
  <si>
    <t>17D2601</t>
  </si>
  <si>
    <t>17D2602</t>
  </si>
  <si>
    <t>17D2603</t>
  </si>
  <si>
    <t>17D2604</t>
  </si>
  <si>
    <t>17D2605</t>
  </si>
  <si>
    <t>17D2606</t>
  </si>
  <si>
    <t>17D2607</t>
  </si>
  <si>
    <t>17D2608</t>
  </si>
  <si>
    <t>17D26R21</t>
  </si>
  <si>
    <t>17D26R11</t>
  </si>
  <si>
    <t>17D2609</t>
  </si>
  <si>
    <t>17D2610</t>
  </si>
  <si>
    <t>17D2611</t>
  </si>
  <si>
    <t>18D26R11</t>
  </si>
  <si>
    <t>18D2601</t>
  </si>
  <si>
    <t>18D2602</t>
  </si>
  <si>
    <t>18D2603</t>
  </si>
  <si>
    <t>18D2604</t>
  </si>
  <si>
    <t>18D2605</t>
  </si>
  <si>
    <t>18D2606</t>
  </si>
  <si>
    <t>18D2607</t>
  </si>
  <si>
    <t>18D2608</t>
  </si>
  <si>
    <t>18D2609</t>
  </si>
  <si>
    <t>18D2610</t>
  </si>
  <si>
    <t>19D26R11</t>
  </si>
  <si>
    <t>19D2601</t>
  </si>
  <si>
    <t>19D2602</t>
  </si>
  <si>
    <t>20D26R11</t>
  </si>
  <si>
    <t>20D26R21</t>
  </si>
  <si>
    <t>21D2611</t>
  </si>
  <si>
    <t>21D2612</t>
  </si>
  <si>
    <t>21D26R11</t>
  </si>
  <si>
    <t>31C2609.</t>
  </si>
  <si>
    <t>Фасовка 521А 220кг  31C2609</t>
  </si>
  <si>
    <t>20C2604.</t>
  </si>
  <si>
    <t>Фасовка 521С 10.0 20C2604</t>
  </si>
  <si>
    <t>21D26R21</t>
  </si>
  <si>
    <t>22D2601</t>
  </si>
  <si>
    <t>22D2602</t>
  </si>
  <si>
    <t>22D2603</t>
  </si>
  <si>
    <t>22D2604</t>
  </si>
  <si>
    <t>22D2605</t>
  </si>
  <si>
    <t>22D2606</t>
  </si>
  <si>
    <t>22D2607</t>
  </si>
  <si>
    <t>22D2608</t>
  </si>
  <si>
    <t>22D26R11.</t>
  </si>
  <si>
    <t>23D2601</t>
  </si>
  <si>
    <t>23D2602</t>
  </si>
  <si>
    <t>23D2603</t>
  </si>
  <si>
    <t>23D2604</t>
  </si>
  <si>
    <t>23D2605</t>
  </si>
  <si>
    <t>23D2606</t>
  </si>
  <si>
    <t>23D2607</t>
  </si>
  <si>
    <t>23D2608</t>
  </si>
  <si>
    <t>23D2609</t>
  </si>
  <si>
    <t>23D2610</t>
  </si>
  <si>
    <t>23D2611</t>
  </si>
  <si>
    <t>23D2612</t>
  </si>
  <si>
    <t>23D26R11</t>
  </si>
  <si>
    <t>23D26R21</t>
  </si>
  <si>
    <t>24D26R11</t>
  </si>
  <si>
    <t>24D26R21</t>
  </si>
  <si>
    <t>24D2601</t>
  </si>
  <si>
    <t>24D26R22</t>
  </si>
  <si>
    <t>24D2602</t>
  </si>
  <si>
    <t>24D2603</t>
  </si>
  <si>
    <t>Sancos PROPOL 101A  бочка 90 кг</t>
  </si>
  <si>
    <t>29C2606.</t>
  </si>
  <si>
    <t>Фасовка 521А 220кг  29C2606</t>
  </si>
  <si>
    <t>25D2601</t>
  </si>
  <si>
    <t>745/40A (фасовка в ведра) 06B26R21, 07B26R21</t>
  </si>
  <si>
    <t>25D26R21</t>
  </si>
  <si>
    <t>25D26R11</t>
  </si>
  <si>
    <t>25D26R12</t>
  </si>
  <si>
    <t>25D2602</t>
  </si>
  <si>
    <t>745/40A (фасовка в ведра) 31C26R11</t>
  </si>
  <si>
    <t>26D26R21</t>
  </si>
  <si>
    <t>26D26R11</t>
  </si>
  <si>
    <t>26D2601</t>
  </si>
  <si>
    <t>26D2602</t>
  </si>
  <si>
    <t>26D2603</t>
  </si>
  <si>
    <t>26D2604</t>
  </si>
  <si>
    <t>26D2605</t>
  </si>
  <si>
    <t>26D2606</t>
  </si>
  <si>
    <t>26D2607</t>
  </si>
  <si>
    <t>26D2608</t>
  </si>
  <si>
    <t>26D2609</t>
  </si>
  <si>
    <t>26D2610</t>
  </si>
  <si>
    <t>27D2601</t>
  </si>
  <si>
    <t>27D2602</t>
  </si>
  <si>
    <t>27D2603</t>
  </si>
  <si>
    <t>27D2604</t>
  </si>
  <si>
    <t>27D2605</t>
  </si>
  <si>
    <t>27D2606</t>
  </si>
  <si>
    <t>27D2607</t>
  </si>
  <si>
    <t>27D2608</t>
  </si>
  <si>
    <t>27D2609</t>
  </si>
  <si>
    <t>27D2610</t>
  </si>
  <si>
    <t>27D2611</t>
  </si>
  <si>
    <t>28D2601</t>
  </si>
  <si>
    <t>28D2602</t>
  </si>
  <si>
    <t>28D2603</t>
  </si>
  <si>
    <t>28D2604</t>
  </si>
  <si>
    <t>28D2605</t>
  </si>
  <si>
    <t>28D2611</t>
  </si>
  <si>
    <t>07C2601.</t>
  </si>
  <si>
    <t>Фасовка 525C 6.0 - 07C2601</t>
  </si>
  <si>
    <t>29D26R11</t>
  </si>
  <si>
    <t>Клей Starkbond 746A  ведро 20 кг</t>
  </si>
  <si>
    <t>29D2601</t>
  </si>
  <si>
    <t>29D2602</t>
  </si>
  <si>
    <t>29D2603</t>
  </si>
  <si>
    <t>29D2604</t>
  </si>
  <si>
    <t>29D2605</t>
  </si>
  <si>
    <t>29D2606</t>
  </si>
  <si>
    <t>29D2607</t>
  </si>
  <si>
    <t>29D2608</t>
  </si>
  <si>
    <t>29D2609</t>
  </si>
  <si>
    <t>29D2610</t>
  </si>
  <si>
    <t>30D2601</t>
  </si>
  <si>
    <t>30D2602</t>
  </si>
  <si>
    <t>30D2603</t>
  </si>
  <si>
    <t>30D2604</t>
  </si>
  <si>
    <t>30D2605</t>
  </si>
  <si>
    <t>30D2606</t>
  </si>
  <si>
    <t>30D2607</t>
  </si>
  <si>
    <t>30D2608</t>
  </si>
  <si>
    <t>30D2609</t>
  </si>
  <si>
    <t>30D2610</t>
  </si>
  <si>
    <t>30D2611</t>
  </si>
  <si>
    <t>20C2606.</t>
  </si>
  <si>
    <t>Фасовка 521С 10.0 20C2606</t>
  </si>
  <si>
    <t>17D2606.</t>
  </si>
  <si>
    <t>Фасовка 521А 220кг 17D2606</t>
  </si>
  <si>
    <t>30D2615</t>
  </si>
  <si>
    <t>отвердитель Starkbond 746 С  ведро 20кг</t>
  </si>
  <si>
    <t>Фасовка 746/1С  в 746С (400) 06C2612</t>
  </si>
  <si>
    <t>01C26R21</t>
  </si>
  <si>
    <t>01C2611</t>
  </si>
  <si>
    <t>01C2601</t>
  </si>
  <si>
    <t>01C2602</t>
  </si>
  <si>
    <t>01C2603</t>
  </si>
  <si>
    <t>01C2604</t>
  </si>
  <si>
    <t>01C2605</t>
  </si>
  <si>
    <t>01C2606</t>
  </si>
  <si>
    <t>01C2607</t>
  </si>
  <si>
    <t>01C2608</t>
  </si>
  <si>
    <t>02C2601</t>
  </si>
  <si>
    <t>02C2602</t>
  </si>
  <si>
    <t>02C2603</t>
  </si>
  <si>
    <t>02C2604</t>
  </si>
  <si>
    <t>02C2605</t>
  </si>
  <si>
    <t>02C2606</t>
  </si>
  <si>
    <t>02C2607</t>
  </si>
  <si>
    <t>02C2608</t>
  </si>
  <si>
    <t>02C2609</t>
  </si>
  <si>
    <t>02C26R11</t>
  </si>
  <si>
    <t>03C2601</t>
  </si>
  <si>
    <t>03C2602</t>
  </si>
  <si>
    <t>03C2603</t>
  </si>
  <si>
    <t>03C2604</t>
  </si>
  <si>
    <t>03C2605</t>
  </si>
  <si>
    <t>03C2606</t>
  </si>
  <si>
    <t>03C2607</t>
  </si>
  <si>
    <t>03C2608</t>
  </si>
  <si>
    <t>03C2609</t>
  </si>
  <si>
    <t>03C2610</t>
  </si>
  <si>
    <t>04C2601</t>
  </si>
  <si>
    <t>04C2602</t>
  </si>
  <si>
    <t>04C2603</t>
  </si>
  <si>
    <t>04C2604</t>
  </si>
  <si>
    <t>04C2605</t>
  </si>
  <si>
    <t>04C2606</t>
  </si>
  <si>
    <t>04C2607</t>
  </si>
  <si>
    <t>04C2608</t>
  </si>
  <si>
    <t>04C2609</t>
  </si>
  <si>
    <t>04C2610</t>
  </si>
  <si>
    <t>05C2601</t>
  </si>
  <si>
    <t>05C2602</t>
  </si>
  <si>
    <t>05C2603</t>
  </si>
  <si>
    <t>05C2604</t>
  </si>
  <si>
    <t>05C2605</t>
  </si>
  <si>
    <t>05C2606</t>
  </si>
  <si>
    <t>05C2611</t>
  </si>
  <si>
    <t>Фасовка 521А 04C2609; 04C2610</t>
  </si>
  <si>
    <t>05C2607</t>
  </si>
  <si>
    <t>05C2608</t>
  </si>
  <si>
    <t>05C2612</t>
  </si>
  <si>
    <t>Фасовка 521С 10.0 18L2509</t>
  </si>
  <si>
    <t>05C2609</t>
  </si>
  <si>
    <t>05C2610</t>
  </si>
  <si>
    <t>06С2605</t>
  </si>
  <si>
    <t>Фасовка 521С 10.0 18L2506</t>
  </si>
  <si>
    <t>06C2611</t>
  </si>
  <si>
    <t>06C2612</t>
  </si>
  <si>
    <t>06C2601</t>
  </si>
  <si>
    <t>06C2602</t>
  </si>
  <si>
    <t>06C2603</t>
  </si>
  <si>
    <t>06C2604</t>
  </si>
  <si>
    <t>07C2601</t>
  </si>
  <si>
    <t>07C2602</t>
  </si>
  <si>
    <t>10C2601</t>
  </si>
  <si>
    <t>10C2602</t>
  </si>
  <si>
    <t>10C2603</t>
  </si>
  <si>
    <t>10C2604</t>
  </si>
  <si>
    <t>10C2605</t>
  </si>
  <si>
    <t>10C2611</t>
  </si>
  <si>
    <t>10C2612</t>
  </si>
  <si>
    <t>10C2606</t>
  </si>
  <si>
    <t>10C2607</t>
  </si>
  <si>
    <t>10C2613</t>
  </si>
  <si>
    <t>10C2608</t>
  </si>
  <si>
    <t>10C2609</t>
  </si>
  <si>
    <t>10C2614</t>
  </si>
  <si>
    <t>10C2610</t>
  </si>
  <si>
    <t>10C2615</t>
  </si>
  <si>
    <t>10C2616</t>
  </si>
  <si>
    <t>11C2601.</t>
  </si>
  <si>
    <t>11C2602</t>
  </si>
  <si>
    <t>11C2603</t>
  </si>
  <si>
    <t>11C2604</t>
  </si>
  <si>
    <t>11C2605</t>
  </si>
  <si>
    <t>11C2606</t>
  </si>
  <si>
    <t>11C2607</t>
  </si>
  <si>
    <t>11C2608</t>
  </si>
  <si>
    <t>11C2609</t>
  </si>
  <si>
    <t>11C2610</t>
  </si>
  <si>
    <t>12C2601</t>
  </si>
  <si>
    <t>Фасовка 521А 440кг 05C2602</t>
  </si>
  <si>
    <t>12C2602</t>
  </si>
  <si>
    <t>Фасовка 521С 10.0  200кг 27A2602</t>
  </si>
  <si>
    <t>12C2603</t>
  </si>
  <si>
    <t>12C26R21</t>
  </si>
  <si>
    <t>13C26R21</t>
  </si>
  <si>
    <t>13C2601</t>
  </si>
  <si>
    <t>13C2602</t>
  </si>
  <si>
    <t>13C2603</t>
  </si>
  <si>
    <t>13C2604</t>
  </si>
  <si>
    <t>13C2605</t>
  </si>
  <si>
    <t>13C2606</t>
  </si>
  <si>
    <t>13C2607</t>
  </si>
  <si>
    <t>13C2608</t>
  </si>
  <si>
    <t>13C2609</t>
  </si>
  <si>
    <t>13C2610</t>
  </si>
  <si>
    <t>14C26R21</t>
  </si>
  <si>
    <t>14C2601</t>
  </si>
  <si>
    <t>14C2602</t>
  </si>
  <si>
    <t>14C2603</t>
  </si>
  <si>
    <t>14C2604</t>
  </si>
  <si>
    <t>14C2605</t>
  </si>
  <si>
    <t>14C2606</t>
  </si>
  <si>
    <t>14C2607</t>
  </si>
  <si>
    <t>14C2608</t>
  </si>
  <si>
    <t>14C2609</t>
  </si>
  <si>
    <t>14C2610</t>
  </si>
  <si>
    <t>15С2601</t>
  </si>
  <si>
    <t>15C26R21</t>
  </si>
  <si>
    <t>17C2601</t>
  </si>
  <si>
    <t>17C2602</t>
  </si>
  <si>
    <t>17C2603</t>
  </si>
  <si>
    <t>17C2604</t>
  </si>
  <si>
    <t>17C2605</t>
  </si>
  <si>
    <t>17C2606</t>
  </si>
  <si>
    <t>17C2607</t>
  </si>
  <si>
    <t>17C2608</t>
  </si>
  <si>
    <t>17C2609</t>
  </si>
  <si>
    <t>17C2610</t>
  </si>
  <si>
    <t>17C2611</t>
  </si>
  <si>
    <t>17C2612</t>
  </si>
  <si>
    <t>17C2613</t>
  </si>
  <si>
    <t>17C2614</t>
  </si>
  <si>
    <t>17C2615</t>
  </si>
  <si>
    <t>17C2616</t>
  </si>
  <si>
    <t>17C2617</t>
  </si>
  <si>
    <t>17C2618</t>
  </si>
  <si>
    <t>18C2601</t>
  </si>
  <si>
    <t>18C2602</t>
  </si>
  <si>
    <t>18C2603</t>
  </si>
  <si>
    <t>18C2604</t>
  </si>
  <si>
    <t>18C2605</t>
  </si>
  <si>
    <t>18C2606</t>
  </si>
  <si>
    <t>18C2611</t>
  </si>
  <si>
    <t>18C2612</t>
  </si>
  <si>
    <t>18C2613</t>
  </si>
  <si>
    <t>18C2614</t>
  </si>
  <si>
    <t>18С2615</t>
  </si>
  <si>
    <t>18С2616</t>
  </si>
  <si>
    <t>18C2607</t>
  </si>
  <si>
    <t>18C2608</t>
  </si>
  <si>
    <t>18C2609</t>
  </si>
  <si>
    <t>18C2610</t>
  </si>
  <si>
    <t>18С2617</t>
  </si>
  <si>
    <t>18С2618</t>
  </si>
  <si>
    <t>18C2619</t>
  </si>
  <si>
    <t>ведро 4 кг + 1 кг образец ОКК</t>
  </si>
  <si>
    <t>19C2601</t>
  </si>
  <si>
    <t>19C2602</t>
  </si>
  <si>
    <t>19C2603</t>
  </si>
  <si>
    <t>19C2604</t>
  </si>
  <si>
    <t>19C2605</t>
  </si>
  <si>
    <t>19C2611</t>
  </si>
  <si>
    <t>19C2612</t>
  </si>
  <si>
    <t>19C2606</t>
  </si>
  <si>
    <t>19C2607</t>
  </si>
  <si>
    <t>19C2608</t>
  </si>
  <si>
    <t>19C2609</t>
  </si>
  <si>
    <t>19C2610</t>
  </si>
  <si>
    <t>19C2613</t>
  </si>
  <si>
    <t>19C2614</t>
  </si>
  <si>
    <t>19B2615</t>
  </si>
  <si>
    <t>перелив</t>
  </si>
  <si>
    <t>20C2601</t>
  </si>
  <si>
    <t>20C2602</t>
  </si>
  <si>
    <t>20C2603</t>
  </si>
  <si>
    <t>20C2604</t>
  </si>
  <si>
    <t>20C2605</t>
  </si>
  <si>
    <t>20C2606</t>
  </si>
  <si>
    <t>20C2607</t>
  </si>
  <si>
    <t>20C2611</t>
  </si>
  <si>
    <t>20C2612</t>
  </si>
  <si>
    <t>20C2613</t>
  </si>
  <si>
    <t>20C2614</t>
  </si>
  <si>
    <t>20C2615</t>
  </si>
  <si>
    <t>20C2616</t>
  </si>
  <si>
    <t>20C2617</t>
  </si>
  <si>
    <t>20C2608</t>
  </si>
  <si>
    <t>20C2609</t>
  </si>
  <si>
    <t>20C2610</t>
  </si>
  <si>
    <t>20C2618</t>
  </si>
  <si>
    <t>20C2619</t>
  </si>
  <si>
    <t>20C2620</t>
  </si>
  <si>
    <t>21C2601</t>
  </si>
  <si>
    <t>21C2602</t>
  </si>
  <si>
    <t>21C2603</t>
  </si>
  <si>
    <t>21C2604.</t>
  </si>
  <si>
    <t>21C2605</t>
  </si>
  <si>
    <t>21C2606</t>
  </si>
  <si>
    <t>21C2607</t>
  </si>
  <si>
    <t>21C2608</t>
  </si>
  <si>
    <t>21C2609</t>
  </si>
  <si>
    <t>21C2610</t>
  </si>
  <si>
    <t>21C2611</t>
  </si>
  <si>
    <t>21C2612</t>
  </si>
  <si>
    <t>21C2613</t>
  </si>
  <si>
    <t>21C2614</t>
  </si>
  <si>
    <t>22C2601</t>
  </si>
  <si>
    <t>22C2602</t>
  </si>
  <si>
    <t>22C2603</t>
  </si>
  <si>
    <t>22C2604</t>
  </si>
  <si>
    <t>22C2605</t>
  </si>
  <si>
    <t>22C2606</t>
  </si>
  <si>
    <t>22C2607</t>
  </si>
  <si>
    <t>22C2608</t>
  </si>
  <si>
    <t>22C2609</t>
  </si>
  <si>
    <t>22C2610</t>
  </si>
  <si>
    <t>22C2611</t>
  </si>
  <si>
    <t>22C2612</t>
  </si>
  <si>
    <t>22C2613</t>
  </si>
  <si>
    <t>22C2614</t>
  </si>
  <si>
    <t>21B2614.</t>
  </si>
  <si>
    <t>фасовка Отвердитель Starkbond 525C 6.0  ведро 20кг 21B2614</t>
  </si>
  <si>
    <t>ШККА-000164</t>
  </si>
  <si>
    <t>смена номенклатуры Клей Starkbond 745/41 А (ведро 20кг) 30K24R02EX09</t>
  </si>
  <si>
    <t>ШККА-000165</t>
  </si>
  <si>
    <t>смена номенклатуры Клей Starkbond 745/40А ведро 20 кг 03K25R11</t>
  </si>
  <si>
    <t>25C2601</t>
  </si>
  <si>
    <t>25C2602</t>
  </si>
  <si>
    <t>25C2603</t>
  </si>
  <si>
    <t>25C2604</t>
  </si>
  <si>
    <t>25C2605</t>
  </si>
  <si>
    <t>25C2606</t>
  </si>
  <si>
    <t>25C2607</t>
  </si>
  <si>
    <t>25C2608</t>
  </si>
  <si>
    <t>25C2609</t>
  </si>
  <si>
    <t>25C2610</t>
  </si>
  <si>
    <t>06C2611.</t>
  </si>
  <si>
    <t>фасовка 06C2611</t>
  </si>
  <si>
    <t>25C2615</t>
  </si>
  <si>
    <t>26C2601</t>
  </si>
  <si>
    <t>26C2602</t>
  </si>
  <si>
    <t>26C2603</t>
  </si>
  <si>
    <t>26C2604</t>
  </si>
  <si>
    <t>26C2605</t>
  </si>
  <si>
    <t>26C2611</t>
  </si>
  <si>
    <t>26C2612</t>
  </si>
  <si>
    <t>26C2613</t>
  </si>
  <si>
    <t>26C2614</t>
  </si>
  <si>
    <t>26C2615</t>
  </si>
  <si>
    <t>26C2616</t>
  </si>
  <si>
    <t>26C2617</t>
  </si>
  <si>
    <t>26C2606</t>
  </si>
  <si>
    <t>26C2607</t>
  </si>
  <si>
    <t>26C2608</t>
  </si>
  <si>
    <t>26C2609</t>
  </si>
  <si>
    <t>26C2610</t>
  </si>
  <si>
    <t>26C2618</t>
  </si>
  <si>
    <t>26C2619</t>
  </si>
  <si>
    <t>26C2620</t>
  </si>
  <si>
    <t>27C2601</t>
  </si>
  <si>
    <t>27C2602</t>
  </si>
  <si>
    <t>27C2603</t>
  </si>
  <si>
    <t>27C2604</t>
  </si>
  <si>
    <t>27C2605</t>
  </si>
  <si>
    <t>27C2606</t>
  </si>
  <si>
    <t>27C2607</t>
  </si>
  <si>
    <t>27C2608</t>
  </si>
  <si>
    <t>27C2609</t>
  </si>
  <si>
    <t>27C2610</t>
  </si>
  <si>
    <t>27C2611</t>
  </si>
  <si>
    <t>27C2612</t>
  </si>
  <si>
    <t>27C2613</t>
  </si>
  <si>
    <t>27C2614</t>
  </si>
  <si>
    <t>27C2615</t>
  </si>
  <si>
    <t>27C2616</t>
  </si>
  <si>
    <t>27C2617</t>
  </si>
  <si>
    <t>27C2618</t>
  </si>
  <si>
    <t>27C2619</t>
  </si>
  <si>
    <t>27C2620</t>
  </si>
  <si>
    <t>28C2601</t>
  </si>
  <si>
    <t>28C2602</t>
  </si>
  <si>
    <t>28C2603</t>
  </si>
  <si>
    <t>28C2604</t>
  </si>
  <si>
    <t>28C2605</t>
  </si>
  <si>
    <t>28C2606</t>
  </si>
  <si>
    <t>28C2607</t>
  </si>
  <si>
    <t>28C2608</t>
  </si>
  <si>
    <t>28C2609</t>
  </si>
  <si>
    <t>28C2610</t>
  </si>
  <si>
    <t>28C26R21.</t>
  </si>
  <si>
    <t>28C2611</t>
  </si>
  <si>
    <t>29C26R11</t>
  </si>
  <si>
    <t>29C2615</t>
  </si>
  <si>
    <t>29C2601</t>
  </si>
  <si>
    <t>29C2602</t>
  </si>
  <si>
    <t>29C2603</t>
  </si>
  <si>
    <t>29C2604</t>
  </si>
  <si>
    <t>29C2605</t>
  </si>
  <si>
    <t>29C2606</t>
  </si>
  <si>
    <t>29C2607</t>
  </si>
  <si>
    <t>29C2608</t>
  </si>
  <si>
    <t>29C2609</t>
  </si>
  <si>
    <t>29C2610</t>
  </si>
  <si>
    <t>30C2601</t>
  </si>
  <si>
    <t>30C2602</t>
  </si>
  <si>
    <t>30C2603</t>
  </si>
  <si>
    <t>30C2604</t>
  </si>
  <si>
    <t>30C2605</t>
  </si>
  <si>
    <t>30C2606</t>
  </si>
  <si>
    <t>30C2607</t>
  </si>
  <si>
    <t>10B2601.</t>
  </si>
  <si>
    <t>Фасовка - Sancos Pro Safety 145 канистра 11,59 кг = 2 шт</t>
  </si>
  <si>
    <t>30C2608</t>
  </si>
  <si>
    <t>30C2609</t>
  </si>
  <si>
    <t>30C2610</t>
  </si>
  <si>
    <t>30C26R11</t>
  </si>
  <si>
    <t>31C2601</t>
  </si>
  <si>
    <t>31C2602</t>
  </si>
  <si>
    <t>31C2603</t>
  </si>
  <si>
    <t>31C2604</t>
  </si>
  <si>
    <t>31C2605</t>
  </si>
  <si>
    <t>31C2606</t>
  </si>
  <si>
    <t>31C2607</t>
  </si>
  <si>
    <t>31C2608</t>
  </si>
  <si>
    <t>31C2609</t>
  </si>
  <si>
    <t>31C2610</t>
  </si>
  <si>
    <t>31C26R11</t>
  </si>
  <si>
    <t>01B26R21</t>
  </si>
  <si>
    <t>01B2601</t>
  </si>
  <si>
    <t>01B2602</t>
  </si>
  <si>
    <t>01B2603</t>
  </si>
  <si>
    <t>01B2604</t>
  </si>
  <si>
    <t>01B2605</t>
  </si>
  <si>
    <t>01B2606</t>
  </si>
  <si>
    <t>01B2607</t>
  </si>
  <si>
    <t>01B2608</t>
  </si>
  <si>
    <t>01B2609</t>
  </si>
  <si>
    <t>01B2610</t>
  </si>
  <si>
    <t>02B26R21</t>
  </si>
  <si>
    <t>02B2601</t>
  </si>
  <si>
    <t>02B2602</t>
  </si>
  <si>
    <t>02B2603</t>
  </si>
  <si>
    <t>02B2604</t>
  </si>
  <si>
    <t>02B2605</t>
  </si>
  <si>
    <t>02B2606</t>
  </si>
  <si>
    <t>02B2607</t>
  </si>
  <si>
    <t>02B2608</t>
  </si>
  <si>
    <t>02B2609</t>
  </si>
  <si>
    <t>02B2610</t>
  </si>
  <si>
    <t>03B2615</t>
  </si>
  <si>
    <t>03B2601</t>
  </si>
  <si>
    <t>03B26R21</t>
  </si>
  <si>
    <t>04B2601</t>
  </si>
  <si>
    <t>мороженый Лупранат</t>
  </si>
  <si>
    <t>04B2602</t>
  </si>
  <si>
    <t>04B2603</t>
  </si>
  <si>
    <t>04B2604</t>
  </si>
  <si>
    <t>04B2611</t>
  </si>
  <si>
    <t>Отвердитель Starkbond 746/2C ведро 6 кг</t>
  </si>
  <si>
    <t>04B2612</t>
  </si>
  <si>
    <t xml:space="preserve">Отвердитель Starkbond 747/2C ведро 6 кг                </t>
  </si>
  <si>
    <t>04B2605</t>
  </si>
  <si>
    <t>04B2606</t>
  </si>
  <si>
    <t>04B2607</t>
  </si>
  <si>
    <t>05B2601</t>
  </si>
  <si>
    <t>05B2602</t>
  </si>
  <si>
    <t>05B2603</t>
  </si>
  <si>
    <t>05B2604</t>
  </si>
  <si>
    <t>05B26R21</t>
  </si>
  <si>
    <t>05B2605</t>
  </si>
  <si>
    <t>05B2606</t>
  </si>
  <si>
    <t>05B2607</t>
  </si>
  <si>
    <t>05B2608</t>
  </si>
  <si>
    <t>05B2615</t>
  </si>
  <si>
    <t>06B2601</t>
  </si>
  <si>
    <t>06B2602</t>
  </si>
  <si>
    <t>06B2603</t>
  </si>
  <si>
    <t>06B2604</t>
  </si>
  <si>
    <t>06B26R21</t>
  </si>
  <si>
    <t>06B2605</t>
  </si>
  <si>
    <t>06B2606</t>
  </si>
  <si>
    <t>06B2607</t>
  </si>
  <si>
    <t>06B2608</t>
  </si>
  <si>
    <t>07B2601</t>
  </si>
  <si>
    <t>07B2602</t>
  </si>
  <si>
    <t>07B2603</t>
  </si>
  <si>
    <t>07B2604</t>
  </si>
  <si>
    <t>07B2605</t>
  </si>
  <si>
    <t>07B2606</t>
  </si>
  <si>
    <t>07B2607</t>
  </si>
  <si>
    <t>07B2608</t>
  </si>
  <si>
    <t>07B26R21</t>
  </si>
  <si>
    <t>08B2601</t>
  </si>
  <si>
    <t>08B2602</t>
  </si>
  <si>
    <t>08B2603</t>
  </si>
  <si>
    <t>08B2604</t>
  </si>
  <si>
    <t>08B2605</t>
  </si>
  <si>
    <t>08B2606</t>
  </si>
  <si>
    <t>08B2607</t>
  </si>
  <si>
    <t>08B2608</t>
  </si>
  <si>
    <t>10B2601</t>
  </si>
  <si>
    <t>13B2601.</t>
  </si>
  <si>
    <t>13B2602</t>
  </si>
  <si>
    <t>13B2603</t>
  </si>
  <si>
    <t>13B2604</t>
  </si>
  <si>
    <t>13B2605</t>
  </si>
  <si>
    <t>13B2606</t>
  </si>
  <si>
    <t>15B2601</t>
  </si>
  <si>
    <t>Лупранат Мипс с осадком</t>
  </si>
  <si>
    <t>15B2602</t>
  </si>
  <si>
    <t>15B2603</t>
  </si>
  <si>
    <t>15B2604</t>
  </si>
  <si>
    <t>16B2601</t>
  </si>
  <si>
    <t>16B2602</t>
  </si>
  <si>
    <t>17B2601</t>
  </si>
  <si>
    <t>17B2602</t>
  </si>
  <si>
    <t>17B2603</t>
  </si>
  <si>
    <t>17B2604</t>
  </si>
  <si>
    <t>17B2605</t>
  </si>
  <si>
    <t>17B2606</t>
  </si>
  <si>
    <t>17B2607</t>
  </si>
  <si>
    <t>18B2601</t>
  </si>
  <si>
    <t>18B2602</t>
  </si>
  <si>
    <t>18B2603</t>
  </si>
  <si>
    <t>18B2604</t>
  </si>
  <si>
    <t>18B2605</t>
  </si>
  <si>
    <t>18B2606</t>
  </si>
  <si>
    <t>18B2607</t>
  </si>
  <si>
    <t>18B2608</t>
  </si>
  <si>
    <t>18B2609</t>
  </si>
  <si>
    <t>18B2610</t>
  </si>
  <si>
    <t>18B2611</t>
  </si>
  <si>
    <t>Клей Starkbond 2014  ведро 20кг</t>
  </si>
  <si>
    <t>Клей Starkbond 2014  ведро 10кг</t>
  </si>
  <si>
    <t>19B2601</t>
  </si>
  <si>
    <t>19B2602</t>
  </si>
  <si>
    <t>19B2603</t>
  </si>
  <si>
    <t>19B2611</t>
  </si>
  <si>
    <t>19B2604</t>
  </si>
  <si>
    <t>19B2605</t>
  </si>
  <si>
    <t>19B2606</t>
  </si>
  <si>
    <t>19B2607</t>
  </si>
  <si>
    <t>19B2608</t>
  </si>
  <si>
    <t>19B2609</t>
  </si>
  <si>
    <t>19B2610</t>
  </si>
  <si>
    <t>19B2612</t>
  </si>
  <si>
    <t>20B2601</t>
  </si>
  <si>
    <t>20B2602</t>
  </si>
  <si>
    <t>20B2603</t>
  </si>
  <si>
    <t>20B2604</t>
  </si>
  <si>
    <t>20B2605</t>
  </si>
  <si>
    <t>20B2611</t>
  </si>
  <si>
    <t>20B2612</t>
  </si>
  <si>
    <t>21B2602</t>
  </si>
  <si>
    <t>Фасовка 746/1С 14A2601</t>
  </si>
  <si>
    <t>21B2603</t>
  </si>
  <si>
    <t>Фасовка 522А 13D2412EX16</t>
  </si>
  <si>
    <t>22B2601</t>
  </si>
  <si>
    <t>Отвердитель Starkbond 525C 3.3 бочка 200 кг</t>
  </si>
  <si>
    <t>22B2602</t>
  </si>
  <si>
    <t>22B2603</t>
  </si>
  <si>
    <t>22B2604</t>
  </si>
  <si>
    <t>25B2601</t>
  </si>
  <si>
    <t>25B2602</t>
  </si>
  <si>
    <t>25B2603</t>
  </si>
  <si>
    <t>25B2604</t>
  </si>
  <si>
    <t>25B2605</t>
  </si>
  <si>
    <t>25B2606</t>
  </si>
  <si>
    <t>25B2607</t>
  </si>
  <si>
    <t>25B2608</t>
  </si>
  <si>
    <t>25B2609</t>
  </si>
  <si>
    <t>25B2610</t>
  </si>
  <si>
    <t>26B2601</t>
  </si>
  <si>
    <t>26B2602</t>
  </si>
  <si>
    <t>26B2603</t>
  </si>
  <si>
    <t>26B2604</t>
  </si>
  <si>
    <t>26B2605</t>
  </si>
  <si>
    <t>26B2606</t>
  </si>
  <si>
    <t>26B2607</t>
  </si>
  <si>
    <t>26B2608</t>
  </si>
  <si>
    <t>26B2611</t>
  </si>
  <si>
    <t>525C 6.0 (200) Фасовка 21B2612</t>
  </si>
  <si>
    <t>26B26R11</t>
  </si>
  <si>
    <t>27B2611</t>
  </si>
  <si>
    <t>Фасовка 522А 25B2609, 25B2610</t>
  </si>
  <si>
    <t>27B2612</t>
  </si>
  <si>
    <t>Отвердитель Starkbond 525C 3.3 ведро 20 кг</t>
  </si>
  <si>
    <t>Фасовка 525С 3.3 (27B2612)</t>
  </si>
  <si>
    <t>27B26R21</t>
  </si>
  <si>
    <t>27B2601</t>
  </si>
  <si>
    <t>27B2602</t>
  </si>
  <si>
    <t>27B2603</t>
  </si>
  <si>
    <t>28B26R11</t>
  </si>
  <si>
    <t>28B2611</t>
  </si>
  <si>
    <t>28B2601</t>
  </si>
  <si>
    <t>28B2602</t>
  </si>
  <si>
    <t>28B2603</t>
  </si>
  <si>
    <t>28B2604</t>
  </si>
  <si>
    <t>28B2605</t>
  </si>
  <si>
    <t>28B2606</t>
  </si>
  <si>
    <t>28B2607</t>
  </si>
  <si>
    <t>28B2608</t>
  </si>
  <si>
    <t>12A2601</t>
  </si>
  <si>
    <t>12A2602</t>
  </si>
  <si>
    <t>12A2603</t>
  </si>
  <si>
    <t>12A2604</t>
  </si>
  <si>
    <t>12A2605</t>
  </si>
  <si>
    <t>12A2606</t>
  </si>
  <si>
    <t>12A2607</t>
  </si>
  <si>
    <t>12A2608</t>
  </si>
  <si>
    <t>12A2609</t>
  </si>
  <si>
    <t>12A2610</t>
  </si>
  <si>
    <t>13A2601</t>
  </si>
  <si>
    <t>13A2602</t>
  </si>
  <si>
    <t>13A2603</t>
  </si>
  <si>
    <t>13A2604</t>
  </si>
  <si>
    <t>13A2605</t>
  </si>
  <si>
    <t>13A2606</t>
  </si>
  <si>
    <t>13A2607</t>
  </si>
  <si>
    <t>13A2608</t>
  </si>
  <si>
    <t>13A2609</t>
  </si>
  <si>
    <t>13A2610</t>
  </si>
  <si>
    <t>14A2601</t>
  </si>
  <si>
    <t>14A2602</t>
  </si>
  <si>
    <t>15A26R11</t>
  </si>
  <si>
    <t>16A26R11</t>
  </si>
  <si>
    <t>17A26R11</t>
  </si>
  <si>
    <t>18A2601</t>
  </si>
  <si>
    <t>18A2602</t>
  </si>
  <si>
    <t>18A2603</t>
  </si>
  <si>
    <t>18A2604</t>
  </si>
  <si>
    <t>18A2605</t>
  </si>
  <si>
    <t>18A2606</t>
  </si>
  <si>
    <t>19A2601</t>
  </si>
  <si>
    <t>Отвердитель Starkbond 525C 2.3 бочка 200 кг</t>
  </si>
  <si>
    <t>19A2602</t>
  </si>
  <si>
    <t>19A2615</t>
  </si>
  <si>
    <t>Отвердитель Starkbond 525C 2.0  ведро 20кг</t>
  </si>
  <si>
    <t>525С 2.0 (фасовка)</t>
  </si>
  <si>
    <t>19A2603</t>
  </si>
  <si>
    <t>19A2604</t>
  </si>
  <si>
    <t>19A2605</t>
  </si>
  <si>
    <t>19A2606</t>
  </si>
  <si>
    <t>20A2601</t>
  </si>
  <si>
    <t>20A2602.</t>
  </si>
  <si>
    <t>20A2603</t>
  </si>
  <si>
    <t>20A2604</t>
  </si>
  <si>
    <t>20A2605</t>
  </si>
  <si>
    <t>20A2606</t>
  </si>
  <si>
    <t>20A2607</t>
  </si>
  <si>
    <t>20A2608</t>
  </si>
  <si>
    <t>21A2601</t>
  </si>
  <si>
    <t>21A2602</t>
  </si>
  <si>
    <t>21A2603</t>
  </si>
  <si>
    <t>21A2604</t>
  </si>
  <si>
    <t>21A2605</t>
  </si>
  <si>
    <t>21A2606</t>
  </si>
  <si>
    <t>21A2607</t>
  </si>
  <si>
    <t>21A2608</t>
  </si>
  <si>
    <t>22A26R21</t>
  </si>
  <si>
    <t>23A26R11</t>
  </si>
  <si>
    <t>24A26R21</t>
  </si>
  <si>
    <t>25A2601</t>
  </si>
  <si>
    <t>745/40A (фасовка в ведра) 21L25R21</t>
  </si>
  <si>
    <t>26A2601</t>
  </si>
  <si>
    <t>26A2602</t>
  </si>
  <si>
    <t>26A2603</t>
  </si>
  <si>
    <t>26A2604</t>
  </si>
  <si>
    <t>26A2605</t>
  </si>
  <si>
    <t>26A2615</t>
  </si>
  <si>
    <t>746/1С  25K2511 фасовка</t>
  </si>
  <si>
    <t>26A2606</t>
  </si>
  <si>
    <t>26A2607</t>
  </si>
  <si>
    <t>26A2608</t>
  </si>
  <si>
    <t>26A2616</t>
  </si>
  <si>
    <t>746С  14K2515 фасовка</t>
  </si>
  <si>
    <t>26A2609</t>
  </si>
  <si>
    <t>26A2610</t>
  </si>
  <si>
    <t>27A2601</t>
  </si>
  <si>
    <t>27A2602</t>
  </si>
  <si>
    <t>27A2603</t>
  </si>
  <si>
    <t>27A2611</t>
  </si>
  <si>
    <t>27A2604</t>
  </si>
  <si>
    <t>27A2605</t>
  </si>
  <si>
    <t>27A2612</t>
  </si>
  <si>
    <t>27A2606</t>
  </si>
  <si>
    <t>27A2607</t>
  </si>
  <si>
    <t>27A2608</t>
  </si>
  <si>
    <t>27A2613</t>
  </si>
  <si>
    <t>27A2609</t>
  </si>
  <si>
    <t>27A2610</t>
  </si>
  <si>
    <t>28A2601</t>
  </si>
  <si>
    <t>28A2602</t>
  </si>
  <si>
    <t>28A2603</t>
  </si>
  <si>
    <t>28A2604</t>
  </si>
  <si>
    <t>28A2605</t>
  </si>
  <si>
    <t>28A2606</t>
  </si>
  <si>
    <t>28A2607</t>
  </si>
  <si>
    <t>28A2608</t>
  </si>
  <si>
    <t>28A2609</t>
  </si>
  <si>
    <t>28A2610</t>
  </si>
  <si>
    <t>29A2601</t>
  </si>
  <si>
    <t>29A2602</t>
  </si>
  <si>
    <t>29A2603</t>
  </si>
  <si>
    <t>29A2604</t>
  </si>
  <si>
    <t>29A2605</t>
  </si>
  <si>
    <t>29A2606</t>
  </si>
  <si>
    <t>29A2607</t>
  </si>
  <si>
    <t>29A2608</t>
  </si>
  <si>
    <t>29A2609</t>
  </si>
  <si>
    <t>29A2610</t>
  </si>
  <si>
    <t>29A26R21</t>
  </si>
  <si>
    <t>30A2601</t>
  </si>
  <si>
    <t>30A2602</t>
  </si>
  <si>
    <t>30A2603</t>
  </si>
  <si>
    <t>30A2604</t>
  </si>
  <si>
    <t>30A2605</t>
  </si>
  <si>
    <t>30A26R21</t>
  </si>
  <si>
    <t>31A26R21</t>
  </si>
  <si>
    <t>31A2601</t>
  </si>
  <si>
    <t>31А2602</t>
  </si>
  <si>
    <t>521 C 11.0 розлив по 11 кг</t>
  </si>
  <si>
    <t>01L2501</t>
  </si>
  <si>
    <t>SANCOS PRO SAFETY 345/3 канистра 7,73 кг</t>
  </si>
  <si>
    <t>01L2502</t>
  </si>
  <si>
    <t>02L2501</t>
  </si>
  <si>
    <t>02L2502</t>
  </si>
  <si>
    <t>02L2503</t>
  </si>
  <si>
    <t>02L2504</t>
  </si>
  <si>
    <t>03L2511</t>
  </si>
  <si>
    <t>перелив (04J25R21R0033)</t>
  </si>
  <si>
    <t>04L2511</t>
  </si>
  <si>
    <t>перелив ( 04J25R21R0033)</t>
  </si>
  <si>
    <t>05L2511</t>
  </si>
  <si>
    <t>06L2511</t>
  </si>
  <si>
    <t>09L2501</t>
  </si>
  <si>
    <t xml:space="preserve">Клей Starkbond 522A бочка 220 кг </t>
  </si>
  <si>
    <t>09L2511</t>
  </si>
  <si>
    <t>11L2501-10</t>
  </si>
  <si>
    <t>12L2501-10</t>
  </si>
  <si>
    <t>13L2501-10</t>
  </si>
  <si>
    <t>14L2501-09</t>
  </si>
  <si>
    <t>15L2501-10</t>
  </si>
  <si>
    <t>16L2501-10</t>
  </si>
  <si>
    <t>17L2501</t>
  </si>
  <si>
    <t>17L2502</t>
  </si>
  <si>
    <t>17L2503</t>
  </si>
  <si>
    <t>17L2504</t>
  </si>
  <si>
    <t>17L2505</t>
  </si>
  <si>
    <t>17L2506</t>
  </si>
  <si>
    <t>17L2507</t>
  </si>
  <si>
    <t>17L2508</t>
  </si>
  <si>
    <t>17L2509</t>
  </si>
  <si>
    <t>17L2510</t>
  </si>
  <si>
    <t>17L2511</t>
  </si>
  <si>
    <t>18L2501</t>
  </si>
  <si>
    <t>18L2502</t>
  </si>
  <si>
    <t>18L2503</t>
  </si>
  <si>
    <t>18L2504</t>
  </si>
  <si>
    <t>18L2505</t>
  </si>
  <si>
    <t>18L2507</t>
  </si>
  <si>
    <t>18L2508</t>
  </si>
  <si>
    <t>18L2509</t>
  </si>
  <si>
    <t>18L2510</t>
  </si>
  <si>
    <t>18L2511</t>
  </si>
  <si>
    <t>18L2512</t>
  </si>
  <si>
    <t>18L2515</t>
  </si>
  <si>
    <t>19L2501</t>
  </si>
  <si>
    <t>19L2502</t>
  </si>
  <si>
    <t>19L2503</t>
  </si>
  <si>
    <t>19L2504</t>
  </si>
  <si>
    <t>19L2505</t>
  </si>
  <si>
    <t>19L2506</t>
  </si>
  <si>
    <t>19L2507</t>
  </si>
  <si>
    <t>19L2508</t>
  </si>
  <si>
    <t>19L2509</t>
  </si>
  <si>
    <t>19L2510</t>
  </si>
  <si>
    <t>20L2515</t>
  </si>
  <si>
    <t>Переработка 525С 5.0 в 6.0 20L2515R0190</t>
  </si>
  <si>
    <t>20L2501</t>
  </si>
  <si>
    <t>20L2502</t>
  </si>
  <si>
    <t>20L2503</t>
  </si>
  <si>
    <t>20L2504</t>
  </si>
  <si>
    <t>20L2505</t>
  </si>
  <si>
    <t>20L2506</t>
  </si>
  <si>
    <t>20L2507</t>
  </si>
  <si>
    <t>20L2508</t>
  </si>
  <si>
    <t>20L2509</t>
  </si>
  <si>
    <t>20L2510</t>
  </si>
  <si>
    <t>21L25R21</t>
  </si>
  <si>
    <t>21L2501</t>
  </si>
  <si>
    <t>21L2502</t>
  </si>
  <si>
    <t>21L2503</t>
  </si>
  <si>
    <t>21L2504</t>
  </si>
  <si>
    <t>21L2505</t>
  </si>
  <si>
    <t>21L2506</t>
  </si>
  <si>
    <t>21L2507</t>
  </si>
  <si>
    <t>21L2508</t>
  </si>
  <si>
    <t>22L2501</t>
  </si>
  <si>
    <t>745/41A (фасовка в ведра) 04K25R11</t>
  </si>
  <si>
    <t>22L25R21</t>
  </si>
  <si>
    <t>23L25R21</t>
  </si>
  <si>
    <t>23L2501</t>
  </si>
  <si>
    <t>24L2501</t>
  </si>
  <si>
    <t>24L2502</t>
  </si>
  <si>
    <t>745/40A (фасовка в ведра) R0188</t>
  </si>
  <si>
    <t>25L2501</t>
  </si>
  <si>
    <t>521С 10.0 переработка (декатализация) 05H2504R0190</t>
  </si>
  <si>
    <t>25L2502</t>
  </si>
  <si>
    <t>521С 10.0 переработка (декатализация) 14G2501R0190</t>
  </si>
  <si>
    <t>25L2503</t>
  </si>
  <si>
    <t>521С 10.0 переработка (декатализация) 14G2502R0190</t>
  </si>
  <si>
    <t>25L25R21</t>
  </si>
  <si>
    <t>501B (1920) Китайский полиэфир</t>
  </si>
  <si>
    <t>25L2504</t>
  </si>
  <si>
    <t>Отвердитель Starkbond 521C 11.1 бочка 200кг</t>
  </si>
  <si>
    <t>521C 11.1 (200) Тест 25L2504R0190</t>
  </si>
  <si>
    <t>25L2505</t>
  </si>
  <si>
    <t>Отвердитель Starkbond 521C 10.1 бочка 200кг</t>
  </si>
  <si>
    <t>521C 10.1 (200) Тест 25L2505R0190</t>
  </si>
  <si>
    <t>26L2501</t>
  </si>
  <si>
    <t>26L2502</t>
  </si>
  <si>
    <t>26L2503</t>
  </si>
  <si>
    <t>01K2501-10</t>
  </si>
  <si>
    <t>02K25R11</t>
  </si>
  <si>
    <t>02K2501-10</t>
  </si>
  <si>
    <t>03K25R11</t>
  </si>
  <si>
    <t>03K2501-10</t>
  </si>
  <si>
    <t>04K25R11</t>
  </si>
  <si>
    <t>04K2501</t>
  </si>
  <si>
    <t>05K25R11</t>
  </si>
  <si>
    <t>05K2501-10</t>
  </si>
  <si>
    <t>06K2501</t>
  </si>
  <si>
    <t xml:space="preserve">Тест, мороженый Изоцианат Wannate MDI 50-F (235kg/drum) 0225007200 </t>
  </si>
  <si>
    <t>06K2502-09</t>
  </si>
  <si>
    <t>06K25R11</t>
  </si>
  <si>
    <t>Клей Starkbond 745/41 А (бочка 200 кг)- 3 бочки</t>
  </si>
  <si>
    <t>07K2501-05</t>
  </si>
  <si>
    <t>07K25R11</t>
  </si>
  <si>
    <t>07K2506-10</t>
  </si>
  <si>
    <t>08K2501-10</t>
  </si>
  <si>
    <t>09K2501-10</t>
  </si>
  <si>
    <t>09K2516</t>
  </si>
  <si>
    <t>10K2515</t>
  </si>
  <si>
    <t>10K2510</t>
  </si>
  <si>
    <t>10K25R11</t>
  </si>
  <si>
    <t>10K2501-04</t>
  </si>
  <si>
    <t>08K2427</t>
  </si>
  <si>
    <t>доработка</t>
  </si>
  <si>
    <t>11K2501-10</t>
  </si>
  <si>
    <t>12K2501-10</t>
  </si>
  <si>
    <t>12K25R11</t>
  </si>
  <si>
    <t>13K2501-04</t>
  </si>
  <si>
    <t>13K2510-14</t>
  </si>
  <si>
    <t>14K2501</t>
  </si>
  <si>
    <t>14K2516-19</t>
  </si>
  <si>
    <t>14K2515</t>
  </si>
  <si>
    <t>14K2502-10</t>
  </si>
  <si>
    <t>15K2501-10</t>
  </si>
  <si>
    <t>15K2511-18</t>
  </si>
  <si>
    <t>16K2511-14</t>
  </si>
  <si>
    <t>16K2501-10</t>
  </si>
  <si>
    <t>17K2501-10</t>
  </si>
  <si>
    <t>18K2501</t>
  </si>
  <si>
    <t>19K2510</t>
  </si>
  <si>
    <t>19K2501-08</t>
  </si>
  <si>
    <t>19K2511-16</t>
  </si>
  <si>
    <t>20K2501-16</t>
  </si>
  <si>
    <t>21K2501-09</t>
  </si>
  <si>
    <t>22K2501-10</t>
  </si>
  <si>
    <t>22K25R12</t>
  </si>
  <si>
    <t>23K2501</t>
  </si>
  <si>
    <t>Переработка SANCOS PRO SAFETY 165 – партия 16Н2501  от 16.08.25 – некондиция по воде</t>
  </si>
  <si>
    <t>23K25R12</t>
  </si>
  <si>
    <t>24K25R21</t>
  </si>
  <si>
    <t>Sancos PRONATE 501B бочка 80 кг - 2 бочки</t>
  </si>
  <si>
    <t>23K2501-06</t>
  </si>
  <si>
    <t>24K2510-13</t>
  </si>
  <si>
    <t>25K2501-09AF</t>
  </si>
  <si>
    <t>25K2511-13</t>
  </si>
  <si>
    <t>26K2502</t>
  </si>
  <si>
    <t>26K2501</t>
  </si>
  <si>
    <t>27K2503</t>
  </si>
  <si>
    <t>27K2502</t>
  </si>
  <si>
    <t>27K2504-08</t>
  </si>
  <si>
    <t>27K25R21</t>
  </si>
  <si>
    <t>28K25R21</t>
  </si>
  <si>
    <t>28K2501-09</t>
  </si>
  <si>
    <t>29K25R21</t>
  </si>
  <si>
    <t>29K2501-10</t>
  </si>
  <si>
    <t>30K2501</t>
  </si>
  <si>
    <t>Sancos PROPOL 101A  бочка 60 кг- 120 кг</t>
  </si>
  <si>
    <t>номер заказа</t>
  </si>
  <si>
    <t>дата ТД</t>
  </si>
  <si>
    <t>наименование</t>
  </si>
  <si>
    <t>кол-во</t>
  </si>
  <si>
    <t>Сумма евро с НДС</t>
  </si>
  <si>
    <t>Сумма руб с НДС</t>
  </si>
  <si>
    <t>Себес с НДС, евро</t>
  </si>
  <si>
    <t>ндс</t>
  </si>
  <si>
    <t>Сумма евро без НДС</t>
  </si>
  <si>
    <t>Сумма руб без ндс</t>
  </si>
  <si>
    <t>Себес без НДС, евро</t>
  </si>
  <si>
    <t>ШККА-000109</t>
  </si>
  <si>
    <t>Изоцианат лупранат MI компонент Б (бочка 225)</t>
  </si>
  <si>
    <t>Возмещаемые расходы: Сверхнормативное использование контейнера, Kumport - Новороссийск, LAMU7000547</t>
  </si>
  <si>
    <t>без ндс</t>
  </si>
  <si>
    <t>Транспортно-экспедиционное обслуживание по маршруту FCA Kumport - Новороссийск, MDTRLS2504449, LAMU7000547, Инвйос 2025/R0376 от 14.05.25</t>
  </si>
  <si>
    <t>Комплекс услуг таможенного представителя по таможенному декларированию товаров, ДТ 10317120/190525/5087193, Инвйос 2025/R0376 от 14.05.25</t>
  </si>
  <si>
    <t>Транспортно-экспедиционное обслуживание по маршруту НУТЭП - Склад, LAMU7000547, Инвйос 2025/R0376 от 14.05.25</t>
  </si>
  <si>
    <t>Возмещаемые расходы: Хранение рефрижераторного контейнера, подключенного к электропитанию, с первых суток , LAMU7000547</t>
  </si>
  <si>
    <t>Возмещаемые расходы: Фрахтовая надбавка DTHC (стивидорный сбор порта выгрузки), LAMU7000547</t>
  </si>
  <si>
    <t>Возмещаемые расходы: Агентское вознаграждение (Hamburg Sud), LAMU7000547</t>
  </si>
  <si>
    <t xml:space="preserve">дельта </t>
  </si>
  <si>
    <t>евро</t>
  </si>
  <si>
    <t>Расход на 1100</t>
  </si>
  <si>
    <t>кг</t>
  </si>
  <si>
    <t>НДС на таможне</t>
  </si>
  <si>
    <t>Ошибка в 1С</t>
  </si>
  <si>
    <t>Пошлина</t>
  </si>
  <si>
    <t xml:space="preserve">На кг </t>
  </si>
  <si>
    <t>Таможенный сбор</t>
  </si>
  <si>
    <t>итого по заказу</t>
  </si>
  <si>
    <t>бндс</t>
  </si>
  <si>
    <t xml:space="preserve">Корр по курсу </t>
  </si>
  <si>
    <t>* доп услуги пересчитаны в евро по курсу на 09.07.2025</t>
  </si>
  <si>
    <t>корр на кг</t>
  </si>
  <si>
    <t>Изоцианат Lupranate MI (бочка 225 кг)</t>
  </si>
  <si>
    <t>49 916,25</t>
  </si>
  <si>
    <t>4 646 756,50</t>
  </si>
  <si>
    <t>Транспортно-экспедиционное обслуживание по маршруту FCA Istanbul - Mersin - Новороссийск, ULDMERNVK001004, SEGU9862812 40'RF, Инвойс 2025/R0476 от 23.09.2025</t>
  </si>
  <si>
    <t>Возмещаемые расходы за ТЭУ по оформлению документов: Документационные услуги в импорте/экспорте SEGU9862812</t>
  </si>
  <si>
    <t>Комплекс услуг таможенного представителя по таможенному декларированию товаров, ДТ 10317120/101125/5178711, Инвойс 2025/R0476 от 23.09.2025</t>
  </si>
  <si>
    <t>Возмещаемые услуги за услуги платежного агента SEGU9862812</t>
  </si>
  <si>
    <t>Возмещаемые услуги за организацию хранения груженного станд 40'RF контейнера в импорте (неопасный груз) с 08.11-11.11 SEGU9862812</t>
  </si>
  <si>
    <t>Транспортно-экспедиционное обслуживание по маршруту Новороссийск (НУТЭП) - г.Москва (Склад), SEGU9862812 40'RF, Инвойс 2025/R0476 от 23.09.2025</t>
  </si>
  <si>
    <t>б/ндс</t>
  </si>
  <si>
    <t>* доп услуги пересчитаны в евро по курсу на 02.12.2025</t>
  </si>
  <si>
    <t>дата</t>
  </si>
  <si>
    <t>Изоцианат Wannate MDI 50-F (IBC)</t>
  </si>
  <si>
    <t>106 258,00</t>
  </si>
  <si>
    <t>10 338 790,88</t>
  </si>
  <si>
    <t>Совершение таможенных операций с товарами за один (первый) контейнер в ДТ 10228020/021225/5169698 конт. AVGU7003291</t>
  </si>
  <si>
    <t>Организация перевозок грузов в контейнерах AVGU7003291 AVGU7002192 по маршруту Shanghai, CN – Порт Санкт-Петербург, РФ</t>
  </si>
  <si>
    <t>1 258 203,38</t>
  </si>
  <si>
    <t>Организация перевозок грузов в контейнерах AVGU7003291 AVGU7002192 по маршруту Порт Санкт-Петербург, РФ – МО, пос. Некрасовский, ул. Ушакова, д. 27А, РФ</t>
  </si>
  <si>
    <t>Хранение: Рефрижераторный контейнер ИСО 20'/40' груженый, с 1 дня по день 5 (импорт) AVGU7003291 AVGU7002192</t>
  </si>
  <si>
    <t>Страховая премия по полису № 250070-330-007169 от 17.10.2025</t>
  </si>
  <si>
    <t>Аренда дизель-генераторной устоновки LCLU 9991684 (с 03.12.2025 по 05.12.2025, КРК № AVGU7002192)</t>
  </si>
  <si>
    <t>* доп услуги пересчитаны в евро по курсу на 11.12.2025</t>
  </si>
  <si>
    <t>юани</t>
  </si>
  <si>
    <t>896 760,00</t>
  </si>
  <si>
    <t>Заказ поставщику ШККА-000405 от 15.09.2025 0:00:00</t>
  </si>
  <si>
    <t>курс юани</t>
  </si>
  <si>
    <t>курс Е</t>
  </si>
  <si>
    <t>проверка</t>
  </si>
  <si>
    <t>Списание безналичных ДС ШККА-П002794 от 19.09.2025 17:59:46</t>
  </si>
  <si>
    <t>448 380,00</t>
  </si>
  <si>
    <t>5 230 845,92</t>
  </si>
  <si>
    <t>Списание безналичных ДС ШККА-П002934 от 01.10.2025 23:59:59</t>
  </si>
  <si>
    <t>5 107 944,96</t>
  </si>
  <si>
    <t>Приобретение товаров и услуг ШККА-000638 от 02.12.2025 23:59:59 (вх. коносамент FBLSKX50295 от 16.10.2025)</t>
  </si>
  <si>
    <t xml:space="preserve">Доля рублевых расходов </t>
  </si>
  <si>
    <t xml:space="preserve">Партия в евро </t>
  </si>
  <si>
    <t>Миракл</t>
  </si>
  <si>
    <t>Возмещаемые расходы: Хранение груженого контейнера в Rizhao, FBIU5178415</t>
  </si>
  <si>
    <t>Транспортно-экспедиционное обслуживание по маршруту ПКТ - Москва (Склад), FBIU5178415 40'RF, Инвойс №250417 от 16.07.25</t>
  </si>
  <si>
    <t>Транспортно-экспедиционное обслуживание по маршруту Rizhao - Санкт-Петербург, NNLRZH251605233, FBIU5178415 40'RF, Инвойс №250417 от 16.07.25</t>
  </si>
  <si>
    <t>Возмещаемые расходы: Перемещение контейнера для целей осмотра с использованием инспекционно-досмотрового комплекса (ИДК), FBIU5178415</t>
  </si>
  <si>
    <t>Комплекс услуг таможенного представителя по таможенному декларированию товаров, ДТ 10228020/290825/5127290, Инвойс №250417 от 16.07.25</t>
  </si>
  <si>
    <t>Транспортно-экспедиционное обслуживание по маршруту ПКТ - Москва (Склад), FBIU5182400 40'RF, Инвойс №250417 от 16.07.25</t>
  </si>
  <si>
    <t>Возмещаемые расходы: Хранение: Рефрижераторный контейнер ИСО 20'/40' груженый, с 1 дня по день 5 (импорт), FBIU5182400</t>
  </si>
  <si>
    <t>* доп услуги пересчитаны в евро по курсу на 17.10.25</t>
  </si>
  <si>
    <t>MIRACLE (SHANGHAI) NEW MATERIALS CO., LTD</t>
  </si>
  <si>
    <t>курс на 29.08</t>
  </si>
  <si>
    <t>курс евро на 29.08</t>
  </si>
  <si>
    <t>96 046,72</t>
  </si>
  <si>
    <t>##########</t>
  </si>
  <si>
    <t>Полиол Puranol Polyether polyol G303</t>
  </si>
  <si>
    <t>1 842 001,00</t>
  </si>
  <si>
    <t>Организация перевозки (фрахт) EXW Binzhou - via Qingdao - Vostochniy, DFSU1065714, к/с LED420562, т/х HUA XIN 5 178, прих. 16/08/2025</t>
  </si>
  <si>
    <t>Организация перемещения контейнера в границах Порта для целей взвешивания на Восточный (Россия) 18.08.2025 178HX COC 20'DC DFSU1065714</t>
  </si>
  <si>
    <t>Хранение на АО "ВОСТОЧНЫЙ ПОРТ" с момента окончания льготного периода,178HX, 20'DC с 25.08.2025 по 26.08.2025 DFSU1065714</t>
  </si>
  <si>
    <t>Транспортно-экспедиционные услуги при организации международной перевозки: Взвешивание контейнера согласно реестру контейнеров №ЖТ-719 от 04.09.2025 г.</t>
  </si>
  <si>
    <t>Предоставление транзитных документов в тамож.органы для закрытия доставки при оформлении груза в ЦЭД, DFSU1065714</t>
  </si>
  <si>
    <t>Организация ТЭО М.О. Старая Купавна - М.О. Дмитровский р-н, п. Некрасовский, DFSU1065714</t>
  </si>
  <si>
    <t>Организация перевозки (жд) Владивосток-Москва, DFSU1065714, прих. 10/09/2025</t>
  </si>
  <si>
    <t>Комплекс услуг таможенного представителя по таможенному декларированию товаров, ДТ 10702070/220925/5332413, Инвойс №FJ250729004 от 05.08.2025</t>
  </si>
  <si>
    <t>* доп услуги пересчитаны в евро по курсу на 01.12.2025</t>
  </si>
  <si>
    <t>170 000,00</t>
  </si>
  <si>
    <t>ШККА-000043</t>
  </si>
  <si>
    <t>Возмещаемые расходы: Хранение груженого контейнера в Турции Marport, AMCU9279394</t>
  </si>
  <si>
    <t>Транспортно-экспедиционное обслуживание по маршруту Marport - Новороссийск, ROS32659, AMCU9279394, Инвойс №2025/R0385 от 22.05.2025</t>
  </si>
  <si>
    <t>Комплекс услуг таможенного представителя по таможенному декларированию товаров, ДТ 10317120/120725/5119132, Инвойс №2025/R0385 от 22.05.2025</t>
  </si>
  <si>
    <t>Транспортно-экспедиционное обслуживание по маршруту НУТЭП - Склад, AMCU9279394, Инвойс №2025/R0385 от 22.05.2025</t>
  </si>
  <si>
    <t>Возмещаемые расходы: Хранение рефрижераторного контейнера, подключенного к электропитанию, с первых суток, AMCU9279394</t>
  </si>
  <si>
    <t>Возмещаемые расходы: Хранение груженого контейнера в Турции Marport, APRU5746107</t>
  </si>
  <si>
    <t>Транспортно-экспедиционное обслуживание по маршруту Marport - Новороссийск, ROS32467, APRU5746107, Инвойс 2025/R0384 от 22.05.2025</t>
  </si>
  <si>
    <t>Комплекс услуг таможенного представителя по таможенному декларированию товаров, ДТ 10317120/180625/5106461, Инвойс 2025/R0384 от 22.05.2025</t>
  </si>
  <si>
    <t>Транспортно-экспедиционное обслуживание по маршруту НУТЭП - Склад, APRU5746107, Инвойс 2025/R0384 от 22.05.2025</t>
  </si>
  <si>
    <t>Возмещаемые расходы: Хранение рефрижераторного контейнера, подключенного к электропитанию, с первых суток , APRU5746107</t>
  </si>
  <si>
    <t>Возмещаемые расходы: Хранение рефрижераторного контейнера, подключенного к электропитанию, с первых суток, APRU5792632</t>
  </si>
  <si>
    <t>01J2501-04</t>
  </si>
  <si>
    <t>02J2514</t>
  </si>
  <si>
    <t>перефасовка</t>
  </si>
  <si>
    <t>02J2501-12</t>
  </si>
  <si>
    <t>02J25R21</t>
  </si>
  <si>
    <t>03J2501-08</t>
  </si>
  <si>
    <t>03J2509-12</t>
  </si>
  <si>
    <t>04J25R21</t>
  </si>
  <si>
    <t>04J2501-06</t>
  </si>
  <si>
    <t>04J2507-12</t>
  </si>
  <si>
    <t>05J25R11</t>
  </si>
  <si>
    <t>05J2501-10</t>
  </si>
  <si>
    <t>06J25R11</t>
  </si>
  <si>
    <t>06J2501-10</t>
  </si>
  <si>
    <t>07J2501</t>
  </si>
  <si>
    <t>07J25R11</t>
  </si>
  <si>
    <t>07J2502</t>
  </si>
  <si>
    <t>08J2501-05</t>
  </si>
  <si>
    <t>08J25R11</t>
  </si>
  <si>
    <t>08J2506-10</t>
  </si>
  <si>
    <t>09J25R21</t>
  </si>
  <si>
    <t>09J2501-10</t>
  </si>
  <si>
    <t>10J25R21</t>
  </si>
  <si>
    <t>10J2501-09</t>
  </si>
  <si>
    <t>11J25R21</t>
  </si>
  <si>
    <t>11J2501-10</t>
  </si>
  <si>
    <t>12J2501-10</t>
  </si>
  <si>
    <t>09I2502</t>
  </si>
  <si>
    <t>отвердитель Starkbond 746/1 С  ведро 20кг</t>
  </si>
  <si>
    <t>Клей Starkbond 745/41 А (ведро 20кг)- 200 кг, перелив</t>
  </si>
  <si>
    <t>13J2501-10</t>
  </si>
  <si>
    <t>13J2511</t>
  </si>
  <si>
    <t>14J2501-15</t>
  </si>
  <si>
    <t>15J2501-05</t>
  </si>
  <si>
    <t>15J2506</t>
  </si>
  <si>
    <t>Sancos PROPOL 101A  бочка 90 кг - 540 кг</t>
  </si>
  <si>
    <t>09J5R21</t>
  </si>
  <si>
    <t>16J2501-10</t>
  </si>
  <si>
    <t>17J2501-10</t>
  </si>
  <si>
    <t>18J2501-10</t>
  </si>
  <si>
    <t>18J2511-22</t>
  </si>
  <si>
    <t>19J2501-10</t>
  </si>
  <si>
    <t>19J2511-17</t>
  </si>
  <si>
    <t>20J2501-10</t>
  </si>
  <si>
    <t>20J2511-13</t>
  </si>
  <si>
    <t>21J2501-10</t>
  </si>
  <si>
    <t>21J2511-16</t>
  </si>
  <si>
    <t>22J2515</t>
  </si>
  <si>
    <t>22J2516</t>
  </si>
  <si>
    <t>22J2501-08</t>
  </si>
  <si>
    <t>23J2501-10</t>
  </si>
  <si>
    <t>23J2511-15</t>
  </si>
  <si>
    <t>24J2501-07</t>
  </si>
  <si>
    <t>24J2508</t>
  </si>
  <si>
    <t>24J2509</t>
  </si>
  <si>
    <t>25J2501-03</t>
  </si>
  <si>
    <t>25J2504-09</t>
  </si>
  <si>
    <t>25J2510-14</t>
  </si>
  <si>
    <t>26J2501-14</t>
  </si>
  <si>
    <t>27J2501-14</t>
  </si>
  <si>
    <t>28J2501-08</t>
  </si>
  <si>
    <t>28J2511-16</t>
  </si>
  <si>
    <t>29J2501-08</t>
  </si>
  <si>
    <t>29J2511-14</t>
  </si>
  <si>
    <t>29J2516-17</t>
  </si>
  <si>
    <t>30J2501</t>
  </si>
  <si>
    <t xml:space="preserve">521A бочка 220кг (Тест АФ, замороженный) </t>
  </si>
  <si>
    <t>30J2502</t>
  </si>
  <si>
    <t>тест для АФ</t>
  </si>
  <si>
    <t>30J2507</t>
  </si>
  <si>
    <t>30J2503-06</t>
  </si>
  <si>
    <t>30J2508-12</t>
  </si>
  <si>
    <t>31J2501-10</t>
  </si>
  <si>
    <t>31J2515</t>
  </si>
  <si>
    <t>31J2516</t>
  </si>
  <si>
    <t>% пропиленгликоля в составе</t>
  </si>
  <si>
    <t>01I2501-10</t>
  </si>
  <si>
    <t>02I2503-8</t>
  </si>
  <si>
    <t>28G2501.</t>
  </si>
  <si>
    <t>23G2501.</t>
  </si>
  <si>
    <t>03I2501</t>
  </si>
  <si>
    <t>03I2502-3</t>
  </si>
  <si>
    <t>03I2503</t>
  </si>
  <si>
    <t>Sancos Pro Safety 165 канистра 7,4 кг</t>
  </si>
  <si>
    <t>04I25R21</t>
  </si>
  <si>
    <t>04I2501-10</t>
  </si>
  <si>
    <t>05I25R21</t>
  </si>
  <si>
    <t>Клей Starkbond 745/41 А (бочка 200 кг), Клей Starkbond 745/41 А (ведро 20кг)</t>
  </si>
  <si>
    <t>05I2501-10</t>
  </si>
  <si>
    <t>06I2501-10</t>
  </si>
  <si>
    <t>07I2501-04</t>
  </si>
  <si>
    <t>21H2501.</t>
  </si>
  <si>
    <t>08I2501-06</t>
  </si>
  <si>
    <t>08I2507</t>
  </si>
  <si>
    <t>21H2501..</t>
  </si>
  <si>
    <t>08I25R21</t>
  </si>
  <si>
    <t>09I25R21</t>
  </si>
  <si>
    <t>09I2501-02</t>
  </si>
  <si>
    <t>отвердитель Starkbond 746/1 С  бочка 200кг, отвердитель Starkbond 746/1 С  ведро 20кг</t>
  </si>
  <si>
    <t>09I2501</t>
  </si>
  <si>
    <t>10I25R21</t>
  </si>
  <si>
    <t>10I2501-09</t>
  </si>
  <si>
    <t>11I2506-10</t>
  </si>
  <si>
    <t>12I25R21</t>
  </si>
  <si>
    <t>12I2501-5</t>
  </si>
  <si>
    <t xml:space="preserve"> 12I2510</t>
  </si>
  <si>
    <t>Sancos Pro Safety 165 канистра 14,8 кг, Sancos Pro Safety 165 канистра 7,4 кг</t>
  </si>
  <si>
    <t>13I2501-8</t>
  </si>
  <si>
    <t>13I25R21</t>
  </si>
  <si>
    <t>14I2501-10</t>
  </si>
  <si>
    <t>14I25R11</t>
  </si>
  <si>
    <t>15I2501-10</t>
  </si>
  <si>
    <t>15I2511</t>
  </si>
  <si>
    <t>10I25R21.</t>
  </si>
  <si>
    <t>16I25R21</t>
  </si>
  <si>
    <t>клей Starkbond 745/3 А  бочка 200кг</t>
  </si>
  <si>
    <t>17I25R21</t>
  </si>
  <si>
    <t>17I2501</t>
  </si>
  <si>
    <t>Sancos PROPOL 101A  бочка 180 кг</t>
  </si>
  <si>
    <t>Sancos PROPOL 101A  бочка 90 кг- 720 кг</t>
  </si>
  <si>
    <t>18I2501</t>
  </si>
  <si>
    <t>Sancos Pro Safety 165 канистра 7,4 кг- 44,4 кг</t>
  </si>
  <si>
    <t>18I2502</t>
  </si>
  <si>
    <t>18I2503</t>
  </si>
  <si>
    <t>18I25R21</t>
  </si>
  <si>
    <t>19I2501-10</t>
  </si>
  <si>
    <t>19I25R21</t>
  </si>
  <si>
    <t>20I25R21</t>
  </si>
  <si>
    <t>19H2502.</t>
  </si>
  <si>
    <t>отвердитель Starkbond 521C  6.0 ведро 20кг</t>
  </si>
  <si>
    <t>20I2501-2</t>
  </si>
  <si>
    <t>20I2502</t>
  </si>
  <si>
    <t>21I25R21</t>
  </si>
  <si>
    <t>21I2501-2</t>
  </si>
  <si>
    <t>Отвердитель Starkbond 521C 10.0 бочка 200кг, Отвердитель Starkbond 521C 10.0 ведро 20кг,Отвердитель Starkbond 521C 10.0 ведро 11кг</t>
  </si>
  <si>
    <t>22I25R21</t>
  </si>
  <si>
    <t>22I2501-10</t>
  </si>
  <si>
    <t>22I25R11</t>
  </si>
  <si>
    <t>23I2501-10</t>
  </si>
  <si>
    <t>24I2501-8</t>
  </si>
  <si>
    <t>25I2501-8</t>
  </si>
  <si>
    <t>25I25R11</t>
  </si>
  <si>
    <t>26I25R11</t>
  </si>
  <si>
    <t>26I2501-02</t>
  </si>
  <si>
    <t>26I2503-10</t>
  </si>
  <si>
    <t>27I25R11</t>
  </si>
  <si>
    <t>501B (Китай 7720)</t>
  </si>
  <si>
    <t>27I2501-10</t>
  </si>
  <si>
    <t>27I2511</t>
  </si>
  <si>
    <t>28I25R11</t>
  </si>
  <si>
    <t>28I2501-06</t>
  </si>
  <si>
    <t>29I2501-08</t>
  </si>
  <si>
    <t>30I2501-03</t>
  </si>
  <si>
    <t>30I2510</t>
  </si>
  <si>
    <t>30I2511</t>
  </si>
  <si>
    <t>переработка брака</t>
  </si>
  <si>
    <t>30I2504-08</t>
  </si>
  <si>
    <t>Клей Starkbond 522A  бочка 200 кг</t>
  </si>
  <si>
    <t>Дата передачи материалов</t>
  </si>
  <si>
    <t>01H2501-08</t>
  </si>
  <si>
    <t>01H25R11</t>
  </si>
  <si>
    <t>02H2501-08</t>
  </si>
  <si>
    <t>02H25R11</t>
  </si>
  <si>
    <t>03H2501-08</t>
  </si>
  <si>
    <t>04H2508-1-08</t>
  </si>
  <si>
    <t>05H2501-11</t>
  </si>
  <si>
    <t>Отвердитель Starkbond 521C 10.0 ведро 11кг- 198кг</t>
  </si>
  <si>
    <t>06H2501-10</t>
  </si>
  <si>
    <t>07H25R21</t>
  </si>
  <si>
    <t>07H2501-10</t>
  </si>
  <si>
    <t>08H2501-04</t>
  </si>
  <si>
    <t>08H25R21</t>
  </si>
  <si>
    <t>09H2501-10</t>
  </si>
  <si>
    <t>09H25R11</t>
  </si>
  <si>
    <t>10H2501-08</t>
  </si>
  <si>
    <t>11H25R21</t>
  </si>
  <si>
    <t>11H2501-10</t>
  </si>
  <si>
    <t>12H25R11</t>
  </si>
  <si>
    <t>12H2501-10</t>
  </si>
  <si>
    <t>13H2501-10</t>
  </si>
  <si>
    <t>Отвердитель Starkbond 521C 11.0 ведро 11кг- 198 кг</t>
  </si>
  <si>
    <t>14H2501-10</t>
  </si>
  <si>
    <t>15H25R21</t>
  </si>
  <si>
    <t>15H2501</t>
  </si>
  <si>
    <t>16H25R21</t>
  </si>
  <si>
    <t>16H2501</t>
  </si>
  <si>
    <t>16H2502</t>
  </si>
  <si>
    <t>17H25R21</t>
  </si>
  <si>
    <t>17H2501-10</t>
  </si>
  <si>
    <t>отвердитель Starkbond 521 C 2.2  бочка 200кг</t>
  </si>
  <si>
    <t>18H2501-04</t>
  </si>
  <si>
    <t>18H25R21</t>
  </si>
  <si>
    <t>19H2501-04</t>
  </si>
  <si>
    <t>07H2501</t>
  </si>
  <si>
    <t>20H2501</t>
  </si>
  <si>
    <t>Отвердитель Starkbond 521C 10.0 ведро 11кг- 396кг</t>
  </si>
  <si>
    <t>20H25R11</t>
  </si>
  <si>
    <t>21H2501</t>
  </si>
  <si>
    <t>отвердитель Starkbond 746/1 С  бочка 200кг</t>
  </si>
  <si>
    <t>21H2502-05</t>
  </si>
  <si>
    <t>21H25R21</t>
  </si>
  <si>
    <t>22H2501-08</t>
  </si>
  <si>
    <t>22H25R11</t>
  </si>
  <si>
    <t>23H2501-08</t>
  </si>
  <si>
    <t>24H2501-08</t>
  </si>
  <si>
    <t>25H2501-08</t>
  </si>
  <si>
    <t>26H2501-08</t>
  </si>
  <si>
    <t>27H2501-08</t>
  </si>
  <si>
    <t>28H2511</t>
  </si>
  <si>
    <t>28H25R21</t>
  </si>
  <si>
    <t>28H2501-08</t>
  </si>
  <si>
    <t>отвердитель Starkbond 521 C 3.0  бочка 200кг</t>
  </si>
  <si>
    <t>29H2501-10</t>
  </si>
  <si>
    <t>29H25R21</t>
  </si>
  <si>
    <t>30H2501-02</t>
  </si>
  <si>
    <t>30H2503</t>
  </si>
  <si>
    <t>30H25R21</t>
  </si>
  <si>
    <t>31H25R11</t>
  </si>
  <si>
    <t>31H2501-08</t>
  </si>
  <si>
    <t>01G2501-08</t>
  </si>
  <si>
    <t>01G2509</t>
  </si>
  <si>
    <t>01G25R11</t>
  </si>
  <si>
    <t>01G25R21</t>
  </si>
  <si>
    <t>Клей Starkbond 2014 бочка 220кг</t>
  </si>
  <si>
    <t>02G25R21</t>
  </si>
  <si>
    <t>02G2501-10</t>
  </si>
  <si>
    <t>03G2503</t>
  </si>
  <si>
    <t>переделка партии (некондиция)</t>
  </si>
  <si>
    <t>03G2502</t>
  </si>
  <si>
    <t>03G25R11</t>
  </si>
  <si>
    <t>04G2501</t>
  </si>
  <si>
    <t>04G2502</t>
  </si>
  <si>
    <t>04G25R21</t>
  </si>
  <si>
    <t>04G25R22</t>
  </si>
  <si>
    <t>05G2501-10</t>
  </si>
  <si>
    <t>05G25R21</t>
  </si>
  <si>
    <t>06G2501-10</t>
  </si>
  <si>
    <t>06G25R11</t>
  </si>
  <si>
    <t>07G2501</t>
  </si>
  <si>
    <t>07G25R11</t>
  </si>
  <si>
    <t>08G2501</t>
  </si>
  <si>
    <t>09G25R11</t>
  </si>
  <si>
    <t>09G2501</t>
  </si>
  <si>
    <t>Клей Starkbond 525A*  бочка 220 кг AF</t>
  </si>
  <si>
    <t>09G2502</t>
  </si>
  <si>
    <t>брак</t>
  </si>
  <si>
    <t>09G2503</t>
  </si>
  <si>
    <t>Клей Starkbond 522A  бочка 200 кг (тест PTSI)</t>
  </si>
  <si>
    <t>09G2504-05</t>
  </si>
  <si>
    <t>10G25R11</t>
  </si>
  <si>
    <t>10G2501-05</t>
  </si>
  <si>
    <t>11G2501-05</t>
  </si>
  <si>
    <t>11G25R21</t>
  </si>
  <si>
    <t>11G25R11</t>
  </si>
  <si>
    <t>12G25R11</t>
  </si>
  <si>
    <t>12G25R21</t>
  </si>
  <si>
    <t>12G2501-10</t>
  </si>
  <si>
    <t>13G25R11</t>
  </si>
  <si>
    <t>13G2501-10</t>
  </si>
  <si>
    <t>14G2501-10</t>
  </si>
  <si>
    <t>14G25R11</t>
  </si>
  <si>
    <t>14G25R21</t>
  </si>
  <si>
    <t>15G2501-10</t>
  </si>
  <si>
    <t>15G2511</t>
  </si>
  <si>
    <t>Отвердитель Starkbond 525C 4.0  ведро 20 кг</t>
  </si>
  <si>
    <t>15G25R11</t>
  </si>
  <si>
    <t>16G2501</t>
  </si>
  <si>
    <t>16G25R11</t>
  </si>
  <si>
    <t>16G25R21</t>
  </si>
  <si>
    <t>17G25R11</t>
  </si>
  <si>
    <t>17G2501</t>
  </si>
  <si>
    <t>18G25R11</t>
  </si>
  <si>
    <t>18G25R21</t>
  </si>
  <si>
    <t>18G2501-03</t>
  </si>
  <si>
    <t>19G25R21</t>
  </si>
  <si>
    <t>19G25R11</t>
  </si>
  <si>
    <t>19G2501-08</t>
  </si>
  <si>
    <t>20G25R21</t>
  </si>
  <si>
    <t>20G25R11</t>
  </si>
  <si>
    <t>20G2501-08</t>
  </si>
  <si>
    <t>21G2509</t>
  </si>
  <si>
    <t>21G2501-07</t>
  </si>
  <si>
    <t>21G25R21</t>
  </si>
  <si>
    <t>21G25R11</t>
  </si>
  <si>
    <t>22G2505</t>
  </si>
  <si>
    <t>SANCOS PRO SAFETY 145 M канистра 7,73 кг - по 1 канистре</t>
  </si>
  <si>
    <t>22G25R11</t>
  </si>
  <si>
    <t>22G2501-05</t>
  </si>
  <si>
    <t>22G25R12</t>
  </si>
  <si>
    <t>23G2501</t>
  </si>
  <si>
    <t>Sancos Pro Safety 145 канистра 7.73 кг- 1 канистра</t>
  </si>
  <si>
    <t>23G25R21</t>
  </si>
  <si>
    <t>23G2502</t>
  </si>
  <si>
    <t>23G25R11</t>
  </si>
  <si>
    <t>24G25R11</t>
  </si>
  <si>
    <t>24G25R12</t>
  </si>
  <si>
    <t>24G2501-02</t>
  </si>
  <si>
    <t>24G2503</t>
  </si>
  <si>
    <t>25G25R11</t>
  </si>
  <si>
    <t>25G25R21</t>
  </si>
  <si>
    <t>Sancos Pronatе 501В бочка 60 кг - 1 бочка</t>
  </si>
  <si>
    <t>25G2501</t>
  </si>
  <si>
    <t>Sancos PROPOL 101A  бочка 60 кг- 2 бочки</t>
  </si>
  <si>
    <t>26G2501-08</t>
  </si>
  <si>
    <t>26G25R11</t>
  </si>
  <si>
    <t>Sancos Pronatе 501В бочка 60 кг- 1 бочка</t>
  </si>
  <si>
    <t>26G25R21</t>
  </si>
  <si>
    <t>27G2501-08</t>
  </si>
  <si>
    <t>27G25R11</t>
  </si>
  <si>
    <t>27G25R21</t>
  </si>
  <si>
    <t>28G2501</t>
  </si>
  <si>
    <t>28G2502</t>
  </si>
  <si>
    <t>Sancos PROPOL 101A  бочка 90 кг- 1 бочка</t>
  </si>
  <si>
    <t>28G25R11</t>
  </si>
  <si>
    <t>28G25R21</t>
  </si>
  <si>
    <t>29G2501</t>
  </si>
  <si>
    <t>29G25R11</t>
  </si>
  <si>
    <t>18E2506</t>
  </si>
  <si>
    <t>30G2501-10</t>
  </si>
  <si>
    <t>30G25R11</t>
  </si>
  <si>
    <t>31G25R01</t>
  </si>
  <si>
    <t>SANCOS PRO SAFETY 145 M канистра 7,73 кг- 1 канистра</t>
  </si>
  <si>
    <t>31G25R11</t>
  </si>
  <si>
    <t>31G2501-08</t>
  </si>
  <si>
    <t>30E2504</t>
  </si>
  <si>
    <t>01F2501-10</t>
  </si>
  <si>
    <t>02F2501-10</t>
  </si>
  <si>
    <t>02F25R11</t>
  </si>
  <si>
    <t>03F25R11</t>
  </si>
  <si>
    <t>03F2501</t>
  </si>
  <si>
    <t>04F2501</t>
  </si>
  <si>
    <t>SANCOS PRO SAFETY 145 канистра 23,18 кг, Sancos Pro Safety 145 канистра 7.73 кг</t>
  </si>
  <si>
    <t>04F25R11</t>
  </si>
  <si>
    <t>Sancos Pronatе 501В бочка 60 кг, Sancos PRONATE 501 бочка 240 кг</t>
  </si>
  <si>
    <t>05F2501-10</t>
  </si>
  <si>
    <t>05F25R21</t>
  </si>
  <si>
    <t>05F25R22</t>
  </si>
  <si>
    <t>06F2501-06F2507</t>
  </si>
  <si>
    <t>06F25R11</t>
  </si>
  <si>
    <t>07F2501-10</t>
  </si>
  <si>
    <t>07F25R21</t>
  </si>
  <si>
    <t>07F25R22</t>
  </si>
  <si>
    <t>08F2501-10</t>
  </si>
  <si>
    <t>08F25R21</t>
  </si>
  <si>
    <t>08F25R22</t>
  </si>
  <si>
    <t>09F2501-09</t>
  </si>
  <si>
    <t>09F25R11</t>
  </si>
  <si>
    <t>10F25R11</t>
  </si>
  <si>
    <t>10F2501-08</t>
  </si>
  <si>
    <t>11F25R11</t>
  </si>
  <si>
    <t>11F2501-10</t>
  </si>
  <si>
    <t>12F2501-10</t>
  </si>
  <si>
    <t>12F25R11</t>
  </si>
  <si>
    <t>13F2501-4</t>
  </si>
  <si>
    <t>13F25R11</t>
  </si>
  <si>
    <t>14F2501-10</t>
  </si>
  <si>
    <t>14F25R21</t>
  </si>
  <si>
    <t>Sancos PRONATE 501 бочка 240 кг</t>
  </si>
  <si>
    <t>15F25R21</t>
  </si>
  <si>
    <t>Sancos PRONATE 501 бочка 240 кг, Sancos PRONATE 501B бочка 200 кг</t>
  </si>
  <si>
    <t>15F2501-10</t>
  </si>
  <si>
    <t>16F2501-10</t>
  </si>
  <si>
    <t>16F25R21</t>
  </si>
  <si>
    <t>17F25R01</t>
  </si>
  <si>
    <t>10E25R01</t>
  </si>
  <si>
    <t>08E25R01</t>
  </si>
  <si>
    <t>24D2509</t>
  </si>
  <si>
    <t>18F25R01</t>
  </si>
  <si>
    <t>Sancos PROPOL 101A  бочка 180 кг,90 кг</t>
  </si>
  <si>
    <t>19F2501-6</t>
  </si>
  <si>
    <t>20F2501-4</t>
  </si>
  <si>
    <t>21F2501-10</t>
  </si>
  <si>
    <t>Клей Starkbond 521A  бочка 220кг</t>
  </si>
  <si>
    <t>22F2501-10</t>
  </si>
  <si>
    <t>22F2505</t>
  </si>
  <si>
    <t>23F2501-10</t>
  </si>
  <si>
    <t>23F25R11</t>
  </si>
  <si>
    <t>24F25R11</t>
  </si>
  <si>
    <t>24F2501-3</t>
  </si>
  <si>
    <t>24F2503</t>
  </si>
  <si>
    <t>25F25R11</t>
  </si>
  <si>
    <t>25F2501-4</t>
  </si>
  <si>
    <t>26F2501-4</t>
  </si>
  <si>
    <t>26F25R21</t>
  </si>
  <si>
    <t xml:space="preserve">некондиция, перелит в кубы </t>
  </si>
  <si>
    <t>27F2501</t>
  </si>
  <si>
    <t>27F2502</t>
  </si>
  <si>
    <t>28F25R21</t>
  </si>
  <si>
    <t>29F25R21</t>
  </si>
  <si>
    <t>29F25R22</t>
  </si>
  <si>
    <t>реактор Ушакова</t>
  </si>
  <si>
    <t>бочки 225 кг + 1 ведро 10 кг</t>
  </si>
  <si>
    <t>бочки 225 кг + 1 ведро 20 кг</t>
  </si>
  <si>
    <t xml:space="preserve">в 1С производство от 30.04.25 (для отгрузки клиентам), по факту производили 07.05.25 </t>
  </si>
  <si>
    <t xml:space="preserve">бочки 1800 кг + 10 ведер по 10 кг на тесты </t>
  </si>
  <si>
    <t>реактор Перфотак</t>
  </si>
  <si>
    <t>Отвердитель Starkbond 525C L01 (ведро 20кг)</t>
  </si>
  <si>
    <t>тест</t>
  </si>
  <si>
    <t>Отвердитель Starkbond 525C L02 (ведро 20кг)</t>
  </si>
  <si>
    <t>Отвердитель Starkbond 525C  3.0 Бочка 200 кг</t>
  </si>
  <si>
    <t>Отвердитель Starkbond 525C L00 (ведро 20кг)</t>
  </si>
  <si>
    <t>Отвердитель Starkbond 525 C 4.0 бочка 200 кг</t>
  </si>
  <si>
    <t>Отвердитель Starkbond 525 C 5.0 бочка 200 кг</t>
  </si>
  <si>
    <t>Отвердитель Starkbond 521C 11.0 бочка 200кг, ведро 11 кг</t>
  </si>
  <si>
    <t>SANCOS PRO 101A бочка 180 кг и ведро 10 кг</t>
  </si>
  <si>
    <t>296/1</t>
  </si>
  <si>
    <t>отвердитель Starkbond 521 C 2.2  ведро 11кг</t>
  </si>
  <si>
    <t>перелив из бочки в ведра</t>
  </si>
  <si>
    <t>Sancos Pro Safety 165 канистра 4.93 кг</t>
  </si>
  <si>
    <t>образцы</t>
  </si>
  <si>
    <t>Sancos Pro Safety 145 канистра 2,6 кг</t>
  </si>
  <si>
    <t>Sancos Pro Safety 165 канистра 2,6 кг</t>
  </si>
  <si>
    <t>Клей Starkbond 747 2A ведро 20 кг, Клей Starkbond 746A  ведро 20 кг</t>
  </si>
  <si>
    <t>отвердитель Starkbond 747 1C  ведро 20кг, отвердитель Starkbond 747 2C  ведро 20кг, Клей Starkbond 747 1A ведро 20 кг</t>
  </si>
  <si>
    <t>30E25R11-12</t>
  </si>
  <si>
    <t>30E2506</t>
  </si>
  <si>
    <t>Отвердитель Starkbond 525C 6.0  ведро 10кг</t>
  </si>
  <si>
    <t>образец</t>
  </si>
  <si>
    <t>30E2505</t>
  </si>
  <si>
    <t>Отвердитель Starkbond 525C 4.0  ведро 10кг</t>
  </si>
  <si>
    <t>фильтрация 521A (возврат из Артфлекс)</t>
  </si>
  <si>
    <t>16кг- потери при переливе, смена артикула</t>
  </si>
  <si>
    <t>переработка для Артфлекс</t>
  </si>
  <si>
    <t>Клей Starkbond 531A ведро 20 кг</t>
  </si>
  <si>
    <t>Сухарево, изготавливал Перфотак из нашего сырья</t>
  </si>
  <si>
    <t>ТЕСТ ДЛЯ АРТФЛЕКС С PTSI</t>
  </si>
  <si>
    <t xml:space="preserve">Клей Starkbond 745/41 А (ведро 20кг) </t>
  </si>
  <si>
    <t xml:space="preserve">реактор Перфотак </t>
  </si>
  <si>
    <t>SANCOS PRO (Sancos PRONATE 501B бочка 200 кг)</t>
  </si>
  <si>
    <t>SP 501B	Sancos PRONATE 501B бочка 200 кг- 800кг
SP 501B	Sancos PRONATE 501B ведро 20 кг - 100 кг</t>
  </si>
  <si>
    <t>Отвердитель Starkbond 525C  2.0 Бочка 200 кг</t>
  </si>
  <si>
    <t>смена номенклатуры (отправлено в Принт Дизайн 525С3.0 1000кг, обратно привезли 525С2.0 1000кг)</t>
  </si>
  <si>
    <t xml:space="preserve">смена номенклатуры </t>
  </si>
  <si>
    <t xml:space="preserve">SANCOS PROPOL 101A
</t>
  </si>
  <si>
    <t>Sancos PROPOL 101A  бочка 180 кг, Sancos PROPOL 101A  бочка 90 кг, Sancos PROPOL 101A ведро 20 кг</t>
  </si>
  <si>
    <t xml:space="preserve">Клей Starkbond 521A </t>
  </si>
  <si>
    <t>ведро 22 кг - 1 шт , бочка 220 кг - 8 шт</t>
  </si>
  <si>
    <t>Starkbond 2014  ведро 10 кг</t>
  </si>
  <si>
    <t>SPS 145</t>
  </si>
  <si>
    <t>Sancos Pro Safety 145 канистра 11,59 кг, Sancos Pro Safety 145 канистра 5.795 кг, Sancos Pro Safety 145 канистра 5,15 кг</t>
  </si>
  <si>
    <t>SANCOS PRO SAFETY 145 M канистра 2,58 кг</t>
  </si>
  <si>
    <t>Sancos Pro Safety 165 канистра 5,05 кг</t>
  </si>
  <si>
    <t xml:space="preserve">Клей Starkbond 525A бочка 200 кг </t>
  </si>
  <si>
    <t>Клей Starkbond 2025 RC7 LV ведро 5кг</t>
  </si>
  <si>
    <t>переделка из брака для образцов</t>
  </si>
  <si>
    <t>ведро 10 кг-1, бочка 225кг-10</t>
  </si>
  <si>
    <t>ведро 10 кг- 1, ведро 5 кг-1, бочка 225кг-10</t>
  </si>
  <si>
    <t>ведро 10кг- 1, бочка 225кг -10</t>
  </si>
  <si>
    <t>фактическое производство 29-30.04.25</t>
  </si>
  <si>
    <t>фактическое производство 29-30.04.26</t>
  </si>
  <si>
    <t xml:space="preserve">БРАК НА СКЛАД ГП АРТФЛЕКС ДЛЯ ПЕРЕРАБОТКИ </t>
  </si>
  <si>
    <t xml:space="preserve">Клей Starkbond 2025 RC7 LV </t>
  </si>
  <si>
    <t>Клей Starkbond 2025 RC7 LV 225 кг, Клей Starkbond 2025C RC7 LV  ведро 10 кг</t>
  </si>
  <si>
    <t>фактическое производство 01.05.25 (Моисеенко К.)</t>
  </si>
  <si>
    <t>Клей Starkbond 2025 RC7 LV 225 кг, Клей Starkbond 2025 RC7 LV ведро 20кг, Клей Starkbond 2025 RC7 LV ведро 5кг</t>
  </si>
  <si>
    <t>изготавливали Перфотак из нашего сырья</t>
  </si>
  <si>
    <t xml:space="preserve">Клей Starkbond 745/41 А (бочка 200 кг) </t>
  </si>
  <si>
    <t xml:space="preserve">доработан и выпущен </t>
  </si>
  <si>
    <t>реактор</t>
  </si>
  <si>
    <t>Клей Starkbond 525A  бочка 200 кг</t>
  </si>
  <si>
    <t>крошка</t>
  </si>
  <si>
    <t>перелив (на нашем производстве)</t>
  </si>
  <si>
    <t xml:space="preserve">перелив </t>
  </si>
  <si>
    <t xml:space="preserve">21C2501-04 (MDI)
21C2505 (LUP)
</t>
  </si>
  <si>
    <t>изменение рецептуры на этот акт, файл в 1С</t>
  </si>
  <si>
    <t>Lupranat MI (Лупранат МИ) Компонент Б (бочка 250) - 50 кг осадок замороженного сырья (с последнего поступления)</t>
  </si>
  <si>
    <t>потери выше нормы, MDI частично кристаллизован</t>
  </si>
  <si>
    <t>РЕАКТОР</t>
  </si>
  <si>
    <t>переделка</t>
  </si>
  <si>
    <t>Starkbond 2014  ведро 5кг, Клей Starkbond 2025 RC7  ведро 5 кг</t>
  </si>
  <si>
    <t>изменение артикула ( смена номенклатуры из бракованной ГП)</t>
  </si>
  <si>
    <t>переклейка: Sancos PRONATE 501B бочка 240 кг, Sancos PROPOL 101A  бочка 180 кг, Sancos Pro Safety 165 канистра 14,81 кг, Sancos Pro Safety 145 канистра 21.96 кг</t>
  </si>
  <si>
    <t xml:space="preserve">Клей Starkbond 745/41 А (бочка 200 кг)  </t>
  </si>
  <si>
    <t>1 бочка неполная - 170 кг</t>
  </si>
  <si>
    <t>потери Лупраната - частичная кристаллизация</t>
  </si>
  <si>
    <t>БОЧКИ - 900КГ, ВЕДРА - 5*20КГ</t>
  </si>
  <si>
    <t>сработка старых остатков, сырья из брака</t>
  </si>
  <si>
    <t>смена номенклатуры (обувные системы)</t>
  </si>
  <si>
    <t>ДОП.ПРИЗНАК CYJ25, запись продублирована на стретч пленке, в которую замотаны бочки</t>
  </si>
  <si>
    <t xml:space="preserve">Клей Starkbond 525A  бочка 200 кг </t>
  </si>
  <si>
    <t>MDI-50 осадок в кубе, потери 60кг</t>
  </si>
  <si>
    <t>отвердитель Starkbond 746 С  бочка 200 кг</t>
  </si>
  <si>
    <t>51 ведро по 20 кг, 1 ведро - 16 кг</t>
  </si>
  <si>
    <t>перелив 521С10 в ведра</t>
  </si>
  <si>
    <t>ШККА-002276 - доб. Пропиленкарбонат 93 кг</t>
  </si>
  <si>
    <t>ШККА-002275 - доб. Пропиленкарбонат 93 кг</t>
  </si>
  <si>
    <t>ШККА-002274 - доб. Пропиленкарбонат 66 кг</t>
  </si>
  <si>
    <t xml:space="preserve">клей Starkbond 745/3 А  бочка 200кг, Клей Starkbond 745/3А (ведро 20кг)  </t>
  </si>
  <si>
    <t>потери при переливе, фильтрации, расфасовке</t>
  </si>
  <si>
    <t>потери из-за слива из бочек + объем 16 тонн</t>
  </si>
  <si>
    <t>5 партий - из Лупраната, 3 партии - из МДИ 50</t>
  </si>
  <si>
    <t xml:space="preserve">Отвердитель Starkbond 525C  2.0 Бочка 200 кг, отвердитель Starkbond 525C  2.0 ведро 20кг </t>
  </si>
  <si>
    <t>потери при сливе Олигоэфир П-512 (ОПГА-650) из бочек</t>
  </si>
  <si>
    <t xml:space="preserve">Sancon Pro </t>
  </si>
  <si>
    <t>переклейка: Sancos PRONATE 501B бочка 240 кг, Sancos PROPOL 101A  бочка 180 кг, Sancos Pro Safety 165 канистра 14,81 кг</t>
  </si>
  <si>
    <t>потери- застывший старый Лупранат</t>
  </si>
  <si>
    <t>смена номенклатуры - Starkbond 2004  ведро 5 кг, Starkbond 2014  ведро 5кг, Клей Starkbond 2025C RC7  ведро 5 кг - по 25 кг</t>
  </si>
  <si>
    <t>перефильтрация</t>
  </si>
  <si>
    <t>цветной. Мороженный  розовый Лупранат</t>
  </si>
  <si>
    <t>827(2)</t>
  </si>
  <si>
    <t>841(2)</t>
  </si>
  <si>
    <t>845(2)</t>
  </si>
  <si>
    <t>Израсходовано по факту Polyether Polyol Puranol, Пропиленгликоль</t>
  </si>
  <si>
    <t>Клей Starkbond 2014 ведро 10 кг ОБРАЗЦЫ</t>
  </si>
  <si>
    <t>Starkbond 2014 RB101 ведро 10 кг, Starkbond 2014 RC301 ведро 10 кг, Starkbond 2014 RH201 ведро 10 кг</t>
  </si>
  <si>
    <t>Starkbond 2014 RB103 ведро 10 кг, Starkbond 2014 RH202 ведро 10 кг, Starkbond 2014 RB102 ведро 10 кг</t>
  </si>
  <si>
    <t>отвердитель Starkbond 746/1 С  бочка 200кг и ведро 20кг</t>
  </si>
  <si>
    <t>отвердитель Starkbond 746/1 С  ведро 20кг, отвердитель Starkbond 746/1 С  бочка 200кг</t>
  </si>
  <si>
    <t>Клей Starkbond 745/3А (ведро 20кг)</t>
  </si>
  <si>
    <t>довели до кондиции сентябрьскую партию</t>
  </si>
  <si>
    <t xml:space="preserve">Sancos Pro </t>
  </si>
  <si>
    <t xml:space="preserve">ПЕРЕВОД АРТИКУЛОВ </t>
  </si>
  <si>
    <t>Sancos PRONATE 501B бочка 240 кг, Sancos PROPOL 101A  бочка 180 кг, Sancos Pro Safety 165 канистра 14,81 кг, Sancos Pro Safety 145 канистра 21.96 кг</t>
  </si>
  <si>
    <t>отвердитель Starkbond 746/1 С  бочка 200кг, ведро 20 кг</t>
  </si>
  <si>
    <t xml:space="preserve">Клей Starkbond 2025 RC7 </t>
  </si>
  <si>
    <t>Клей Starkbond 2025 RC7 LV 225 кг, Клей Starkbond 2025C RC7  ведро 20 кг</t>
  </si>
  <si>
    <t xml:space="preserve">Клей Starkbond 525A  </t>
  </si>
  <si>
    <t>Клей Starkbond 525A  бочка 220 кг , Клей Starkbond 525A  ведро 22 кг - 20 кг (неполное)</t>
  </si>
  <si>
    <t>из продукта, который был выведен из продажной линейки, сделали ликвидный продукт</t>
  </si>
  <si>
    <t>Клей Starkbond 525A бочка 220 кг и ведро 22 кг</t>
  </si>
  <si>
    <t>клей Starkbond 745/3 А бочки, ведра</t>
  </si>
  <si>
    <t>отвердитель Starkbond 746/1 С  бочка 180 кг, ведро 20 кг</t>
  </si>
  <si>
    <t>30..09.24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</si>
</sst>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[$ ₽]"/>
    <numFmt numFmtId="165" formatCode="dd\.mm\.yyyy"/>
    <numFmt numFmtId="166" formatCode="#,##0.00&quot;€&quot;"/>
    <numFmt numFmtId="167" formatCode="d\.m\.yyyy"/>
    <numFmt numFmtId="168" formatCode="dd\.mm\.yy"/>
    <numFmt numFmtId="169" formatCode="dd\.mm"/>
    <numFmt numFmtId="170" formatCode="d\.m\.yy"/>
  </numFmts>
  <fonts count="20">
    <font>
      <sz val="10"/>
      <color rgb="FF000000"/>
      <name val="Arial"/>
      <scheme val="minor"/>
    </font>
    <font>
      <b/>
      <sz val="8"/>
      <color rgb="FF000000"/>
      <name val="Calibri"/>
    </font>
    <font>
      <b/>
      <sz val="8"/>
      <color rgb="FF00B0F0"/>
      <name val="Calibri"/>
    </font>
    <font>
      <b/>
      <sz val="8"/>
      <color rgb="FFFF0000"/>
      <name val="Calibri"/>
    </font>
    <font>
      <sz val="10"/>
      <color theme="1"/>
      <name val="Arial"/>
      <scheme val="minor"/>
    </font>
    <font>
      <sz val="8"/>
      <color rgb="FF000000"/>
      <name val="Calibri"/>
    </font>
    <font>
      <sz val="8"/>
      <color theme="1"/>
      <name val="Calibri"/>
    </font>
    <font>
      <sz val="10"/>
      <color rgb="FF000000"/>
      <name val="Arial"/>
      <scheme val="minor"/>
    </font>
    <font>
      <sz val="8"/>
      <color rgb="FF333333"/>
      <name val="Arial"/>
    </font>
    <font>
      <b/>
      <sz val="10"/>
      <color theme="1"/>
      <name val="PT Sans"/>
    </font>
    <font>
      <sz val="10"/>
      <color theme="1"/>
      <name val="PT Sans"/>
    </font>
    <font>
      <b/>
      <sz val="8"/>
      <color theme="1"/>
      <name val="Calibri"/>
    </font>
    <font>
      <sz val="8"/>
      <color rgb="FFFF0000"/>
      <name val="Calibri"/>
    </font>
    <font>
      <sz val="8"/>
      <color rgb="FFFF9900"/>
      <name val="Calibri"/>
    </font>
    <font>
      <sz val="8"/>
      <color theme="1"/>
      <name val="Arial"/>
    </font>
    <font>
      <sz val="7"/>
      <color theme="1"/>
      <name val="Arial"/>
    </font>
    <font>
      <sz val="8"/>
      <color rgb="FF00B0F0"/>
      <name val="Calibri"/>
    </font>
    <font>
      <sz val="10"/>
      <color theme="5"/>
      <name val="Arial"/>
      <scheme val="minor"/>
    </font>
    <font>
      <sz val="11"/>
      <color rgb="FF000000"/>
      <name val="Calibri"/>
    </font>
    <font>
      <sz val="9"/>
      <color rgb="FF1F1F1F"/>
      <name val="&quot;Google Sans&quot;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EDEDED"/>
        <bgColor rgb="FFEDEDE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  <diagonal/>
    </border>
    <border>
      <left/>
      <right style="thin">
        <color rgb="FF993300"/>
      </right>
      <top style="thin">
        <color rgb="FF9933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3300"/>
      </left>
      <right/>
      <top/>
      <bottom style="thin">
        <color rgb="FF993300"/>
      </bottom>
      <diagonal/>
    </border>
  </borders>
  <cellStyleXfs count="1">
    <xf numFmtId="0" fontId="0" fillId="0" borderId="0"/>
  </cellStyleXfs>
  <cellXfs count="210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5" fontId="5" fillId="4" borderId="1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2" borderId="4" xfId="0" applyFont="1" applyFill="1" applyBorder="1" applyAlignment="1"/>
    <xf numFmtId="4" fontId="5" fillId="4" borderId="4" xfId="0" applyNumberFormat="1" applyFont="1" applyFill="1" applyBorder="1" applyAlignment="1">
      <alignment horizontal="center"/>
    </xf>
    <xf numFmtId="2" fontId="5" fillId="4" borderId="4" xfId="0" applyNumberFormat="1" applyFont="1" applyFill="1" applyBorder="1" applyAlignment="1">
      <alignment horizontal="center"/>
    </xf>
    <xf numFmtId="4" fontId="5" fillId="4" borderId="2" xfId="0" applyNumberFormat="1" applyFont="1" applyFill="1" applyBorder="1" applyAlignment="1">
      <alignment horizontal="center"/>
    </xf>
    <xf numFmtId="164" fontId="5" fillId="4" borderId="5" xfId="0" applyNumberFormat="1" applyFont="1" applyFill="1" applyBorder="1" applyAlignment="1">
      <alignment horizontal="center"/>
    </xf>
    <xf numFmtId="166" fontId="5" fillId="4" borderId="4" xfId="0" applyNumberFormat="1" applyFont="1" applyFill="1" applyBorder="1" applyAlignment="1">
      <alignment horizontal="center"/>
    </xf>
    <xf numFmtId="164" fontId="5" fillId="4" borderId="4" xfId="0" applyNumberFormat="1" applyFont="1" applyFill="1" applyBorder="1" applyAlignment="1">
      <alignment horizontal="center"/>
    </xf>
    <xf numFmtId="0" fontId="4" fillId="4" borderId="0" xfId="0" applyFont="1" applyFill="1" applyAlignment="1"/>
    <xf numFmtId="0" fontId="4" fillId="4" borderId="0" xfId="0" applyFont="1" applyFill="1"/>
    <xf numFmtId="0" fontId="6" fillId="2" borderId="4" xfId="0" applyFont="1" applyFill="1" applyBorder="1" applyAlignment="1">
      <alignment horizontal="left"/>
    </xf>
    <xf numFmtId="4" fontId="1" fillId="4" borderId="4" xfId="0" applyNumberFormat="1" applyFont="1" applyFill="1" applyBorder="1" applyAlignment="1">
      <alignment horizontal="center"/>
    </xf>
    <xf numFmtId="166" fontId="1" fillId="4" borderId="4" xfId="0" applyNumberFormat="1" applyFont="1" applyFill="1" applyBorder="1" applyAlignment="1">
      <alignment horizontal="center"/>
    </xf>
    <xf numFmtId="0" fontId="7" fillId="4" borderId="0" xfId="0" applyFont="1" applyFill="1"/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165" fontId="8" fillId="4" borderId="7" xfId="0" applyNumberFormat="1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right" vertical="top"/>
    </xf>
    <xf numFmtId="0" fontId="8" fillId="4" borderId="7" xfId="0" applyFont="1" applyFill="1" applyBorder="1" applyAlignment="1">
      <alignment horizontal="left" vertical="top"/>
    </xf>
    <xf numFmtId="0" fontId="8" fillId="4" borderId="7" xfId="0" applyFont="1" applyFill="1" applyBorder="1" applyAlignment="1">
      <alignment horizontal="right" vertical="top"/>
    </xf>
    <xf numFmtId="0" fontId="8" fillId="4" borderId="7" xfId="0" applyFont="1" applyFill="1" applyBorder="1" applyAlignment="1">
      <alignment vertical="top"/>
    </xf>
    <xf numFmtId="167" fontId="8" fillId="4" borderId="7" xfId="0" applyNumberFormat="1" applyFont="1" applyFill="1" applyBorder="1" applyAlignment="1">
      <alignment horizontal="left" vertical="top"/>
    </xf>
    <xf numFmtId="0" fontId="4" fillId="0" borderId="0" xfId="0" applyFont="1" applyAlignment="1"/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2" fontId="10" fillId="0" borderId="0" xfId="0" applyNumberFormat="1" applyFont="1" applyAlignment="1">
      <alignment horizontal="center"/>
    </xf>
    <xf numFmtId="0" fontId="4" fillId="0" borderId="0" xfId="0" applyFont="1"/>
    <xf numFmtId="0" fontId="5" fillId="4" borderId="6" xfId="0" applyFont="1" applyFill="1" applyBorder="1" applyAlignment="1"/>
    <xf numFmtId="0" fontId="6" fillId="4" borderId="6" xfId="0" applyFont="1" applyFill="1" applyBorder="1" applyAlignment="1">
      <alignment wrapText="1"/>
    </xf>
    <xf numFmtId="0" fontId="5" fillId="4" borderId="1" xfId="0" applyFont="1" applyFill="1" applyBorder="1" applyAlignment="1"/>
    <xf numFmtId="0" fontId="5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1" fillId="4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left"/>
    </xf>
    <xf numFmtId="4" fontId="6" fillId="4" borderId="4" xfId="0" applyNumberFormat="1" applyFont="1" applyFill="1" applyBorder="1" applyAlignment="1">
      <alignment horizontal="center"/>
    </xf>
    <xf numFmtId="4" fontId="5" fillId="2" borderId="4" xfId="0" applyNumberFormat="1" applyFont="1" applyFill="1" applyBorder="1" applyAlignment="1">
      <alignment horizontal="center"/>
    </xf>
    <xf numFmtId="2" fontId="1" fillId="4" borderId="4" xfId="0" applyNumberFormat="1" applyFont="1" applyFill="1" applyBorder="1" applyAlignment="1">
      <alignment horizontal="center"/>
    </xf>
    <xf numFmtId="165" fontId="5" fillId="4" borderId="6" xfId="0" applyNumberFormat="1" applyFont="1" applyFill="1" applyBorder="1" applyAlignment="1">
      <alignment horizontal="center"/>
    </xf>
    <xf numFmtId="0" fontId="6" fillId="4" borderId="4" xfId="0" applyFont="1" applyFill="1" applyBorder="1" applyAlignment="1"/>
    <xf numFmtId="0" fontId="1" fillId="4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3" fontId="5" fillId="4" borderId="4" xfId="0" applyNumberFormat="1" applyFont="1" applyFill="1" applyBorder="1" applyAlignment="1">
      <alignment horizontal="center"/>
    </xf>
    <xf numFmtId="0" fontId="5" fillId="4" borderId="4" xfId="0" applyFont="1" applyFill="1" applyBorder="1" applyAlignment="1"/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left" wrapText="1"/>
    </xf>
    <xf numFmtId="165" fontId="5" fillId="8" borderId="1" xfId="0" applyNumberFormat="1" applyFont="1" applyFill="1" applyBorder="1" applyAlignment="1">
      <alignment horizontal="center"/>
    </xf>
    <xf numFmtId="165" fontId="5" fillId="9" borderId="1" xfId="0" applyNumberFormat="1" applyFont="1" applyFill="1" applyBorder="1" applyAlignment="1">
      <alignment horizontal="center"/>
    </xf>
    <xf numFmtId="165" fontId="5" fillId="10" borderId="1" xfId="0" applyNumberFormat="1" applyFont="1" applyFill="1" applyBorder="1" applyAlignment="1">
      <alignment horizontal="center"/>
    </xf>
    <xf numFmtId="165" fontId="12" fillId="10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165" fontId="12" fillId="4" borderId="1" xfId="0" applyNumberFormat="1" applyFont="1" applyFill="1" applyBorder="1" applyAlignment="1">
      <alignment horizontal="center"/>
    </xf>
    <xf numFmtId="165" fontId="13" fillId="4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/>
    <xf numFmtId="0" fontId="5" fillId="11" borderId="1" xfId="0" applyFont="1" applyFill="1" applyBorder="1" applyAlignment="1"/>
    <xf numFmtId="0" fontId="1" fillId="11" borderId="1" xfId="0" applyFont="1" applyFill="1" applyBorder="1" applyAlignment="1"/>
    <xf numFmtId="0" fontId="5" fillId="0" borderId="0" xfId="0" applyFont="1" applyAlignment="1"/>
    <xf numFmtId="0" fontId="5" fillId="0" borderId="1" xfId="0" applyFont="1" applyBorder="1" applyAlignment="1"/>
    <xf numFmtId="165" fontId="5" fillId="5" borderId="1" xfId="0" applyNumberFormat="1" applyFont="1" applyFill="1" applyBorder="1" applyAlignment="1">
      <alignment horizontal="right"/>
    </xf>
    <xf numFmtId="0" fontId="14" fillId="5" borderId="8" xfId="0" applyFont="1" applyFill="1" applyBorder="1" applyAlignment="1">
      <alignment vertical="top"/>
    </xf>
    <xf numFmtId="0" fontId="5" fillId="0" borderId="1" xfId="0" applyFont="1" applyBorder="1" applyAlignment="1">
      <alignment horizontal="right"/>
    </xf>
    <xf numFmtId="0" fontId="1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/>
    <xf numFmtId="9" fontId="5" fillId="0" borderId="1" xfId="0" applyNumberFormat="1" applyFont="1" applyBorder="1" applyAlignment="1">
      <alignment horizontal="right"/>
    </xf>
    <xf numFmtId="0" fontId="5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right"/>
    </xf>
    <xf numFmtId="0" fontId="5" fillId="10" borderId="0" xfId="0" applyFont="1" applyFill="1" applyAlignment="1"/>
    <xf numFmtId="165" fontId="4" fillId="0" borderId="0" xfId="0" applyNumberFormat="1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/>
    <xf numFmtId="168" fontId="4" fillId="0" borderId="0" xfId="0" applyNumberFormat="1" applyFont="1" applyAlignment="1"/>
    <xf numFmtId="0" fontId="5" fillId="0" borderId="0" xfId="0" applyFont="1" applyAlignment="1"/>
    <xf numFmtId="167" fontId="5" fillId="5" borderId="1" xfId="0" applyNumberFormat="1" applyFont="1" applyFill="1" applyBorder="1" applyAlignment="1">
      <alignment horizontal="right"/>
    </xf>
    <xf numFmtId="0" fontId="14" fillId="0" borderId="8" xfId="0" applyFont="1" applyBorder="1" applyAlignment="1">
      <alignment horizontal="right" vertical="top"/>
    </xf>
    <xf numFmtId="0" fontId="8" fillId="0" borderId="0" xfId="0" applyFont="1" applyAlignment="1">
      <alignment horizontal="right"/>
    </xf>
    <xf numFmtId="0" fontId="5" fillId="5" borderId="1" xfId="0" applyFont="1" applyFill="1" applyBorder="1" applyAlignment="1"/>
    <xf numFmtId="165" fontId="14" fillId="0" borderId="8" xfId="0" applyNumberFormat="1" applyFont="1" applyBorder="1" applyAlignment="1">
      <alignment vertical="top"/>
    </xf>
    <xf numFmtId="0" fontId="14" fillId="0" borderId="9" xfId="0" applyFont="1" applyBorder="1" applyAlignment="1">
      <alignment vertical="top"/>
    </xf>
    <xf numFmtId="0" fontId="14" fillId="0" borderId="9" xfId="0" applyFont="1" applyBorder="1" applyAlignment="1">
      <alignment horizontal="right" vertical="top"/>
    </xf>
    <xf numFmtId="0" fontId="1" fillId="0" borderId="10" xfId="0" applyFont="1" applyBorder="1" applyAlignment="1"/>
    <xf numFmtId="0" fontId="5" fillId="0" borderId="3" xfId="0" applyFont="1" applyBorder="1" applyAlignment="1"/>
    <xf numFmtId="0" fontId="1" fillId="0" borderId="3" xfId="0" applyFont="1" applyBorder="1" applyAlignment="1"/>
    <xf numFmtId="0" fontId="5" fillId="0" borderId="3" xfId="0" applyFont="1" applyBorder="1" applyAlignment="1"/>
    <xf numFmtId="165" fontId="14" fillId="0" borderId="11" xfId="0" applyNumberFormat="1" applyFont="1" applyBorder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horizontal="right" vertical="top"/>
    </xf>
    <xf numFmtId="0" fontId="5" fillId="5" borderId="1" xfId="0" applyFont="1" applyFill="1" applyBorder="1" applyAlignment="1"/>
    <xf numFmtId="0" fontId="5" fillId="0" borderId="0" xfId="0" applyFont="1" applyAlignment="1">
      <alignment horizontal="right"/>
    </xf>
    <xf numFmtId="0" fontId="12" fillId="0" borderId="0" xfId="0" applyFont="1" applyAlignment="1"/>
    <xf numFmtId="0" fontId="15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0" fontId="14" fillId="0" borderId="8" xfId="0" applyFont="1" applyBorder="1" applyAlignment="1">
      <alignment horizontal="center" vertical="top"/>
    </xf>
    <xf numFmtId="165" fontId="12" fillId="12" borderId="1" xfId="0" applyNumberFormat="1" applyFont="1" applyFill="1" applyBorder="1" applyAlignment="1">
      <alignment horizontal="center"/>
    </xf>
    <xf numFmtId="165" fontId="12" fillId="12" borderId="6" xfId="0" applyNumberFormat="1" applyFont="1" applyFill="1" applyBorder="1" applyAlignment="1">
      <alignment horizontal="center"/>
    </xf>
    <xf numFmtId="0" fontId="5" fillId="13" borderId="4" xfId="0" applyFont="1" applyFill="1" applyBorder="1" applyAlignment="1"/>
    <xf numFmtId="0" fontId="5" fillId="13" borderId="4" xfId="0" applyFont="1" applyFill="1" applyBorder="1" applyAlignment="1">
      <alignment horizontal="left"/>
    </xf>
    <xf numFmtId="0" fontId="6" fillId="13" borderId="4" xfId="0" applyFont="1" applyFill="1" applyBorder="1" applyAlignment="1">
      <alignment horizontal="left"/>
    </xf>
    <xf numFmtId="2" fontId="5" fillId="6" borderId="4" xfId="0" applyNumberFormat="1" applyFont="1" applyFill="1" applyBorder="1" applyAlignment="1">
      <alignment horizontal="center"/>
    </xf>
    <xf numFmtId="168" fontId="5" fillId="4" borderId="1" xfId="0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69" fontId="5" fillId="4" borderId="6" xfId="0" applyNumberFormat="1" applyFont="1" applyFill="1" applyBorder="1" applyAlignment="1">
      <alignment horizontal="center"/>
    </xf>
    <xf numFmtId="168" fontId="5" fillId="4" borderId="6" xfId="0" applyNumberFormat="1" applyFont="1" applyFill="1" applyBorder="1" applyAlignment="1">
      <alignment horizontal="center"/>
    </xf>
    <xf numFmtId="170" fontId="5" fillId="4" borderId="6" xfId="0" applyNumberFormat="1" applyFont="1" applyFill="1" applyBorder="1" applyAlignment="1">
      <alignment horizontal="center"/>
    </xf>
    <xf numFmtId="0" fontId="17" fillId="4" borderId="0" xfId="0" applyFont="1" applyFill="1" applyAlignment="1"/>
    <xf numFmtId="0" fontId="18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left"/>
    </xf>
    <xf numFmtId="165" fontId="5" fillId="5" borderId="6" xfId="0" applyNumberFormat="1" applyFont="1" applyFill="1" applyBorder="1" applyAlignment="1">
      <alignment horizontal="center"/>
    </xf>
    <xf numFmtId="165" fontId="5" fillId="6" borderId="6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center"/>
    </xf>
    <xf numFmtId="4" fontId="5" fillId="6" borderId="2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166" fontId="5" fillId="6" borderId="4" xfId="0" applyNumberFormat="1" applyFont="1" applyFill="1" applyBorder="1" applyAlignment="1">
      <alignment horizontal="center"/>
    </xf>
    <xf numFmtId="164" fontId="5" fillId="6" borderId="4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4" fillId="6" borderId="0" xfId="0" applyFont="1" applyFill="1"/>
    <xf numFmtId="0" fontId="5" fillId="6" borderId="0" xfId="0" applyFont="1" applyFill="1" applyAlignment="1">
      <alignment horizontal="center"/>
    </xf>
    <xf numFmtId="166" fontId="5" fillId="14" borderId="4" xfId="0" applyNumberFormat="1" applyFont="1" applyFill="1" applyBorder="1" applyAlignment="1">
      <alignment horizontal="center"/>
    </xf>
    <xf numFmtId="0" fontId="6" fillId="6" borderId="4" xfId="0" applyFont="1" applyFill="1" applyBorder="1" applyAlignment="1"/>
    <xf numFmtId="167" fontId="5" fillId="4" borderId="6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 applyAlignment="1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165" fontId="5" fillId="15" borderId="6" xfId="0" applyNumberFormat="1" applyFont="1" applyFill="1" applyBorder="1" applyAlignment="1">
      <alignment horizontal="center"/>
    </xf>
    <xf numFmtId="165" fontId="5" fillId="15" borderId="1" xfId="0" applyNumberFormat="1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left"/>
    </xf>
    <xf numFmtId="0" fontId="1" fillId="15" borderId="4" xfId="0" applyFont="1" applyFill="1" applyBorder="1" applyAlignment="1">
      <alignment horizontal="center"/>
    </xf>
    <xf numFmtId="2" fontId="5" fillId="15" borderId="4" xfId="0" applyNumberFormat="1" applyFont="1" applyFill="1" applyBorder="1" applyAlignment="1">
      <alignment horizontal="center"/>
    </xf>
    <xf numFmtId="4" fontId="5" fillId="15" borderId="2" xfId="0" applyNumberFormat="1" applyFont="1" applyFill="1" applyBorder="1" applyAlignment="1">
      <alignment horizontal="center"/>
    </xf>
    <xf numFmtId="166" fontId="5" fillId="15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center"/>
    </xf>
    <xf numFmtId="2" fontId="5" fillId="5" borderId="4" xfId="0" applyNumberFormat="1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164" fontId="5" fillId="15" borderId="4" xfId="0" applyNumberFormat="1" applyFont="1" applyFill="1" applyBorder="1" applyAlignment="1">
      <alignment horizontal="center"/>
    </xf>
    <xf numFmtId="0" fontId="6" fillId="0" borderId="4" xfId="0" applyFont="1" applyBorder="1" applyAlignment="1"/>
    <xf numFmtId="0" fontId="6" fillId="15" borderId="4" xfId="0" applyFont="1" applyFill="1" applyBorder="1" applyAlignment="1"/>
    <xf numFmtId="0" fontId="6" fillId="12" borderId="4" xfId="0" applyFont="1" applyFill="1" applyBorder="1" applyAlignment="1"/>
    <xf numFmtId="0" fontId="6" fillId="16" borderId="4" xfId="0" applyFont="1" applyFill="1" applyBorder="1" applyAlignment="1"/>
    <xf numFmtId="165" fontId="5" fillId="0" borderId="6" xfId="0" applyNumberFormat="1" applyFont="1" applyBorder="1" applyAlignment="1">
      <alignment horizontal="center"/>
    </xf>
    <xf numFmtId="168" fontId="5" fillId="0" borderId="6" xfId="0" applyNumberFormat="1" applyFont="1" applyBorder="1" applyAlignment="1">
      <alignment horizontal="center"/>
    </xf>
    <xf numFmtId="170" fontId="5" fillId="0" borderId="6" xfId="0" applyNumberFormat="1" applyFont="1" applyBorder="1" applyAlignment="1">
      <alignment horizontal="center"/>
    </xf>
    <xf numFmtId="0" fontId="19" fillId="4" borderId="1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 applyAlignment="1"/>
    <xf numFmtId="0" fontId="0" fillId="0" borderId="0" xfId="0" applyFont="1" applyAlignment="1"/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Обычный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102;&#1083;&#1100;%20202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юль 2026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2596"/>
  <sheetViews>
    <sheetView tabSelected="1" workbookViewId="0">
      <pane xSplit="1" ySplit="1" topLeftCell="B583" activePane="bottomRight" state="frozen"/>
      <selection pane="topRight" activeCell="B1" sqref="B1"/>
      <selection pane="bottomLeft" activeCell="A2" sqref="A2"/>
      <selection pane="bottomRight" activeCell="U2384" sqref="U2384"/>
    </sheetView>
  </sheetViews>
  <sheetFormatPr defaultColWidth="12.5703125" defaultRowHeight="15.75" customHeight="1"/>
  <cols>
    <col min="1" max="1" width="11.42578125" customWidth="1"/>
    <col min="2" max="2" width="13" customWidth="1"/>
    <col min="5" max="5" width="29.42578125" customWidth="1"/>
  </cols>
  <sheetData>
    <row r="1" spans="1:27">
      <c r="A1" s="1" t="s">
        <v>2156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2500</v>
      </c>
      <c r="I1" s="3" t="s">
        <v>6</v>
      </c>
      <c r="J1" s="3" t="s">
        <v>7</v>
      </c>
      <c r="K1" s="5" t="s">
        <v>8</v>
      </c>
      <c r="L1" s="6" t="s">
        <v>2073</v>
      </c>
      <c r="M1" s="7" t="s">
        <v>9</v>
      </c>
      <c r="N1" s="8" t="s">
        <v>10</v>
      </c>
      <c r="O1" s="8" t="s">
        <v>11</v>
      </c>
      <c r="P1" s="7" t="s">
        <v>12</v>
      </c>
      <c r="R1" s="8" t="s">
        <v>13</v>
      </c>
      <c r="S1" s="9"/>
      <c r="T1" s="9"/>
      <c r="U1" s="9"/>
      <c r="V1" s="9"/>
      <c r="W1" s="9"/>
      <c r="X1" s="9"/>
      <c r="Y1" s="9"/>
      <c r="Z1" s="9"/>
      <c r="AA1" s="9"/>
    </row>
    <row r="2" spans="1:27">
      <c r="A2" s="59">
        <v>45537</v>
      </c>
      <c r="B2" s="59">
        <v>45538</v>
      </c>
      <c r="C2" s="158">
        <f>VLOOKUP(B:B,'Курс валют'!A:D,4,0)</f>
        <v>99.261300000000006</v>
      </c>
      <c r="D2" s="159">
        <v>632</v>
      </c>
      <c r="E2" s="160" t="s">
        <v>53</v>
      </c>
      <c r="F2" s="159">
        <v>3200</v>
      </c>
      <c r="G2" s="159">
        <v>3208.4</v>
      </c>
      <c r="H2" s="161">
        <v>0</v>
      </c>
      <c r="I2" s="162">
        <f t="shared" ref="I2:I73" si="0">G2-F2</f>
        <v>8.4000000000000909</v>
      </c>
      <c r="J2" s="163">
        <f t="shared" ref="J2:J73" si="1">I2/F2*100</f>
        <v>0.26250000000000284</v>
      </c>
      <c r="K2" s="164">
        <v>3.43</v>
      </c>
      <c r="L2" s="165">
        <f t="shared" ref="L2:L73" si="2">H2/F2*100</f>
        <v>0</v>
      </c>
      <c r="M2" s="166">
        <f t="shared" ref="M2:M73" si="3">P2/F2</f>
        <v>340.46625899999998</v>
      </c>
      <c r="N2" s="167">
        <f t="shared" ref="N2:N73" si="4">(F2*K2-H2*3.04)/F2</f>
        <v>3.43</v>
      </c>
      <c r="O2" s="167">
        <f t="shared" ref="O2:O73" si="5">N2*F2</f>
        <v>10976</v>
      </c>
      <c r="P2" s="168">
        <f t="shared" ref="P2:P73" si="6">O2*C2</f>
        <v>1089492.0288</v>
      </c>
      <c r="R2" s="152"/>
    </row>
    <row r="3" spans="1:27">
      <c r="A3" s="169">
        <v>45538</v>
      </c>
      <c r="B3" s="59">
        <v>45538</v>
      </c>
      <c r="C3" s="158">
        <f>VLOOKUP(B:B,'Курс валют'!A:D,4,0)</f>
        <v>99.261300000000006</v>
      </c>
      <c r="D3" s="162">
        <v>631</v>
      </c>
      <c r="E3" s="170" t="s">
        <v>60</v>
      </c>
      <c r="F3" s="162">
        <v>900</v>
      </c>
      <c r="G3" s="162">
        <v>927</v>
      </c>
      <c r="H3" s="161">
        <v>368</v>
      </c>
      <c r="I3" s="162">
        <f t="shared" si="0"/>
        <v>27</v>
      </c>
      <c r="J3" s="163">
        <f t="shared" si="1"/>
        <v>3</v>
      </c>
      <c r="K3" s="161">
        <v>3.24</v>
      </c>
      <c r="L3" s="165">
        <f t="shared" si="2"/>
        <v>40.888888888888893</v>
      </c>
      <c r="M3" s="166">
        <f t="shared" si="3"/>
        <v>198.22261029333336</v>
      </c>
      <c r="N3" s="167">
        <f t="shared" si="4"/>
        <v>1.9969777777777777</v>
      </c>
      <c r="O3" s="167">
        <f t="shared" si="5"/>
        <v>1797.28</v>
      </c>
      <c r="P3" s="168">
        <f t="shared" si="6"/>
        <v>178400.34926400002</v>
      </c>
      <c r="R3" s="152"/>
    </row>
    <row r="4" spans="1:27">
      <c r="A4" s="169">
        <v>45538</v>
      </c>
      <c r="B4" s="59">
        <v>45539</v>
      </c>
      <c r="C4" s="158">
        <f>VLOOKUP(B:B,'Курс валют'!A:D,4,0)</f>
        <v>97.812100000000001</v>
      </c>
      <c r="D4" s="162">
        <v>624</v>
      </c>
      <c r="E4" s="170" t="s">
        <v>56</v>
      </c>
      <c r="F4" s="162">
        <v>1000</v>
      </c>
      <c r="G4" s="162">
        <v>1038</v>
      </c>
      <c r="H4" s="161">
        <v>219</v>
      </c>
      <c r="I4" s="162">
        <f t="shared" si="0"/>
        <v>38</v>
      </c>
      <c r="J4" s="163">
        <f t="shared" si="1"/>
        <v>3.8</v>
      </c>
      <c r="K4" s="161">
        <v>3.25</v>
      </c>
      <c r="L4" s="165">
        <f t="shared" si="2"/>
        <v>21.9</v>
      </c>
      <c r="M4" s="166">
        <f t="shared" si="3"/>
        <v>252.76994130399999</v>
      </c>
      <c r="N4" s="167">
        <f t="shared" si="4"/>
        <v>2.5842399999999999</v>
      </c>
      <c r="O4" s="167">
        <f t="shared" si="5"/>
        <v>2584.2399999999998</v>
      </c>
      <c r="P4" s="168">
        <f t="shared" si="6"/>
        <v>252769.94130399998</v>
      </c>
      <c r="R4" s="152"/>
    </row>
    <row r="5" spans="1:27">
      <c r="A5" s="169">
        <v>45538</v>
      </c>
      <c r="B5" s="59">
        <v>45539</v>
      </c>
      <c r="C5" s="158">
        <f>VLOOKUP(B:B,'Курс валют'!A:D,4,0)</f>
        <v>97.812100000000001</v>
      </c>
      <c r="D5" s="162">
        <v>633</v>
      </c>
      <c r="E5" s="170" t="s">
        <v>53</v>
      </c>
      <c r="F5" s="162">
        <v>1600</v>
      </c>
      <c r="G5" s="162">
        <v>1624.2</v>
      </c>
      <c r="H5" s="161">
        <v>0</v>
      </c>
      <c r="I5" s="162">
        <f t="shared" si="0"/>
        <v>24.200000000000045</v>
      </c>
      <c r="J5" s="163">
        <f t="shared" si="1"/>
        <v>1.5125000000000028</v>
      </c>
      <c r="K5" s="161">
        <v>3.41</v>
      </c>
      <c r="L5" s="165">
        <f t="shared" si="2"/>
        <v>0</v>
      </c>
      <c r="M5" s="166">
        <f t="shared" si="3"/>
        <v>333.53926099999995</v>
      </c>
      <c r="N5" s="167">
        <f t="shared" si="4"/>
        <v>3.41</v>
      </c>
      <c r="O5" s="167">
        <f t="shared" si="5"/>
        <v>5456</v>
      </c>
      <c r="P5" s="168">
        <f t="shared" si="6"/>
        <v>533662.81759999995</v>
      </c>
      <c r="R5" s="152"/>
    </row>
    <row r="6" spans="1:27">
      <c r="A6" s="169">
        <v>45538</v>
      </c>
      <c r="B6" s="59">
        <v>45539</v>
      </c>
      <c r="C6" s="158">
        <f>VLOOKUP(B:B,'Курс валют'!A:D,4,0)</f>
        <v>97.812100000000001</v>
      </c>
      <c r="D6" s="162">
        <v>634</v>
      </c>
      <c r="E6" s="170" t="s">
        <v>86</v>
      </c>
      <c r="F6" s="162">
        <v>220</v>
      </c>
      <c r="G6" s="162">
        <v>220</v>
      </c>
      <c r="H6" s="161">
        <v>0</v>
      </c>
      <c r="I6" s="162">
        <f t="shared" si="0"/>
        <v>0</v>
      </c>
      <c r="J6" s="163">
        <f t="shared" si="1"/>
        <v>0</v>
      </c>
      <c r="K6" s="161">
        <v>4.09</v>
      </c>
      <c r="L6" s="165">
        <f t="shared" si="2"/>
        <v>0</v>
      </c>
      <c r="M6" s="166">
        <f t="shared" si="3"/>
        <v>400.051489</v>
      </c>
      <c r="N6" s="167">
        <f t="shared" si="4"/>
        <v>4.09</v>
      </c>
      <c r="O6" s="167">
        <f t="shared" si="5"/>
        <v>899.8</v>
      </c>
      <c r="P6" s="168">
        <f t="shared" si="6"/>
        <v>88011.327579999997</v>
      </c>
      <c r="R6" s="153" t="s">
        <v>1267</v>
      </c>
    </row>
    <row r="7" spans="1:27">
      <c r="A7" s="169">
        <v>45538</v>
      </c>
      <c r="B7" s="59">
        <v>45539</v>
      </c>
      <c r="C7" s="158">
        <f>VLOOKUP(B:B,'Курс валют'!A:D,4,0)</f>
        <v>97.812100000000001</v>
      </c>
      <c r="D7" s="162">
        <v>635</v>
      </c>
      <c r="E7" s="180" t="s">
        <v>87</v>
      </c>
      <c r="F7" s="162">
        <v>198</v>
      </c>
      <c r="G7" s="162">
        <v>200</v>
      </c>
      <c r="H7" s="161">
        <v>0</v>
      </c>
      <c r="I7" s="162">
        <f t="shared" si="0"/>
        <v>2</v>
      </c>
      <c r="J7" s="163">
        <f t="shared" si="1"/>
        <v>1.0101010101010102</v>
      </c>
      <c r="K7" s="161">
        <v>2.2599999999999998</v>
      </c>
      <c r="L7" s="165">
        <f t="shared" si="2"/>
        <v>0</v>
      </c>
      <c r="M7" s="166">
        <f t="shared" si="3"/>
        <v>221.05534599999999</v>
      </c>
      <c r="N7" s="167">
        <f t="shared" si="4"/>
        <v>2.2599999999999998</v>
      </c>
      <c r="O7" s="167">
        <f t="shared" si="5"/>
        <v>447.47999999999996</v>
      </c>
      <c r="P7" s="168">
        <f t="shared" si="6"/>
        <v>43768.958507999996</v>
      </c>
      <c r="R7" s="153" t="s">
        <v>1267</v>
      </c>
    </row>
    <row r="8" spans="1:27">
      <c r="A8" s="169">
        <v>45539</v>
      </c>
      <c r="B8" s="59">
        <v>45540</v>
      </c>
      <c r="C8" s="158">
        <f>VLOOKUP(B:B,'Курс валют'!A:D,4,0)</f>
        <v>98.072500000000005</v>
      </c>
      <c r="D8" s="162">
        <v>636</v>
      </c>
      <c r="E8" s="180" t="s">
        <v>60</v>
      </c>
      <c r="F8" s="162">
        <v>900</v>
      </c>
      <c r="G8" s="162">
        <v>935.5</v>
      </c>
      <c r="H8" s="161">
        <v>365</v>
      </c>
      <c r="I8" s="162">
        <f t="shared" si="0"/>
        <v>35.5</v>
      </c>
      <c r="J8" s="163">
        <f t="shared" si="1"/>
        <v>3.9444444444444442</v>
      </c>
      <c r="K8" s="161">
        <v>3.27</v>
      </c>
      <c r="L8" s="165">
        <f t="shared" si="2"/>
        <v>40.555555555555557</v>
      </c>
      <c r="M8" s="166">
        <f t="shared" si="3"/>
        <v>199.78457944444446</v>
      </c>
      <c r="N8" s="167">
        <f t="shared" si="4"/>
        <v>2.0371111111111113</v>
      </c>
      <c r="O8" s="167">
        <f t="shared" si="5"/>
        <v>1833.4</v>
      </c>
      <c r="P8" s="168">
        <f t="shared" si="6"/>
        <v>179806.12150000001</v>
      </c>
      <c r="R8" s="152"/>
      <c r="T8" s="33"/>
    </row>
    <row r="9" spans="1:27">
      <c r="A9" s="169">
        <v>45539</v>
      </c>
      <c r="B9" s="59">
        <v>45540</v>
      </c>
      <c r="C9" s="158">
        <f>VLOOKUP(B:B,'Курс валют'!A:D,4,0)</f>
        <v>98.072500000000005</v>
      </c>
      <c r="D9" s="162">
        <v>637</v>
      </c>
      <c r="E9" s="180" t="s">
        <v>15</v>
      </c>
      <c r="F9" s="162">
        <v>6600</v>
      </c>
      <c r="G9" s="162">
        <v>6616</v>
      </c>
      <c r="H9" s="161">
        <v>3025</v>
      </c>
      <c r="I9" s="162">
        <f t="shared" si="0"/>
        <v>16</v>
      </c>
      <c r="J9" s="163">
        <f t="shared" si="1"/>
        <v>0.24242424242424243</v>
      </c>
      <c r="K9" s="161">
        <v>3.87</v>
      </c>
      <c r="L9" s="165">
        <f t="shared" si="2"/>
        <v>45.833333333333329</v>
      </c>
      <c r="M9" s="166">
        <f t="shared" si="3"/>
        <v>242.89289166666669</v>
      </c>
      <c r="N9" s="167">
        <f t="shared" si="4"/>
        <v>2.4766666666666666</v>
      </c>
      <c r="O9" s="167">
        <f t="shared" si="5"/>
        <v>16346</v>
      </c>
      <c r="P9" s="168">
        <f t="shared" si="6"/>
        <v>1603093.0850000002</v>
      </c>
      <c r="R9" s="152"/>
    </row>
    <row r="10" spans="1:27">
      <c r="A10" s="169">
        <v>45539</v>
      </c>
      <c r="B10" s="59">
        <v>45540</v>
      </c>
      <c r="C10" s="158">
        <f>VLOOKUP(B:B,'Курс валют'!A:D,4,0)</f>
        <v>98.072500000000005</v>
      </c>
      <c r="D10" s="162">
        <v>638</v>
      </c>
      <c r="E10" s="180" t="s">
        <v>60</v>
      </c>
      <c r="F10" s="162">
        <v>900</v>
      </c>
      <c r="G10" s="162">
        <v>935</v>
      </c>
      <c r="H10" s="161">
        <v>365</v>
      </c>
      <c r="I10" s="162">
        <f t="shared" si="0"/>
        <v>35</v>
      </c>
      <c r="J10" s="163">
        <f t="shared" si="1"/>
        <v>3.8888888888888888</v>
      </c>
      <c r="K10" s="161">
        <v>3.27</v>
      </c>
      <c r="L10" s="165">
        <f t="shared" si="2"/>
        <v>40.555555555555557</v>
      </c>
      <c r="M10" s="166">
        <f t="shared" si="3"/>
        <v>199.78457944444446</v>
      </c>
      <c r="N10" s="167">
        <f t="shared" si="4"/>
        <v>2.0371111111111113</v>
      </c>
      <c r="O10" s="167">
        <f t="shared" si="5"/>
        <v>1833.4</v>
      </c>
      <c r="P10" s="168">
        <f t="shared" si="6"/>
        <v>179806.12150000001</v>
      </c>
      <c r="R10" s="152"/>
    </row>
    <row r="11" spans="1:27">
      <c r="A11" s="169">
        <v>45540</v>
      </c>
      <c r="B11" s="59">
        <v>45540</v>
      </c>
      <c r="C11" s="158">
        <f>VLOOKUP(B:B,'Курс валют'!A:D,4,0)</f>
        <v>98.072500000000005</v>
      </c>
      <c r="D11" s="162">
        <v>640</v>
      </c>
      <c r="E11" s="180" t="s">
        <v>89</v>
      </c>
      <c r="F11" s="162">
        <v>120</v>
      </c>
      <c r="G11" s="162">
        <v>120</v>
      </c>
      <c r="H11" s="161">
        <v>0</v>
      </c>
      <c r="I11" s="162">
        <f t="shared" si="0"/>
        <v>0</v>
      </c>
      <c r="J11" s="163">
        <f t="shared" si="1"/>
        <v>0</v>
      </c>
      <c r="K11" s="161">
        <v>2.91</v>
      </c>
      <c r="L11" s="165">
        <f t="shared" si="2"/>
        <v>0</v>
      </c>
      <c r="M11" s="166">
        <f t="shared" si="3"/>
        <v>285.39097500000008</v>
      </c>
      <c r="N11" s="167">
        <f t="shared" si="4"/>
        <v>2.9100000000000006</v>
      </c>
      <c r="O11" s="167">
        <f t="shared" si="5"/>
        <v>349.20000000000005</v>
      </c>
      <c r="P11" s="168">
        <f t="shared" si="6"/>
        <v>34246.917000000009</v>
      </c>
      <c r="R11" s="153" t="s">
        <v>1267</v>
      </c>
      <c r="T11" s="33"/>
    </row>
    <row r="12" spans="1:27">
      <c r="A12" s="169">
        <v>45541</v>
      </c>
      <c r="B12" s="59">
        <v>45544</v>
      </c>
      <c r="C12" s="158">
        <f>VLOOKUP(B:B,'Курс валют'!A:D,4,0)</f>
        <v>99.715599999999995</v>
      </c>
      <c r="D12" s="162">
        <v>641</v>
      </c>
      <c r="E12" s="180" t="s">
        <v>60</v>
      </c>
      <c r="F12" s="162">
        <v>900</v>
      </c>
      <c r="G12" s="162">
        <v>931.28</v>
      </c>
      <c r="H12" s="161">
        <v>365</v>
      </c>
      <c r="I12" s="162">
        <f t="shared" si="0"/>
        <v>31.279999999999973</v>
      </c>
      <c r="J12" s="163">
        <f t="shared" si="1"/>
        <v>3.4755555555555526</v>
      </c>
      <c r="K12" s="161">
        <v>3.26</v>
      </c>
      <c r="L12" s="165">
        <f t="shared" si="2"/>
        <v>40.555555555555557</v>
      </c>
      <c r="M12" s="166">
        <f t="shared" si="3"/>
        <v>202.13460071111112</v>
      </c>
      <c r="N12" s="167">
        <f t="shared" si="4"/>
        <v>2.0271111111111111</v>
      </c>
      <c r="O12" s="167">
        <f t="shared" si="5"/>
        <v>1824.4</v>
      </c>
      <c r="P12" s="168">
        <f t="shared" si="6"/>
        <v>181921.14064</v>
      </c>
      <c r="R12" s="152"/>
    </row>
    <row r="13" spans="1:27">
      <c r="A13" s="169">
        <v>45541</v>
      </c>
      <c r="B13" s="59">
        <v>45544</v>
      </c>
      <c r="C13" s="158">
        <f>VLOOKUP(B:B,'Курс валют'!A:D,4,0)</f>
        <v>99.715599999999995</v>
      </c>
      <c r="D13" s="162">
        <v>642</v>
      </c>
      <c r="E13" s="170" t="s">
        <v>50</v>
      </c>
      <c r="F13" s="162">
        <v>8000</v>
      </c>
      <c r="G13" s="162">
        <v>8010.5</v>
      </c>
      <c r="H13" s="161">
        <v>0</v>
      </c>
      <c r="I13" s="162">
        <f t="shared" si="0"/>
        <v>10.5</v>
      </c>
      <c r="J13" s="163">
        <f t="shared" si="1"/>
        <v>0.13125000000000001</v>
      </c>
      <c r="K13" s="161">
        <v>1.95</v>
      </c>
      <c r="L13" s="165">
        <f t="shared" si="2"/>
        <v>0</v>
      </c>
      <c r="M13" s="166">
        <f t="shared" si="3"/>
        <v>194.44541999999998</v>
      </c>
      <c r="N13" s="167">
        <f t="shared" si="4"/>
        <v>1.95</v>
      </c>
      <c r="O13" s="167">
        <f t="shared" si="5"/>
        <v>15600</v>
      </c>
      <c r="P13" s="168">
        <f t="shared" si="6"/>
        <v>1555563.3599999999</v>
      </c>
      <c r="R13" s="155"/>
    </row>
    <row r="14" spans="1:27">
      <c r="A14" s="169">
        <v>45541</v>
      </c>
      <c r="B14" s="59">
        <v>45544</v>
      </c>
      <c r="C14" s="158">
        <f>VLOOKUP(B:B,'Курс валют'!A:D,4,0)</f>
        <v>99.715599999999995</v>
      </c>
      <c r="D14" s="162">
        <v>643</v>
      </c>
      <c r="E14" s="170" t="s">
        <v>60</v>
      </c>
      <c r="F14" s="162">
        <v>900</v>
      </c>
      <c r="G14" s="162">
        <v>935.72</v>
      </c>
      <c r="H14" s="161">
        <v>365</v>
      </c>
      <c r="I14" s="162">
        <f t="shared" si="0"/>
        <v>35.720000000000027</v>
      </c>
      <c r="J14" s="163">
        <f t="shared" si="1"/>
        <v>3.968888888888892</v>
      </c>
      <c r="K14" s="161">
        <v>3.26</v>
      </c>
      <c r="L14" s="165">
        <f t="shared" si="2"/>
        <v>40.555555555555557</v>
      </c>
      <c r="M14" s="166">
        <f t="shared" si="3"/>
        <v>202.13460071111112</v>
      </c>
      <c r="N14" s="167">
        <f t="shared" si="4"/>
        <v>2.0271111111111111</v>
      </c>
      <c r="O14" s="167">
        <f t="shared" si="5"/>
        <v>1824.4</v>
      </c>
      <c r="P14" s="168">
        <f t="shared" si="6"/>
        <v>181921.14064</v>
      </c>
      <c r="R14" s="152"/>
    </row>
    <row r="15" spans="1:27">
      <c r="A15" s="169">
        <v>45541</v>
      </c>
      <c r="B15" s="59">
        <v>45544</v>
      </c>
      <c r="C15" s="158">
        <f>VLOOKUP(B:B,'Курс валют'!A:D,4,0)</f>
        <v>99.715599999999995</v>
      </c>
      <c r="D15" s="162">
        <v>644</v>
      </c>
      <c r="E15" s="170" t="s">
        <v>72</v>
      </c>
      <c r="F15" s="162">
        <v>200</v>
      </c>
      <c r="G15" s="162">
        <v>208</v>
      </c>
      <c r="H15" s="161">
        <v>0</v>
      </c>
      <c r="I15" s="162">
        <f t="shared" si="0"/>
        <v>8</v>
      </c>
      <c r="J15" s="163">
        <f t="shared" si="1"/>
        <v>4</v>
      </c>
      <c r="K15" s="161">
        <v>3.46</v>
      </c>
      <c r="L15" s="165">
        <f t="shared" si="2"/>
        <v>0</v>
      </c>
      <c r="M15" s="166">
        <f t="shared" si="3"/>
        <v>345.01597600000002</v>
      </c>
      <c r="N15" s="167">
        <f t="shared" si="4"/>
        <v>3.46</v>
      </c>
      <c r="O15" s="167">
        <f t="shared" si="5"/>
        <v>692</v>
      </c>
      <c r="P15" s="168">
        <f t="shared" si="6"/>
        <v>69003.195200000002</v>
      </c>
      <c r="R15" s="155"/>
    </row>
    <row r="16" spans="1:27">
      <c r="A16" s="169">
        <v>45541</v>
      </c>
      <c r="B16" s="59">
        <v>45544</v>
      </c>
      <c r="C16" s="158">
        <f>VLOOKUP(B:B,'Курс валют'!A:D,4,0)</f>
        <v>99.715599999999995</v>
      </c>
      <c r="D16" s="162">
        <v>645</v>
      </c>
      <c r="E16" s="170" t="s">
        <v>50</v>
      </c>
      <c r="F16" s="162">
        <v>8000</v>
      </c>
      <c r="G16" s="162">
        <v>8010.5</v>
      </c>
      <c r="H16" s="161">
        <v>0</v>
      </c>
      <c r="I16" s="162">
        <f t="shared" si="0"/>
        <v>10.5</v>
      </c>
      <c r="J16" s="163">
        <f t="shared" si="1"/>
        <v>0.13125000000000001</v>
      </c>
      <c r="K16" s="161">
        <v>1.95</v>
      </c>
      <c r="L16" s="165">
        <f t="shared" si="2"/>
        <v>0</v>
      </c>
      <c r="M16" s="166">
        <f t="shared" si="3"/>
        <v>194.44541999999998</v>
      </c>
      <c r="N16" s="167">
        <f t="shared" si="4"/>
        <v>1.95</v>
      </c>
      <c r="O16" s="167">
        <f t="shared" si="5"/>
        <v>15600</v>
      </c>
      <c r="P16" s="168">
        <f t="shared" si="6"/>
        <v>1555563.3599999999</v>
      </c>
      <c r="R16" s="155"/>
    </row>
    <row r="17" spans="1:27">
      <c r="A17" s="169">
        <v>45541</v>
      </c>
      <c r="B17" s="59">
        <v>45544</v>
      </c>
      <c r="C17" s="158">
        <f>VLOOKUP(B:B,'Курс валют'!A:D,4,0)</f>
        <v>99.715599999999995</v>
      </c>
      <c r="D17" s="162">
        <v>646</v>
      </c>
      <c r="E17" s="170" t="s">
        <v>50</v>
      </c>
      <c r="F17" s="162">
        <v>8000</v>
      </c>
      <c r="G17" s="162">
        <v>8020.5</v>
      </c>
      <c r="H17" s="161">
        <v>0</v>
      </c>
      <c r="I17" s="162">
        <f t="shared" si="0"/>
        <v>20.5</v>
      </c>
      <c r="J17" s="163">
        <f t="shared" si="1"/>
        <v>0.25625000000000003</v>
      </c>
      <c r="K17" s="161">
        <v>1.95</v>
      </c>
      <c r="L17" s="165">
        <f t="shared" si="2"/>
        <v>0</v>
      </c>
      <c r="M17" s="166">
        <f t="shared" si="3"/>
        <v>194.44541999999998</v>
      </c>
      <c r="N17" s="167">
        <f t="shared" si="4"/>
        <v>1.95</v>
      </c>
      <c r="O17" s="167">
        <f t="shared" si="5"/>
        <v>15600</v>
      </c>
      <c r="P17" s="168">
        <f t="shared" si="6"/>
        <v>1555563.3599999999</v>
      </c>
      <c r="R17" s="152"/>
    </row>
    <row r="18" spans="1:27">
      <c r="A18" s="169">
        <v>45542</v>
      </c>
      <c r="B18" s="59">
        <v>45545</v>
      </c>
      <c r="C18" s="158">
        <f>VLOOKUP(B:B,'Курс валют'!A:D,4,0)</f>
        <v>99.906700000000001</v>
      </c>
      <c r="D18" s="162">
        <v>647</v>
      </c>
      <c r="E18" s="170" t="s">
        <v>2517</v>
      </c>
      <c r="F18" s="162">
        <v>1100</v>
      </c>
      <c r="G18" s="162">
        <v>1137</v>
      </c>
      <c r="H18" s="181">
        <v>577</v>
      </c>
      <c r="I18" s="162">
        <f t="shared" si="0"/>
        <v>37</v>
      </c>
      <c r="J18" s="163">
        <f t="shared" si="1"/>
        <v>3.3636363636363638</v>
      </c>
      <c r="K18" s="161">
        <v>4.05</v>
      </c>
      <c r="L18" s="165">
        <f t="shared" si="2"/>
        <v>52.454545454545453</v>
      </c>
      <c r="M18" s="166">
        <f t="shared" si="3"/>
        <v>245.30909469454545</v>
      </c>
      <c r="N18" s="167">
        <f t="shared" si="4"/>
        <v>2.4553818181818183</v>
      </c>
      <c r="O18" s="167">
        <f t="shared" si="5"/>
        <v>2700.92</v>
      </c>
      <c r="P18" s="168">
        <f t="shared" si="6"/>
        <v>269840.00416399998</v>
      </c>
      <c r="R18" s="155"/>
    </row>
    <row r="19" spans="1:27">
      <c r="A19" s="169">
        <v>45542</v>
      </c>
      <c r="B19" s="59">
        <v>45545</v>
      </c>
      <c r="C19" s="158">
        <f>VLOOKUP(B:B,'Курс валют'!A:D,4,0)</f>
        <v>99.906700000000001</v>
      </c>
      <c r="D19" s="162">
        <v>648</v>
      </c>
      <c r="E19" s="180" t="s">
        <v>58</v>
      </c>
      <c r="F19" s="162">
        <v>6600</v>
      </c>
      <c r="G19" s="162">
        <v>6620</v>
      </c>
      <c r="H19" s="161">
        <v>2750</v>
      </c>
      <c r="I19" s="162">
        <f t="shared" si="0"/>
        <v>20</v>
      </c>
      <c r="J19" s="163">
        <f t="shared" si="1"/>
        <v>0.30303030303030304</v>
      </c>
      <c r="K19" s="161">
        <v>3.86</v>
      </c>
      <c r="L19" s="165">
        <f t="shared" si="2"/>
        <v>41.666666666666671</v>
      </c>
      <c r="M19" s="166">
        <f t="shared" si="3"/>
        <v>259.0913753333333</v>
      </c>
      <c r="N19" s="167">
        <f t="shared" si="4"/>
        <v>2.5933333333333333</v>
      </c>
      <c r="O19" s="167">
        <f t="shared" si="5"/>
        <v>17116</v>
      </c>
      <c r="P19" s="168">
        <f t="shared" si="6"/>
        <v>1710003.0771999999</v>
      </c>
      <c r="R19" s="155"/>
    </row>
    <row r="20" spans="1:27">
      <c r="A20" s="137">
        <v>45542</v>
      </c>
      <c r="B20" s="67">
        <v>45545</v>
      </c>
      <c r="C20" s="200">
        <f>VLOOKUP(B:B,'Курс валют'!A:D,4,0)</f>
        <v>99.906700000000001</v>
      </c>
      <c r="D20" s="47">
        <v>649</v>
      </c>
      <c r="E20" s="201" t="s">
        <v>99</v>
      </c>
      <c r="F20" s="47">
        <v>186</v>
      </c>
      <c r="G20" s="47">
        <v>200</v>
      </c>
      <c r="H20" s="140">
        <v>0</v>
      </c>
      <c r="I20" s="47">
        <f t="shared" si="0"/>
        <v>14</v>
      </c>
      <c r="J20" s="127">
        <f t="shared" si="1"/>
        <v>7.5268817204301079</v>
      </c>
      <c r="K20" s="140">
        <v>3.94</v>
      </c>
      <c r="L20" s="141">
        <f t="shared" si="2"/>
        <v>0</v>
      </c>
      <c r="M20" s="142">
        <f t="shared" si="3"/>
        <v>393.63239799999997</v>
      </c>
      <c r="N20" s="143">
        <f t="shared" si="4"/>
        <v>3.9400000000000004</v>
      </c>
      <c r="O20" s="143">
        <f t="shared" si="5"/>
        <v>732.84</v>
      </c>
      <c r="P20" s="144">
        <f t="shared" si="6"/>
        <v>73215.626027999999</v>
      </c>
      <c r="R20" s="147" t="s">
        <v>1267</v>
      </c>
      <c r="S20" s="146"/>
      <c r="T20" s="146"/>
      <c r="U20" s="146"/>
      <c r="V20" s="146"/>
      <c r="W20" s="146"/>
      <c r="X20" s="146"/>
      <c r="Y20" s="146"/>
      <c r="Z20" s="146"/>
      <c r="AA20" s="146"/>
    </row>
    <row r="21" spans="1:27">
      <c r="A21" s="169">
        <v>45545</v>
      </c>
      <c r="B21" s="59">
        <v>45545</v>
      </c>
      <c r="C21" s="158">
        <f>VLOOKUP(B:B,'Курс валют'!A:D,4,0)</f>
        <v>99.906700000000001</v>
      </c>
      <c r="D21" s="162">
        <v>650</v>
      </c>
      <c r="E21" s="180" t="s">
        <v>58</v>
      </c>
      <c r="F21" s="162">
        <v>6600</v>
      </c>
      <c r="G21" s="162">
        <v>6620</v>
      </c>
      <c r="H21" s="161">
        <v>2750</v>
      </c>
      <c r="I21" s="162">
        <f t="shared" si="0"/>
        <v>20</v>
      </c>
      <c r="J21" s="163">
        <f t="shared" si="1"/>
        <v>0.30303030303030304</v>
      </c>
      <c r="K21" s="161">
        <v>3.86</v>
      </c>
      <c r="L21" s="165">
        <f t="shared" si="2"/>
        <v>41.666666666666671</v>
      </c>
      <c r="M21" s="166">
        <f t="shared" si="3"/>
        <v>259.0913753333333</v>
      </c>
      <c r="N21" s="167">
        <f t="shared" si="4"/>
        <v>2.5933333333333333</v>
      </c>
      <c r="O21" s="167">
        <f t="shared" si="5"/>
        <v>17116</v>
      </c>
      <c r="P21" s="168">
        <f t="shared" si="6"/>
        <v>1710003.0771999999</v>
      </c>
      <c r="R21" s="155"/>
    </row>
    <row r="22" spans="1:27">
      <c r="A22" s="169">
        <v>45545</v>
      </c>
      <c r="B22" s="59">
        <v>45545</v>
      </c>
      <c r="C22" s="158">
        <f>VLOOKUP(B:B,'Курс валют'!A:D,4,0)</f>
        <v>99.906700000000001</v>
      </c>
      <c r="D22" s="162">
        <v>651</v>
      </c>
      <c r="E22" s="180" t="s">
        <v>89</v>
      </c>
      <c r="F22" s="162">
        <v>200</v>
      </c>
      <c r="G22" s="162">
        <v>200</v>
      </c>
      <c r="H22" s="161">
        <v>0</v>
      </c>
      <c r="I22" s="162">
        <f t="shared" si="0"/>
        <v>0</v>
      </c>
      <c r="J22" s="163">
        <f t="shared" si="1"/>
        <v>0</v>
      </c>
      <c r="K22" s="161">
        <v>2.79</v>
      </c>
      <c r="L22" s="165">
        <f t="shared" si="2"/>
        <v>0</v>
      </c>
      <c r="M22" s="166">
        <f t="shared" si="3"/>
        <v>278.73969299999999</v>
      </c>
      <c r="N22" s="167">
        <f t="shared" si="4"/>
        <v>2.79</v>
      </c>
      <c r="O22" s="167">
        <f t="shared" si="5"/>
        <v>558</v>
      </c>
      <c r="P22" s="168">
        <f t="shared" si="6"/>
        <v>55747.938600000001</v>
      </c>
      <c r="R22" s="153" t="s">
        <v>1267</v>
      </c>
    </row>
    <row r="23" spans="1:27">
      <c r="A23" s="169">
        <v>45546</v>
      </c>
      <c r="B23" s="59">
        <v>45546</v>
      </c>
      <c r="C23" s="158">
        <f>VLOOKUP(B:B,'Курс валют'!A:D,4,0)</f>
        <v>100.4995</v>
      </c>
      <c r="D23" s="162">
        <v>653</v>
      </c>
      <c r="E23" s="170" t="s">
        <v>56</v>
      </c>
      <c r="F23" s="162">
        <v>1000</v>
      </c>
      <c r="G23" s="162">
        <v>1041</v>
      </c>
      <c r="H23" s="161">
        <v>220</v>
      </c>
      <c r="I23" s="162">
        <f t="shared" si="0"/>
        <v>41</v>
      </c>
      <c r="J23" s="163">
        <f t="shared" si="1"/>
        <v>4.1000000000000005</v>
      </c>
      <c r="K23" s="161">
        <v>3.3</v>
      </c>
      <c r="L23" s="165">
        <f t="shared" si="2"/>
        <v>22</v>
      </c>
      <c r="M23" s="166">
        <f t="shared" si="3"/>
        <v>264.43428440000002</v>
      </c>
      <c r="N23" s="167">
        <f t="shared" si="4"/>
        <v>2.6311999999999998</v>
      </c>
      <c r="O23" s="167">
        <f t="shared" si="5"/>
        <v>2631.2</v>
      </c>
      <c r="P23" s="168">
        <f t="shared" si="6"/>
        <v>264434.2844</v>
      </c>
      <c r="R23" s="152"/>
    </row>
    <row r="24" spans="1:27">
      <c r="A24" s="169">
        <v>45546</v>
      </c>
      <c r="B24" s="59">
        <v>45547</v>
      </c>
      <c r="C24" s="158">
        <f>VLOOKUP(B:B,'Курс валют'!A:D,4,0)</f>
        <v>100.74209999999999</v>
      </c>
      <c r="D24" s="162">
        <v>654</v>
      </c>
      <c r="E24" s="170" t="s">
        <v>56</v>
      </c>
      <c r="F24" s="162">
        <v>1000</v>
      </c>
      <c r="G24" s="162">
        <v>1030</v>
      </c>
      <c r="H24" s="161">
        <v>215</v>
      </c>
      <c r="I24" s="162">
        <f t="shared" si="0"/>
        <v>30</v>
      </c>
      <c r="J24" s="163">
        <f t="shared" si="1"/>
        <v>3</v>
      </c>
      <c r="K24" s="161">
        <v>3.28</v>
      </c>
      <c r="L24" s="165">
        <f t="shared" si="2"/>
        <v>21.5</v>
      </c>
      <c r="M24" s="166">
        <f t="shared" si="3"/>
        <v>264.58905143999999</v>
      </c>
      <c r="N24" s="167">
        <f t="shared" si="4"/>
        <v>2.6264000000000003</v>
      </c>
      <c r="O24" s="167">
        <f t="shared" si="5"/>
        <v>2626.4</v>
      </c>
      <c r="P24" s="168">
        <f t="shared" si="6"/>
        <v>264589.05144000001</v>
      </c>
      <c r="R24" s="155"/>
    </row>
    <row r="25" spans="1:27">
      <c r="A25" s="169">
        <v>45546</v>
      </c>
      <c r="B25" s="59">
        <v>45545</v>
      </c>
      <c r="C25" s="158">
        <f>VLOOKUP(B:B,'Курс валют'!A:D,4,0)</f>
        <v>99.906700000000001</v>
      </c>
      <c r="D25" s="162">
        <v>655</v>
      </c>
      <c r="E25" s="170" t="s">
        <v>89</v>
      </c>
      <c r="F25" s="162">
        <v>200</v>
      </c>
      <c r="G25" s="162">
        <v>200</v>
      </c>
      <c r="H25" s="161">
        <v>0</v>
      </c>
      <c r="I25" s="162">
        <f t="shared" si="0"/>
        <v>0</v>
      </c>
      <c r="J25" s="163">
        <f t="shared" si="1"/>
        <v>0</v>
      </c>
      <c r="K25" s="161">
        <v>2.79</v>
      </c>
      <c r="L25" s="165">
        <f t="shared" si="2"/>
        <v>0</v>
      </c>
      <c r="M25" s="166">
        <f t="shared" si="3"/>
        <v>278.73969299999999</v>
      </c>
      <c r="N25" s="167">
        <f t="shared" si="4"/>
        <v>2.79</v>
      </c>
      <c r="O25" s="167">
        <f t="shared" si="5"/>
        <v>558</v>
      </c>
      <c r="P25" s="168">
        <f t="shared" si="6"/>
        <v>55747.938600000001</v>
      </c>
      <c r="R25" s="153" t="s">
        <v>1267</v>
      </c>
    </row>
    <row r="26" spans="1:27">
      <c r="A26" s="137">
        <v>45547</v>
      </c>
      <c r="B26" s="67">
        <v>45547</v>
      </c>
      <c r="C26" s="200">
        <f>VLOOKUP(B:B,'Курс валют'!A:D,4,0)</f>
        <v>100.74209999999999</v>
      </c>
      <c r="D26" s="47">
        <v>656</v>
      </c>
      <c r="E26" s="201" t="s">
        <v>15</v>
      </c>
      <c r="F26" s="202">
        <v>6600</v>
      </c>
      <c r="G26" s="202">
        <v>6630</v>
      </c>
      <c r="H26" s="203">
        <v>3030</v>
      </c>
      <c r="I26" s="47">
        <f t="shared" si="0"/>
        <v>30</v>
      </c>
      <c r="J26" s="127">
        <f t="shared" si="1"/>
        <v>0.45454545454545453</v>
      </c>
      <c r="K26" s="203">
        <v>4.24</v>
      </c>
      <c r="L26" s="141">
        <f t="shared" si="2"/>
        <v>45.909090909090914</v>
      </c>
      <c r="M26" s="142">
        <f t="shared" si="3"/>
        <v>286.54716589090907</v>
      </c>
      <c r="N26" s="143">
        <f t="shared" si="4"/>
        <v>2.8443636363636364</v>
      </c>
      <c r="O26" s="143">
        <f t="shared" si="5"/>
        <v>18772.8</v>
      </c>
      <c r="P26" s="144">
        <f t="shared" si="6"/>
        <v>1891211.2948799997</v>
      </c>
      <c r="R26" s="145"/>
      <c r="S26" s="146"/>
      <c r="T26" s="146"/>
      <c r="U26" s="146"/>
      <c r="V26" s="146"/>
      <c r="W26" s="146"/>
      <c r="X26" s="146"/>
      <c r="Y26" s="146"/>
      <c r="Z26" s="146"/>
      <c r="AA26" s="146"/>
    </row>
    <row r="27" spans="1:27">
      <c r="A27" s="137">
        <v>45540</v>
      </c>
      <c r="B27" s="67">
        <v>45541</v>
      </c>
      <c r="C27" s="200">
        <f>VLOOKUP(B:B,'Курс валют'!A:D,4,0)</f>
        <v>99.192700000000002</v>
      </c>
      <c r="D27" s="47">
        <v>639</v>
      </c>
      <c r="E27" s="201" t="s">
        <v>15</v>
      </c>
      <c r="F27" s="47">
        <v>6600</v>
      </c>
      <c r="G27" s="47">
        <v>6615</v>
      </c>
      <c r="H27" s="140">
        <v>3015</v>
      </c>
      <c r="I27" s="47">
        <f t="shared" si="0"/>
        <v>15</v>
      </c>
      <c r="J27" s="127">
        <f t="shared" si="1"/>
        <v>0.22727272727272727</v>
      </c>
      <c r="K27" s="140">
        <v>4.22</v>
      </c>
      <c r="L27" s="141">
        <f t="shared" si="2"/>
        <v>45.681818181818187</v>
      </c>
      <c r="M27" s="142">
        <f t="shared" si="3"/>
        <v>280.84158625454546</v>
      </c>
      <c r="N27" s="143">
        <f t="shared" si="4"/>
        <v>2.8312727272727276</v>
      </c>
      <c r="O27" s="143">
        <f t="shared" si="5"/>
        <v>18686.400000000001</v>
      </c>
      <c r="P27" s="144">
        <f t="shared" si="6"/>
        <v>1853554.4692800001</v>
      </c>
      <c r="R27" s="204"/>
      <c r="S27" s="146"/>
      <c r="T27" s="146"/>
      <c r="U27" s="146"/>
      <c r="V27" s="146"/>
      <c r="W27" s="146"/>
      <c r="X27" s="146"/>
      <c r="Y27" s="146"/>
      <c r="Z27" s="146"/>
      <c r="AA27" s="146"/>
    </row>
    <row r="28" spans="1:27">
      <c r="A28" s="137">
        <v>45546</v>
      </c>
      <c r="B28" s="67">
        <v>45546</v>
      </c>
      <c r="C28" s="200">
        <f>VLOOKUP(B:B,'Курс валют'!A:D,4,0)</f>
        <v>100.4995</v>
      </c>
      <c r="D28" s="47">
        <v>652</v>
      </c>
      <c r="E28" s="201" t="s">
        <v>15</v>
      </c>
      <c r="F28" s="47">
        <v>6600</v>
      </c>
      <c r="G28" s="47">
        <v>6620</v>
      </c>
      <c r="H28" s="140">
        <v>3020</v>
      </c>
      <c r="I28" s="47">
        <f t="shared" si="0"/>
        <v>20</v>
      </c>
      <c r="J28" s="127">
        <f t="shared" si="1"/>
        <v>0.30303030303030304</v>
      </c>
      <c r="K28" s="140">
        <v>4.2</v>
      </c>
      <c r="L28" s="141">
        <f t="shared" si="2"/>
        <v>45.757575757575758</v>
      </c>
      <c r="M28" s="142">
        <f t="shared" si="3"/>
        <v>282.30005006060605</v>
      </c>
      <c r="N28" s="143">
        <f t="shared" si="4"/>
        <v>2.8089696969696969</v>
      </c>
      <c r="O28" s="143">
        <f t="shared" si="5"/>
        <v>18539.2</v>
      </c>
      <c r="P28" s="144">
        <f t="shared" si="6"/>
        <v>1863180.3304000001</v>
      </c>
      <c r="R28" s="145"/>
      <c r="S28" s="146"/>
      <c r="T28" s="146"/>
      <c r="U28" s="146"/>
      <c r="V28" s="146"/>
      <c r="W28" s="146"/>
      <c r="X28" s="146"/>
      <c r="Y28" s="146"/>
      <c r="Z28" s="146"/>
      <c r="AA28" s="146"/>
    </row>
    <row r="29" spans="1:27">
      <c r="A29" s="169">
        <v>45547</v>
      </c>
      <c r="B29" s="59">
        <v>45547</v>
      </c>
      <c r="C29" s="158">
        <f>VLOOKUP(B:B,'Курс валют'!A:D,4,0)</f>
        <v>100.74209999999999</v>
      </c>
      <c r="D29" s="162">
        <v>657</v>
      </c>
      <c r="E29" s="170" t="s">
        <v>56</v>
      </c>
      <c r="F29" s="162">
        <v>1000</v>
      </c>
      <c r="G29" s="162">
        <v>1040</v>
      </c>
      <c r="H29" s="161">
        <v>220</v>
      </c>
      <c r="I29" s="162">
        <f t="shared" si="0"/>
        <v>40</v>
      </c>
      <c r="J29" s="163">
        <f t="shared" si="1"/>
        <v>4</v>
      </c>
      <c r="K29" s="161">
        <v>3.28</v>
      </c>
      <c r="L29" s="165">
        <f t="shared" si="2"/>
        <v>22</v>
      </c>
      <c r="M29" s="166">
        <f t="shared" si="3"/>
        <v>263.05777151999996</v>
      </c>
      <c r="N29" s="167">
        <f t="shared" si="4"/>
        <v>2.6111999999999997</v>
      </c>
      <c r="O29" s="167">
        <f t="shared" si="5"/>
        <v>2611.1999999999998</v>
      </c>
      <c r="P29" s="168">
        <f t="shared" si="6"/>
        <v>263057.77151999995</v>
      </c>
      <c r="R29" s="155"/>
    </row>
    <row r="30" spans="1:27">
      <c r="A30" s="169">
        <v>45548</v>
      </c>
      <c r="B30" s="59">
        <v>45548</v>
      </c>
      <c r="C30" s="158">
        <f>VLOOKUP(B:B,'Курс валют'!A:D,4,0)</f>
        <v>100.3907</v>
      </c>
      <c r="D30" s="162">
        <v>658</v>
      </c>
      <c r="E30" s="170" t="s">
        <v>58</v>
      </c>
      <c r="F30" s="162">
        <v>6600</v>
      </c>
      <c r="G30" s="162">
        <v>6620</v>
      </c>
      <c r="H30" s="161">
        <v>2750</v>
      </c>
      <c r="I30" s="162">
        <f t="shared" si="0"/>
        <v>20</v>
      </c>
      <c r="J30" s="163">
        <f t="shared" si="1"/>
        <v>0.30303030303030304</v>
      </c>
      <c r="K30" s="161">
        <v>3.86</v>
      </c>
      <c r="L30" s="165">
        <f t="shared" si="2"/>
        <v>41.666666666666671</v>
      </c>
      <c r="M30" s="166">
        <f t="shared" si="3"/>
        <v>260.34654866666665</v>
      </c>
      <c r="N30" s="167">
        <f t="shared" si="4"/>
        <v>2.5933333333333333</v>
      </c>
      <c r="O30" s="167">
        <f t="shared" si="5"/>
        <v>17116</v>
      </c>
      <c r="P30" s="168">
        <f t="shared" si="6"/>
        <v>1718287.2212</v>
      </c>
      <c r="R30" s="152"/>
    </row>
    <row r="31" spans="1:27">
      <c r="A31" s="169">
        <v>45548</v>
      </c>
      <c r="B31" s="59">
        <v>45548</v>
      </c>
      <c r="C31" s="158">
        <f>VLOOKUP(B:B,'Курс валют'!A:D,4,0)</f>
        <v>100.3907</v>
      </c>
      <c r="D31" s="162">
        <v>659</v>
      </c>
      <c r="E31" s="170" t="s">
        <v>56</v>
      </c>
      <c r="F31" s="162">
        <v>1000</v>
      </c>
      <c r="G31" s="162">
        <v>1030</v>
      </c>
      <c r="H31" s="161">
        <v>240</v>
      </c>
      <c r="I31" s="162">
        <f t="shared" si="0"/>
        <v>30</v>
      </c>
      <c r="J31" s="163">
        <f t="shared" si="1"/>
        <v>3</v>
      </c>
      <c r="K31" s="161">
        <v>3.33</v>
      </c>
      <c r="L31" s="165">
        <f t="shared" si="2"/>
        <v>24</v>
      </c>
      <c r="M31" s="166">
        <f t="shared" si="3"/>
        <v>261.05597627999998</v>
      </c>
      <c r="N31" s="167">
        <f t="shared" si="4"/>
        <v>2.6004</v>
      </c>
      <c r="O31" s="167">
        <f t="shared" si="5"/>
        <v>2600.4</v>
      </c>
      <c r="P31" s="168">
        <f t="shared" si="6"/>
        <v>261055.97628</v>
      </c>
      <c r="R31" s="152"/>
    </row>
    <row r="32" spans="1:27">
      <c r="A32" s="169">
        <v>45548</v>
      </c>
      <c r="B32" s="59">
        <v>45551</v>
      </c>
      <c r="C32" s="158">
        <f>VLOOKUP(B:B,'Курс валют'!A:D,4,0)</f>
        <v>100.7958</v>
      </c>
      <c r="D32" s="162">
        <v>660</v>
      </c>
      <c r="E32" s="170" t="s">
        <v>58</v>
      </c>
      <c r="F32" s="162">
        <v>6600</v>
      </c>
      <c r="G32" s="162">
        <v>6620</v>
      </c>
      <c r="H32" s="161">
        <v>2750</v>
      </c>
      <c r="I32" s="162">
        <f t="shared" si="0"/>
        <v>20</v>
      </c>
      <c r="J32" s="163">
        <f t="shared" si="1"/>
        <v>0.30303030303030304</v>
      </c>
      <c r="K32" s="161">
        <v>3.86</v>
      </c>
      <c r="L32" s="165">
        <f t="shared" si="2"/>
        <v>41.666666666666671</v>
      </c>
      <c r="M32" s="166">
        <f t="shared" si="3"/>
        <v>261.397108</v>
      </c>
      <c r="N32" s="167">
        <f t="shared" si="4"/>
        <v>2.5933333333333333</v>
      </c>
      <c r="O32" s="167">
        <f t="shared" si="5"/>
        <v>17116</v>
      </c>
      <c r="P32" s="168">
        <f t="shared" si="6"/>
        <v>1725220.9128</v>
      </c>
      <c r="R32" s="152"/>
    </row>
    <row r="33" spans="1:27">
      <c r="A33" s="169">
        <v>45548</v>
      </c>
      <c r="B33" s="59">
        <v>45551</v>
      </c>
      <c r="C33" s="158">
        <f>VLOOKUP(B:B,'Курс валют'!A:D,4,0)</f>
        <v>100.7958</v>
      </c>
      <c r="D33" s="162">
        <v>661</v>
      </c>
      <c r="E33" s="170" t="s">
        <v>75</v>
      </c>
      <c r="F33" s="162">
        <v>900</v>
      </c>
      <c r="G33" s="162">
        <v>951</v>
      </c>
      <c r="H33" s="161">
        <v>500</v>
      </c>
      <c r="I33" s="162">
        <f t="shared" si="0"/>
        <v>51</v>
      </c>
      <c r="J33" s="163">
        <f t="shared" si="1"/>
        <v>5.6666666666666661</v>
      </c>
      <c r="K33" s="161">
        <v>3.79</v>
      </c>
      <c r="L33" s="165">
        <f t="shared" si="2"/>
        <v>55.555555555555557</v>
      </c>
      <c r="M33" s="166">
        <f t="shared" si="3"/>
        <v>211.7831753333333</v>
      </c>
      <c r="N33" s="167">
        <f t="shared" si="4"/>
        <v>2.1011111111111109</v>
      </c>
      <c r="O33" s="167">
        <f t="shared" si="5"/>
        <v>1890.9999999999998</v>
      </c>
      <c r="P33" s="168">
        <f t="shared" si="6"/>
        <v>190604.85779999997</v>
      </c>
      <c r="R33" s="155"/>
    </row>
    <row r="34" spans="1:27">
      <c r="A34" s="169">
        <v>45548</v>
      </c>
      <c r="B34" s="59">
        <v>45551</v>
      </c>
      <c r="C34" s="158">
        <f>VLOOKUP(B:B,'Курс валют'!A:D,4,0)</f>
        <v>100.7958</v>
      </c>
      <c r="D34" s="162">
        <v>662</v>
      </c>
      <c r="E34" s="170" t="s">
        <v>75</v>
      </c>
      <c r="F34" s="162">
        <v>900</v>
      </c>
      <c r="G34" s="162">
        <v>927</v>
      </c>
      <c r="H34" s="161">
        <v>500</v>
      </c>
      <c r="I34" s="162">
        <f t="shared" si="0"/>
        <v>27</v>
      </c>
      <c r="J34" s="163">
        <f t="shared" si="1"/>
        <v>3</v>
      </c>
      <c r="K34" s="161">
        <v>3.79</v>
      </c>
      <c r="L34" s="165">
        <f t="shared" si="2"/>
        <v>55.555555555555557</v>
      </c>
      <c r="M34" s="166">
        <f t="shared" si="3"/>
        <v>211.7831753333333</v>
      </c>
      <c r="N34" s="167">
        <f t="shared" si="4"/>
        <v>2.1011111111111109</v>
      </c>
      <c r="O34" s="167">
        <f t="shared" si="5"/>
        <v>1890.9999999999998</v>
      </c>
      <c r="P34" s="168">
        <f t="shared" si="6"/>
        <v>190604.85779999997</v>
      </c>
      <c r="R34" s="152"/>
    </row>
    <row r="35" spans="1:27">
      <c r="A35" s="137">
        <v>45548</v>
      </c>
      <c r="B35" s="67">
        <v>45551</v>
      </c>
      <c r="C35" s="200">
        <f>VLOOKUP(B:B,'Курс валют'!A:D,4,0)</f>
        <v>100.7958</v>
      </c>
      <c r="D35" s="47">
        <v>663</v>
      </c>
      <c r="E35" s="139" t="s">
        <v>15</v>
      </c>
      <c r="F35" s="47">
        <v>4400</v>
      </c>
      <c r="G35" s="47">
        <v>4410</v>
      </c>
      <c r="H35" s="140">
        <v>2010</v>
      </c>
      <c r="I35" s="47">
        <f t="shared" si="0"/>
        <v>10</v>
      </c>
      <c r="J35" s="127">
        <f t="shared" si="1"/>
        <v>0.22727272727272727</v>
      </c>
      <c r="K35" s="140">
        <v>4.2300000000000004</v>
      </c>
      <c r="L35" s="141">
        <f t="shared" si="2"/>
        <v>45.681818181818187</v>
      </c>
      <c r="M35" s="142">
        <f t="shared" si="3"/>
        <v>286.38835756363642</v>
      </c>
      <c r="N35" s="143">
        <f t="shared" si="4"/>
        <v>2.8412727272727283</v>
      </c>
      <c r="O35" s="143">
        <f t="shared" si="5"/>
        <v>12501.600000000004</v>
      </c>
      <c r="P35" s="144">
        <f t="shared" si="6"/>
        <v>1260108.7732800003</v>
      </c>
      <c r="R35" s="204"/>
      <c r="S35" s="146"/>
      <c r="T35" s="146"/>
      <c r="U35" s="146"/>
      <c r="V35" s="146"/>
      <c r="W35" s="146"/>
      <c r="X35" s="146"/>
      <c r="Y35" s="146"/>
      <c r="Z35" s="146"/>
      <c r="AA35" s="146"/>
    </row>
    <row r="36" spans="1:27">
      <c r="A36" s="169">
        <v>45548</v>
      </c>
      <c r="B36" s="59">
        <v>45548</v>
      </c>
      <c r="C36" s="158">
        <f>VLOOKUP(B:B,'Курс валют'!A:D,4,0)</f>
        <v>100.3907</v>
      </c>
      <c r="D36" s="162">
        <v>664</v>
      </c>
      <c r="E36" s="170" t="s">
        <v>51</v>
      </c>
      <c r="F36" s="162">
        <v>1600</v>
      </c>
      <c r="G36" s="162">
        <v>1564.2</v>
      </c>
      <c r="H36" s="161">
        <v>0</v>
      </c>
      <c r="I36" s="162">
        <f t="shared" si="0"/>
        <v>-35.799999999999955</v>
      </c>
      <c r="J36" s="163">
        <f t="shared" si="1"/>
        <v>-2.2374999999999972</v>
      </c>
      <c r="K36" s="161">
        <v>1.94</v>
      </c>
      <c r="L36" s="165">
        <f t="shared" si="2"/>
        <v>0</v>
      </c>
      <c r="M36" s="166">
        <f t="shared" si="3"/>
        <v>194.757958</v>
      </c>
      <c r="N36" s="167">
        <f t="shared" si="4"/>
        <v>1.94</v>
      </c>
      <c r="O36" s="167">
        <f t="shared" si="5"/>
        <v>3104</v>
      </c>
      <c r="P36" s="168">
        <f t="shared" si="6"/>
        <v>311612.7328</v>
      </c>
      <c r="R36" s="152"/>
    </row>
    <row r="37" spans="1:27">
      <c r="A37" s="169">
        <v>45548</v>
      </c>
      <c r="B37" s="59">
        <v>45551</v>
      </c>
      <c r="C37" s="158">
        <f>VLOOKUP(B:B,'Курс валют'!A:D,4,0)</f>
        <v>100.7958</v>
      </c>
      <c r="D37" s="162">
        <v>665</v>
      </c>
      <c r="E37" s="170" t="s">
        <v>75</v>
      </c>
      <c r="F37" s="162">
        <v>900</v>
      </c>
      <c r="G37" s="162">
        <v>929</v>
      </c>
      <c r="H37" s="161">
        <v>500</v>
      </c>
      <c r="I37" s="162">
        <f t="shared" si="0"/>
        <v>29</v>
      </c>
      <c r="J37" s="163">
        <f t="shared" si="1"/>
        <v>3.2222222222222223</v>
      </c>
      <c r="K37" s="161">
        <v>3.79</v>
      </c>
      <c r="L37" s="165">
        <f t="shared" si="2"/>
        <v>55.555555555555557</v>
      </c>
      <c r="M37" s="166">
        <f t="shared" si="3"/>
        <v>211.7831753333333</v>
      </c>
      <c r="N37" s="167">
        <f t="shared" si="4"/>
        <v>2.1011111111111109</v>
      </c>
      <c r="O37" s="167">
        <f t="shared" si="5"/>
        <v>1890.9999999999998</v>
      </c>
      <c r="P37" s="168">
        <f t="shared" si="6"/>
        <v>190604.85779999997</v>
      </c>
      <c r="R37" s="152"/>
    </row>
    <row r="38" spans="1:27">
      <c r="A38" s="169">
        <v>45548</v>
      </c>
      <c r="B38" s="59">
        <v>45551</v>
      </c>
      <c r="C38" s="158">
        <f>VLOOKUP(B:B,'Курс валют'!A:D,4,0)</f>
        <v>100.7958</v>
      </c>
      <c r="D38" s="162">
        <v>666</v>
      </c>
      <c r="E38" s="170" t="s">
        <v>75</v>
      </c>
      <c r="F38" s="162">
        <v>900</v>
      </c>
      <c r="G38" s="162">
        <v>928</v>
      </c>
      <c r="H38" s="161">
        <v>500</v>
      </c>
      <c r="I38" s="162">
        <f t="shared" si="0"/>
        <v>28</v>
      </c>
      <c r="J38" s="163">
        <f t="shared" si="1"/>
        <v>3.1111111111111112</v>
      </c>
      <c r="K38" s="161">
        <v>3.79</v>
      </c>
      <c r="L38" s="165">
        <f t="shared" si="2"/>
        <v>55.555555555555557</v>
      </c>
      <c r="M38" s="166">
        <f t="shared" si="3"/>
        <v>211.7831753333333</v>
      </c>
      <c r="N38" s="167">
        <f t="shared" si="4"/>
        <v>2.1011111111111109</v>
      </c>
      <c r="O38" s="167">
        <f t="shared" si="5"/>
        <v>1890.9999999999998</v>
      </c>
      <c r="P38" s="168">
        <f t="shared" si="6"/>
        <v>190604.85779999997</v>
      </c>
      <c r="R38" s="155"/>
    </row>
    <row r="39" spans="1:27">
      <c r="A39" s="169">
        <v>45550</v>
      </c>
      <c r="B39" s="59">
        <v>45551</v>
      </c>
      <c r="C39" s="158">
        <f>VLOOKUP(B:B,'Курс валют'!A:D,4,0)</f>
        <v>100.7958</v>
      </c>
      <c r="D39" s="162">
        <v>667</v>
      </c>
      <c r="E39" s="170" t="s">
        <v>75</v>
      </c>
      <c r="F39" s="162">
        <v>900</v>
      </c>
      <c r="G39" s="162">
        <v>927</v>
      </c>
      <c r="H39" s="161">
        <v>500</v>
      </c>
      <c r="I39" s="162">
        <f t="shared" si="0"/>
        <v>27</v>
      </c>
      <c r="J39" s="163">
        <f t="shared" si="1"/>
        <v>3</v>
      </c>
      <c r="K39" s="161">
        <v>3.79</v>
      </c>
      <c r="L39" s="165">
        <f t="shared" si="2"/>
        <v>55.555555555555557</v>
      </c>
      <c r="M39" s="166">
        <f t="shared" si="3"/>
        <v>211.7831753333333</v>
      </c>
      <c r="N39" s="167">
        <f t="shared" si="4"/>
        <v>2.1011111111111109</v>
      </c>
      <c r="O39" s="167">
        <f t="shared" si="5"/>
        <v>1890.9999999999998</v>
      </c>
      <c r="P39" s="168">
        <f t="shared" si="6"/>
        <v>190604.85779999997</v>
      </c>
      <c r="R39" s="155"/>
    </row>
    <row r="40" spans="1:27">
      <c r="A40" s="137">
        <v>45551</v>
      </c>
      <c r="B40" s="67">
        <v>45551</v>
      </c>
      <c r="C40" s="200">
        <f>VLOOKUP(B:B,'Курс валют'!A:D,4,0)</f>
        <v>100.7958</v>
      </c>
      <c r="D40" s="47">
        <v>668</v>
      </c>
      <c r="E40" s="139" t="s">
        <v>15</v>
      </c>
      <c r="F40" s="47">
        <v>6600</v>
      </c>
      <c r="G40" s="47">
        <v>6620</v>
      </c>
      <c r="H40" s="140">
        <v>3020</v>
      </c>
      <c r="I40" s="47">
        <f t="shared" si="0"/>
        <v>20</v>
      </c>
      <c r="J40" s="127">
        <f t="shared" si="1"/>
        <v>0.30303030303030304</v>
      </c>
      <c r="K40" s="140">
        <v>4.2300000000000004</v>
      </c>
      <c r="L40" s="141">
        <f t="shared" si="2"/>
        <v>45.757575757575758</v>
      </c>
      <c r="M40" s="142">
        <f t="shared" si="3"/>
        <v>286.15622178181826</v>
      </c>
      <c r="N40" s="143">
        <f t="shared" si="4"/>
        <v>2.8389696969696976</v>
      </c>
      <c r="O40" s="143">
        <f t="shared" si="5"/>
        <v>18737.200000000004</v>
      </c>
      <c r="P40" s="144">
        <f t="shared" si="6"/>
        <v>1888631.0637600005</v>
      </c>
      <c r="R40" s="204"/>
      <c r="S40" s="146"/>
      <c r="T40" s="146"/>
      <c r="U40" s="146"/>
      <c r="V40" s="146"/>
      <c r="W40" s="146"/>
      <c r="X40" s="146"/>
      <c r="Y40" s="146"/>
      <c r="Z40" s="146"/>
      <c r="AA40" s="146"/>
    </row>
    <row r="41" spans="1:27">
      <c r="A41" s="169">
        <v>45552</v>
      </c>
      <c r="B41" s="59">
        <v>45552</v>
      </c>
      <c r="C41" s="158">
        <f>VLOOKUP(B:B,'Курс валют'!A:D,4,0)</f>
        <v>101.27889999999999</v>
      </c>
      <c r="D41" s="162">
        <v>669</v>
      </c>
      <c r="E41" s="170" t="s">
        <v>89</v>
      </c>
      <c r="F41" s="162">
        <v>600</v>
      </c>
      <c r="G41" s="162">
        <v>618.5</v>
      </c>
      <c r="H41" s="181">
        <v>0</v>
      </c>
      <c r="I41" s="162">
        <f t="shared" si="0"/>
        <v>18.5</v>
      </c>
      <c r="J41" s="163">
        <f t="shared" si="1"/>
        <v>3.0833333333333335</v>
      </c>
      <c r="K41" s="161">
        <v>2.62</v>
      </c>
      <c r="L41" s="165">
        <f t="shared" si="2"/>
        <v>0</v>
      </c>
      <c r="M41" s="166">
        <f t="shared" si="3"/>
        <v>265.35071800000003</v>
      </c>
      <c r="N41" s="167">
        <f t="shared" si="4"/>
        <v>2.62</v>
      </c>
      <c r="O41" s="167">
        <f t="shared" si="5"/>
        <v>1572</v>
      </c>
      <c r="P41" s="168">
        <f t="shared" si="6"/>
        <v>159210.4308</v>
      </c>
      <c r="R41" s="152"/>
    </row>
    <row r="42" spans="1:27">
      <c r="A42" s="169">
        <v>45552</v>
      </c>
      <c r="B42" s="59">
        <v>45552</v>
      </c>
      <c r="C42" s="158">
        <f>VLOOKUP(B:B,'Курс валют'!A:D,4,0)</f>
        <v>101.27889999999999</v>
      </c>
      <c r="D42" s="162">
        <v>670</v>
      </c>
      <c r="E42" s="170" t="s">
        <v>96</v>
      </c>
      <c r="F42" s="162">
        <v>200</v>
      </c>
      <c r="G42" s="162">
        <v>207.6</v>
      </c>
      <c r="H42" s="181">
        <v>0</v>
      </c>
      <c r="I42" s="162">
        <f t="shared" si="0"/>
        <v>7.5999999999999943</v>
      </c>
      <c r="J42" s="163">
        <f t="shared" si="1"/>
        <v>3.7999999999999972</v>
      </c>
      <c r="K42" s="161">
        <v>2.54</v>
      </c>
      <c r="L42" s="165">
        <f t="shared" si="2"/>
        <v>0</v>
      </c>
      <c r="M42" s="166">
        <f t="shared" si="3"/>
        <v>257.24840599999999</v>
      </c>
      <c r="N42" s="167">
        <f t="shared" si="4"/>
        <v>2.54</v>
      </c>
      <c r="O42" s="167">
        <f t="shared" si="5"/>
        <v>508</v>
      </c>
      <c r="P42" s="168">
        <f t="shared" si="6"/>
        <v>51449.681199999999</v>
      </c>
      <c r="R42" s="155"/>
    </row>
    <row r="43" spans="1:27" ht="15.75" customHeight="1">
      <c r="A43" s="169">
        <v>45552</v>
      </c>
      <c r="B43" s="59">
        <v>45552</v>
      </c>
      <c r="C43" s="158">
        <f>VLOOKUP(B:B,'Курс валют'!A:D,4,0)</f>
        <v>101.27889999999999</v>
      </c>
      <c r="D43" s="162">
        <v>671</v>
      </c>
      <c r="E43" s="170" t="s">
        <v>78</v>
      </c>
      <c r="F43" s="162">
        <v>1000</v>
      </c>
      <c r="G43" s="162">
        <v>1025</v>
      </c>
      <c r="H43" s="181">
        <v>110</v>
      </c>
      <c r="I43" s="162">
        <f t="shared" si="0"/>
        <v>25</v>
      </c>
      <c r="J43" s="163">
        <f t="shared" si="1"/>
        <v>2.5</v>
      </c>
      <c r="K43" s="161">
        <v>2.77</v>
      </c>
      <c r="L43" s="165">
        <f t="shared" si="2"/>
        <v>11</v>
      </c>
      <c r="M43" s="166">
        <f t="shared" si="3"/>
        <v>246.67488883999997</v>
      </c>
      <c r="N43" s="167">
        <f t="shared" si="4"/>
        <v>2.4356</v>
      </c>
      <c r="O43" s="167">
        <f t="shared" si="5"/>
        <v>2435.6</v>
      </c>
      <c r="P43" s="168">
        <f t="shared" si="6"/>
        <v>246674.88883999997</v>
      </c>
      <c r="R43" s="157"/>
    </row>
    <row r="44" spans="1:27">
      <c r="A44" s="169">
        <v>45552</v>
      </c>
      <c r="B44" s="59">
        <v>45552</v>
      </c>
      <c r="C44" s="158">
        <f>VLOOKUP(B:B,'Курс валют'!A:D,4,0)</f>
        <v>101.27889999999999</v>
      </c>
      <c r="D44" s="162">
        <v>672</v>
      </c>
      <c r="E44" s="170" t="s">
        <v>2518</v>
      </c>
      <c r="F44" s="162">
        <v>880</v>
      </c>
      <c r="G44" s="162">
        <v>881</v>
      </c>
      <c r="H44" s="181">
        <v>100</v>
      </c>
      <c r="I44" s="162">
        <f t="shared" si="0"/>
        <v>1</v>
      </c>
      <c r="J44" s="163">
        <f t="shared" si="1"/>
        <v>0.11363636363636363</v>
      </c>
      <c r="K44" s="161">
        <v>2.77</v>
      </c>
      <c r="L44" s="165">
        <f t="shared" si="2"/>
        <v>11.363636363636363</v>
      </c>
      <c r="M44" s="166">
        <f t="shared" si="3"/>
        <v>245.55529663636361</v>
      </c>
      <c r="N44" s="167">
        <f t="shared" si="4"/>
        <v>2.4245454545454543</v>
      </c>
      <c r="O44" s="167">
        <f t="shared" si="5"/>
        <v>2133.6</v>
      </c>
      <c r="P44" s="168">
        <f t="shared" si="6"/>
        <v>216088.66103999998</v>
      </c>
      <c r="R44" s="155"/>
    </row>
    <row r="45" spans="1:27">
      <c r="A45" s="169">
        <v>45553</v>
      </c>
      <c r="B45" s="59">
        <v>45553</v>
      </c>
      <c r="C45" s="158">
        <f>VLOOKUP(B:B,'Курс валют'!A:D,4,0)</f>
        <v>101.5057</v>
      </c>
      <c r="D45" s="162">
        <v>673</v>
      </c>
      <c r="E45" s="170" t="s">
        <v>50</v>
      </c>
      <c r="F45" s="162">
        <v>8000</v>
      </c>
      <c r="G45" s="162">
        <v>8020</v>
      </c>
      <c r="H45" s="161">
        <v>0</v>
      </c>
      <c r="I45" s="162">
        <f t="shared" si="0"/>
        <v>20</v>
      </c>
      <c r="J45" s="163">
        <f t="shared" si="1"/>
        <v>0.25</v>
      </c>
      <c r="K45" s="161">
        <v>1.94</v>
      </c>
      <c r="L45" s="165">
        <f t="shared" si="2"/>
        <v>0</v>
      </c>
      <c r="M45" s="166">
        <f t="shared" si="3"/>
        <v>196.92105800000002</v>
      </c>
      <c r="N45" s="167">
        <f t="shared" si="4"/>
        <v>1.94</v>
      </c>
      <c r="O45" s="167">
        <f t="shared" si="5"/>
        <v>15520</v>
      </c>
      <c r="P45" s="168">
        <f t="shared" si="6"/>
        <v>1575368.4640000002</v>
      </c>
      <c r="R45" s="155"/>
    </row>
    <row r="46" spans="1:27">
      <c r="A46" s="169">
        <v>45553</v>
      </c>
      <c r="B46" s="59">
        <v>45553</v>
      </c>
      <c r="C46" s="158">
        <f>VLOOKUP(B:B,'Курс валют'!A:D,4,0)</f>
        <v>101.5057</v>
      </c>
      <c r="D46" s="162">
        <v>674</v>
      </c>
      <c r="E46" s="170" t="s">
        <v>75</v>
      </c>
      <c r="F46" s="162">
        <v>900</v>
      </c>
      <c r="G46" s="162">
        <v>935</v>
      </c>
      <c r="H46" s="161">
        <v>495</v>
      </c>
      <c r="I46" s="162">
        <f t="shared" si="0"/>
        <v>35</v>
      </c>
      <c r="J46" s="163">
        <f t="shared" si="1"/>
        <v>3.8888888888888888</v>
      </c>
      <c r="K46" s="161">
        <v>3.81</v>
      </c>
      <c r="L46" s="165">
        <f t="shared" si="2"/>
        <v>55.000000000000007</v>
      </c>
      <c r="M46" s="166">
        <f t="shared" si="3"/>
        <v>217.01918659999998</v>
      </c>
      <c r="N46" s="167">
        <f t="shared" si="4"/>
        <v>2.1379999999999999</v>
      </c>
      <c r="O46" s="167">
        <f t="shared" si="5"/>
        <v>1924.1999999999998</v>
      </c>
      <c r="P46" s="168">
        <f t="shared" si="6"/>
        <v>195317.26793999999</v>
      </c>
      <c r="R46" s="155"/>
    </row>
    <row r="47" spans="1:27">
      <c r="A47" s="169">
        <v>45554</v>
      </c>
      <c r="B47" s="59">
        <v>45554</v>
      </c>
      <c r="C47" s="158">
        <f>VLOOKUP(B:B,'Курс валют'!A:D,4,0)</f>
        <v>102.039</v>
      </c>
      <c r="D47" s="162">
        <v>675</v>
      </c>
      <c r="E47" s="170" t="s">
        <v>50</v>
      </c>
      <c r="F47" s="162">
        <v>7200</v>
      </c>
      <c r="G47" s="162">
        <v>7202</v>
      </c>
      <c r="H47" s="161">
        <v>0</v>
      </c>
      <c r="I47" s="162">
        <f t="shared" si="0"/>
        <v>2</v>
      </c>
      <c r="J47" s="163">
        <f t="shared" si="1"/>
        <v>2.7777777777777776E-2</v>
      </c>
      <c r="K47" s="161">
        <v>1.94</v>
      </c>
      <c r="L47" s="165">
        <f t="shared" si="2"/>
        <v>0</v>
      </c>
      <c r="M47" s="166">
        <f t="shared" si="3"/>
        <v>197.95566000000002</v>
      </c>
      <c r="N47" s="167">
        <f t="shared" si="4"/>
        <v>1.94</v>
      </c>
      <c r="O47" s="167">
        <f t="shared" si="5"/>
        <v>13968</v>
      </c>
      <c r="P47" s="168">
        <f t="shared" si="6"/>
        <v>1425280.7520000001</v>
      </c>
      <c r="R47" s="152"/>
    </row>
    <row r="48" spans="1:27">
      <c r="A48" s="169">
        <v>45555</v>
      </c>
      <c r="B48" s="59">
        <v>45555</v>
      </c>
      <c r="C48" s="158">
        <f>VLOOKUP(B:B,'Курс валют'!A:D,4,0)</f>
        <v>103.249</v>
      </c>
      <c r="D48" s="162">
        <v>676</v>
      </c>
      <c r="E48" s="190" t="s">
        <v>15</v>
      </c>
      <c r="F48" s="162">
        <v>6600</v>
      </c>
      <c r="G48" s="162">
        <v>6625</v>
      </c>
      <c r="H48" s="161">
        <v>3025</v>
      </c>
      <c r="I48" s="162">
        <f t="shared" si="0"/>
        <v>25</v>
      </c>
      <c r="J48" s="163">
        <f t="shared" si="1"/>
        <v>0.37878787878787878</v>
      </c>
      <c r="K48" s="161">
        <v>3.87</v>
      </c>
      <c r="L48" s="165">
        <f t="shared" si="2"/>
        <v>45.833333333333329</v>
      </c>
      <c r="M48" s="166">
        <f t="shared" si="3"/>
        <v>255.71335666666664</v>
      </c>
      <c r="N48" s="167">
        <f t="shared" si="4"/>
        <v>2.4766666666666666</v>
      </c>
      <c r="O48" s="167">
        <f t="shared" si="5"/>
        <v>16346</v>
      </c>
      <c r="P48" s="168">
        <f t="shared" si="6"/>
        <v>1687708.1539999999</v>
      </c>
      <c r="R48" s="155"/>
    </row>
    <row r="49" spans="1:18">
      <c r="A49" s="169">
        <v>45555</v>
      </c>
      <c r="B49" s="59">
        <v>45555</v>
      </c>
      <c r="C49" s="158">
        <f>VLOOKUP(B:B,'Курс валют'!A:D,4,0)</f>
        <v>103.249</v>
      </c>
      <c r="D49" s="162">
        <v>677</v>
      </c>
      <c r="E49" s="190" t="s">
        <v>60</v>
      </c>
      <c r="F49" s="162">
        <v>900</v>
      </c>
      <c r="G49" s="162">
        <v>933</v>
      </c>
      <c r="H49" s="161">
        <v>368</v>
      </c>
      <c r="I49" s="162">
        <f t="shared" si="0"/>
        <v>33</v>
      </c>
      <c r="J49" s="163">
        <f t="shared" si="1"/>
        <v>3.6666666666666665</v>
      </c>
      <c r="K49" s="161">
        <v>3.24</v>
      </c>
      <c r="L49" s="165">
        <f t="shared" si="2"/>
        <v>40.888888888888893</v>
      </c>
      <c r="M49" s="166">
        <f t="shared" si="3"/>
        <v>206.18595857777774</v>
      </c>
      <c r="N49" s="167">
        <f t="shared" si="4"/>
        <v>1.9969777777777777</v>
      </c>
      <c r="O49" s="167">
        <f t="shared" si="5"/>
        <v>1797.28</v>
      </c>
      <c r="P49" s="168">
        <f t="shared" si="6"/>
        <v>185567.36271999998</v>
      </c>
      <c r="R49" s="155"/>
    </row>
    <row r="50" spans="1:18">
      <c r="A50" s="169">
        <v>45555</v>
      </c>
      <c r="B50" s="59">
        <v>45555</v>
      </c>
      <c r="C50" s="158">
        <f>VLOOKUP(B:B,'Курс валют'!A:D,4,0)</f>
        <v>103.249</v>
      </c>
      <c r="D50" s="162">
        <v>678</v>
      </c>
      <c r="E50" s="190" t="s">
        <v>60</v>
      </c>
      <c r="F50" s="162">
        <v>900</v>
      </c>
      <c r="G50" s="162">
        <v>930</v>
      </c>
      <c r="H50" s="161">
        <v>366</v>
      </c>
      <c r="I50" s="162">
        <f t="shared" si="0"/>
        <v>30</v>
      </c>
      <c r="J50" s="163">
        <f t="shared" si="1"/>
        <v>3.3333333333333335</v>
      </c>
      <c r="K50" s="161">
        <v>3.24</v>
      </c>
      <c r="L50" s="165">
        <f t="shared" si="2"/>
        <v>40.666666666666664</v>
      </c>
      <c r="M50" s="166">
        <f t="shared" si="3"/>
        <v>206.88346293333333</v>
      </c>
      <c r="N50" s="167">
        <f t="shared" si="4"/>
        <v>2.0037333333333334</v>
      </c>
      <c r="O50" s="167">
        <f t="shared" si="5"/>
        <v>1803.3600000000001</v>
      </c>
      <c r="P50" s="168">
        <f t="shared" si="6"/>
        <v>186195.11663999999</v>
      </c>
      <c r="R50" s="155"/>
    </row>
    <row r="51" spans="1:18">
      <c r="A51" s="169">
        <v>45555</v>
      </c>
      <c r="B51" s="59">
        <v>45558</v>
      </c>
      <c r="C51" s="158">
        <f>VLOOKUP(B:B,'Курс валют'!A:D,4,0)</f>
        <v>103.37730000000001</v>
      </c>
      <c r="D51" s="162">
        <v>679</v>
      </c>
      <c r="E51" s="190" t="s">
        <v>15</v>
      </c>
      <c r="F51" s="162">
        <v>6600</v>
      </c>
      <c r="G51" s="162">
        <v>6615</v>
      </c>
      <c r="H51" s="161">
        <v>3015</v>
      </c>
      <c r="I51" s="162">
        <f t="shared" si="0"/>
        <v>15</v>
      </c>
      <c r="J51" s="163">
        <f t="shared" si="1"/>
        <v>0.22727272727272727</v>
      </c>
      <c r="K51" s="161">
        <v>3.87</v>
      </c>
      <c r="L51" s="165">
        <f t="shared" si="2"/>
        <v>45.681818181818187</v>
      </c>
      <c r="M51" s="166">
        <f t="shared" si="3"/>
        <v>256.50727510909087</v>
      </c>
      <c r="N51" s="167">
        <f t="shared" si="4"/>
        <v>2.4812727272727271</v>
      </c>
      <c r="O51" s="167">
        <f t="shared" si="5"/>
        <v>16376.399999999998</v>
      </c>
      <c r="P51" s="168">
        <f t="shared" si="6"/>
        <v>1692948.0157199998</v>
      </c>
      <c r="R51" s="155"/>
    </row>
    <row r="52" spans="1:18">
      <c r="A52" s="169">
        <v>45555</v>
      </c>
      <c r="B52" s="59">
        <v>45558</v>
      </c>
      <c r="C52" s="158">
        <f>VLOOKUP(B:B,'Курс валют'!A:D,4,0)</f>
        <v>103.37730000000001</v>
      </c>
      <c r="D52" s="162">
        <v>680</v>
      </c>
      <c r="E52" s="190" t="s">
        <v>60</v>
      </c>
      <c r="F52" s="162">
        <v>1125</v>
      </c>
      <c r="G52" s="162">
        <v>1136</v>
      </c>
      <c r="H52" s="161">
        <v>449</v>
      </c>
      <c r="I52" s="162">
        <f t="shared" si="0"/>
        <v>11</v>
      </c>
      <c r="J52" s="163">
        <f t="shared" si="1"/>
        <v>0.97777777777777775</v>
      </c>
      <c r="K52" s="161">
        <v>3.21</v>
      </c>
      <c r="L52" s="165">
        <f t="shared" si="2"/>
        <v>39.911111111111111</v>
      </c>
      <c r="M52" s="166">
        <f t="shared" si="3"/>
        <v>206.41368463733335</v>
      </c>
      <c r="N52" s="167">
        <f t="shared" si="4"/>
        <v>1.9967022222222222</v>
      </c>
      <c r="O52" s="167">
        <f t="shared" si="5"/>
        <v>2246.29</v>
      </c>
      <c r="P52" s="168">
        <f t="shared" si="6"/>
        <v>232215.39521700001</v>
      </c>
      <c r="R52" s="152"/>
    </row>
    <row r="53" spans="1:18" ht="12.75">
      <c r="A53" s="169">
        <v>45555</v>
      </c>
      <c r="B53" s="59">
        <v>45558</v>
      </c>
      <c r="C53" s="158">
        <f>VLOOKUP(B:B,'Курс валют'!A:D,4,0)</f>
        <v>103.37730000000001</v>
      </c>
      <c r="D53" s="162">
        <v>681</v>
      </c>
      <c r="E53" s="190" t="s">
        <v>15</v>
      </c>
      <c r="F53" s="162">
        <v>6600</v>
      </c>
      <c r="G53" s="162">
        <v>6610</v>
      </c>
      <c r="H53" s="161">
        <v>3015</v>
      </c>
      <c r="I53" s="162">
        <f t="shared" si="0"/>
        <v>10</v>
      </c>
      <c r="J53" s="163">
        <f t="shared" si="1"/>
        <v>0.15151515151515152</v>
      </c>
      <c r="K53" s="161">
        <v>3.87</v>
      </c>
      <c r="L53" s="165">
        <f t="shared" si="2"/>
        <v>45.681818181818187</v>
      </c>
      <c r="M53" s="166">
        <f t="shared" si="3"/>
        <v>256.50727510909087</v>
      </c>
      <c r="N53" s="167">
        <f t="shared" si="4"/>
        <v>2.4812727272727271</v>
      </c>
      <c r="O53" s="167">
        <f t="shared" si="5"/>
        <v>16376.399999999998</v>
      </c>
      <c r="P53" s="168">
        <f t="shared" si="6"/>
        <v>1692948.0157199998</v>
      </c>
      <c r="R53" s="152"/>
    </row>
    <row r="54" spans="1:18" ht="12.75">
      <c r="A54" s="169">
        <v>45555</v>
      </c>
      <c r="B54" s="59">
        <v>45558</v>
      </c>
      <c r="C54" s="158">
        <f>VLOOKUP(B:B,'Курс валют'!A:D,4,0)</f>
        <v>103.37730000000001</v>
      </c>
      <c r="D54" s="162">
        <v>682</v>
      </c>
      <c r="E54" s="190" t="s">
        <v>60</v>
      </c>
      <c r="F54" s="162">
        <v>900</v>
      </c>
      <c r="G54" s="162">
        <v>943</v>
      </c>
      <c r="H54" s="161">
        <v>380</v>
      </c>
      <c r="I54" s="162">
        <f t="shared" si="0"/>
        <v>43</v>
      </c>
      <c r="J54" s="163">
        <f t="shared" si="1"/>
        <v>4.7777777777777777</v>
      </c>
      <c r="K54" s="161">
        <v>3.21</v>
      </c>
      <c r="L54" s="165">
        <f t="shared" si="2"/>
        <v>42.222222222222221</v>
      </c>
      <c r="M54" s="166">
        <f t="shared" si="3"/>
        <v>199.15062526666665</v>
      </c>
      <c r="N54" s="167">
        <f t="shared" si="4"/>
        <v>1.9264444444444444</v>
      </c>
      <c r="O54" s="167">
        <f t="shared" si="5"/>
        <v>1733.8</v>
      </c>
      <c r="P54" s="168">
        <f t="shared" si="6"/>
        <v>179235.56273999999</v>
      </c>
      <c r="R54" s="152"/>
    </row>
    <row r="55" spans="1:18" ht="12.75">
      <c r="A55" s="169">
        <v>45555</v>
      </c>
      <c r="B55" s="59">
        <v>45558</v>
      </c>
      <c r="C55" s="158">
        <f>VLOOKUP(B:B,'Курс валют'!A:D,4,0)</f>
        <v>103.37730000000001</v>
      </c>
      <c r="D55" s="162">
        <v>683</v>
      </c>
      <c r="E55" s="190" t="s">
        <v>60</v>
      </c>
      <c r="F55" s="162">
        <v>900</v>
      </c>
      <c r="G55" s="162">
        <v>931</v>
      </c>
      <c r="H55" s="161">
        <v>370</v>
      </c>
      <c r="I55" s="162">
        <f t="shared" si="0"/>
        <v>31</v>
      </c>
      <c r="J55" s="163">
        <f t="shared" si="1"/>
        <v>3.4444444444444446</v>
      </c>
      <c r="K55" s="161">
        <v>3.21</v>
      </c>
      <c r="L55" s="165">
        <f t="shared" si="2"/>
        <v>41.111111111111107</v>
      </c>
      <c r="M55" s="166">
        <f t="shared" si="3"/>
        <v>202.64248073333334</v>
      </c>
      <c r="N55" s="167">
        <f t="shared" si="4"/>
        <v>1.9602222222222223</v>
      </c>
      <c r="O55" s="167">
        <f t="shared" si="5"/>
        <v>1764.2</v>
      </c>
      <c r="P55" s="168">
        <f t="shared" si="6"/>
        <v>182378.23266000001</v>
      </c>
      <c r="R55" s="152"/>
    </row>
    <row r="56" spans="1:18" ht="12.75">
      <c r="A56" s="169">
        <v>45558</v>
      </c>
      <c r="B56" s="59">
        <v>45558</v>
      </c>
      <c r="C56" s="158">
        <f>VLOOKUP(B:B,'Курс валют'!A:D,4,0)</f>
        <v>103.37730000000001</v>
      </c>
      <c r="D56" s="162">
        <v>684</v>
      </c>
      <c r="E56" s="190" t="s">
        <v>15</v>
      </c>
      <c r="F56" s="162">
        <v>6600</v>
      </c>
      <c r="G56" s="162">
        <v>6615</v>
      </c>
      <c r="H56" s="161">
        <v>3020</v>
      </c>
      <c r="I56" s="162">
        <f t="shared" si="0"/>
        <v>15</v>
      </c>
      <c r="J56" s="163">
        <f t="shared" si="1"/>
        <v>0.22727272727272727</v>
      </c>
      <c r="K56" s="161">
        <v>3.87</v>
      </c>
      <c r="L56" s="165">
        <f t="shared" si="2"/>
        <v>45.757575757575758</v>
      </c>
      <c r="M56" s="166">
        <f t="shared" si="3"/>
        <v>256.26919405454549</v>
      </c>
      <c r="N56" s="167">
        <f t="shared" si="4"/>
        <v>2.4789696969696973</v>
      </c>
      <c r="O56" s="167">
        <f t="shared" si="5"/>
        <v>16361.200000000003</v>
      </c>
      <c r="P56" s="168">
        <f t="shared" si="6"/>
        <v>1691376.6807600004</v>
      </c>
      <c r="R56" s="152"/>
    </row>
    <row r="57" spans="1:18" ht="12.75">
      <c r="A57" s="169">
        <v>45558</v>
      </c>
      <c r="B57" s="59">
        <v>45558</v>
      </c>
      <c r="C57" s="158">
        <f>VLOOKUP(B:B,'Курс валют'!A:D,4,0)</f>
        <v>103.37730000000001</v>
      </c>
      <c r="D57" s="162">
        <v>685</v>
      </c>
      <c r="E57" s="190" t="s">
        <v>76</v>
      </c>
      <c r="F57" s="162">
        <v>220</v>
      </c>
      <c r="G57" s="162">
        <v>220</v>
      </c>
      <c r="H57" s="161">
        <v>0</v>
      </c>
      <c r="I57" s="162">
        <f t="shared" si="0"/>
        <v>0</v>
      </c>
      <c r="J57" s="163">
        <f t="shared" si="1"/>
        <v>0</v>
      </c>
      <c r="K57" s="161">
        <v>2.83</v>
      </c>
      <c r="L57" s="165">
        <f t="shared" si="2"/>
        <v>0</v>
      </c>
      <c r="M57" s="166">
        <f t="shared" si="3"/>
        <v>292.55775900000003</v>
      </c>
      <c r="N57" s="167">
        <f t="shared" si="4"/>
        <v>2.83</v>
      </c>
      <c r="O57" s="167">
        <f t="shared" si="5"/>
        <v>622.6</v>
      </c>
      <c r="P57" s="168">
        <f t="shared" si="6"/>
        <v>64362.706980000003</v>
      </c>
      <c r="R57" s="153" t="s">
        <v>1267</v>
      </c>
    </row>
    <row r="58" spans="1:18" ht="12.75">
      <c r="A58" s="169">
        <v>45559</v>
      </c>
      <c r="B58" s="59">
        <v>45560</v>
      </c>
      <c r="C58" s="158">
        <f>VLOOKUP(B:B,'Курс валют'!A:D,4,0)</f>
        <v>103.41</v>
      </c>
      <c r="D58" s="162">
        <v>686</v>
      </c>
      <c r="E58" s="190" t="s">
        <v>15</v>
      </c>
      <c r="F58" s="162">
        <v>6600</v>
      </c>
      <c r="G58" s="162">
        <v>6615</v>
      </c>
      <c r="H58" s="161">
        <v>3020</v>
      </c>
      <c r="I58" s="162">
        <f t="shared" si="0"/>
        <v>15</v>
      </c>
      <c r="J58" s="163">
        <f t="shared" si="1"/>
        <v>0.22727272727272727</v>
      </c>
      <c r="K58" s="161">
        <v>3.87</v>
      </c>
      <c r="L58" s="165">
        <f t="shared" si="2"/>
        <v>45.757575757575758</v>
      </c>
      <c r="M58" s="166">
        <f t="shared" si="3"/>
        <v>256.35025636363639</v>
      </c>
      <c r="N58" s="167">
        <f t="shared" si="4"/>
        <v>2.4789696969696973</v>
      </c>
      <c r="O58" s="167">
        <f t="shared" si="5"/>
        <v>16361.200000000003</v>
      </c>
      <c r="P58" s="168">
        <f t="shared" si="6"/>
        <v>1691911.6920000003</v>
      </c>
      <c r="R58" s="152"/>
    </row>
    <row r="59" spans="1:18" ht="12.75">
      <c r="A59" s="169">
        <v>45559</v>
      </c>
      <c r="B59" s="59">
        <v>45560</v>
      </c>
      <c r="C59" s="158">
        <f>VLOOKUP(B:B,'Курс валют'!A:D,4,0)</f>
        <v>103.41</v>
      </c>
      <c r="D59" s="162">
        <v>687</v>
      </c>
      <c r="E59" s="190" t="s">
        <v>60</v>
      </c>
      <c r="F59" s="162">
        <v>900</v>
      </c>
      <c r="G59" s="162">
        <v>928</v>
      </c>
      <c r="H59" s="161">
        <v>370</v>
      </c>
      <c r="I59" s="162">
        <f t="shared" si="0"/>
        <v>28</v>
      </c>
      <c r="J59" s="163">
        <f t="shared" si="1"/>
        <v>3.1111111111111112</v>
      </c>
      <c r="K59" s="161">
        <v>3.22</v>
      </c>
      <c r="L59" s="165">
        <f t="shared" si="2"/>
        <v>41.111111111111107</v>
      </c>
      <c r="M59" s="166">
        <f t="shared" si="3"/>
        <v>203.74068</v>
      </c>
      <c r="N59" s="167">
        <f t="shared" si="4"/>
        <v>1.9702222222222223</v>
      </c>
      <c r="O59" s="167">
        <f t="shared" si="5"/>
        <v>1773.2</v>
      </c>
      <c r="P59" s="168">
        <f t="shared" si="6"/>
        <v>183366.61199999999</v>
      </c>
      <c r="R59" s="152"/>
    </row>
    <row r="60" spans="1:18" ht="12.75">
      <c r="A60" s="194">
        <v>45560</v>
      </c>
      <c r="B60" s="59">
        <v>45561</v>
      </c>
      <c r="C60" s="158">
        <f>VLOOKUP(B:B,'Курс валют'!A:D,4,0)</f>
        <v>103.47580000000001</v>
      </c>
      <c r="D60" s="162">
        <v>688</v>
      </c>
      <c r="E60" s="190" t="s">
        <v>15</v>
      </c>
      <c r="F60" s="162">
        <v>6600</v>
      </c>
      <c r="G60" s="162">
        <v>6607</v>
      </c>
      <c r="H60" s="161">
        <v>3012</v>
      </c>
      <c r="I60" s="162">
        <f t="shared" si="0"/>
        <v>7</v>
      </c>
      <c r="J60" s="163">
        <f t="shared" si="1"/>
        <v>0.10606060606060608</v>
      </c>
      <c r="K60" s="161">
        <v>3.86</v>
      </c>
      <c r="L60" s="165">
        <f t="shared" si="2"/>
        <v>45.636363636363633</v>
      </c>
      <c r="M60" s="166">
        <f t="shared" si="3"/>
        <v>255.85990721454547</v>
      </c>
      <c r="N60" s="167">
        <f t="shared" si="4"/>
        <v>2.4726545454545454</v>
      </c>
      <c r="O60" s="167">
        <f t="shared" si="5"/>
        <v>16319.52</v>
      </c>
      <c r="P60" s="168">
        <f t="shared" si="6"/>
        <v>1688675.3876160001</v>
      </c>
      <c r="R60" s="152"/>
    </row>
    <row r="61" spans="1:18" ht="12.75">
      <c r="A61" s="194">
        <v>45560</v>
      </c>
      <c r="B61" s="59">
        <v>45561</v>
      </c>
      <c r="C61" s="158">
        <f>VLOOKUP(B:B,'Курс валют'!A:D,4,0)</f>
        <v>103.47580000000001</v>
      </c>
      <c r="D61" s="162">
        <v>689</v>
      </c>
      <c r="E61" s="190" t="s">
        <v>60</v>
      </c>
      <c r="F61" s="162">
        <v>900</v>
      </c>
      <c r="G61" s="162">
        <v>930</v>
      </c>
      <c r="H61" s="161">
        <v>370</v>
      </c>
      <c r="I61" s="162">
        <f t="shared" si="0"/>
        <v>30</v>
      </c>
      <c r="J61" s="163">
        <f t="shared" si="1"/>
        <v>3.3333333333333335</v>
      </c>
      <c r="K61" s="161">
        <v>3.22</v>
      </c>
      <c r="L61" s="165">
        <f t="shared" si="2"/>
        <v>41.111111111111107</v>
      </c>
      <c r="M61" s="166">
        <f t="shared" si="3"/>
        <v>203.87032062222224</v>
      </c>
      <c r="N61" s="167">
        <f t="shared" si="4"/>
        <v>1.9702222222222223</v>
      </c>
      <c r="O61" s="167">
        <f t="shared" si="5"/>
        <v>1773.2</v>
      </c>
      <c r="P61" s="168">
        <f t="shared" si="6"/>
        <v>183483.28856000002</v>
      </c>
      <c r="R61" s="152"/>
    </row>
    <row r="62" spans="1:18" ht="12.75">
      <c r="A62" s="169">
        <v>45560</v>
      </c>
      <c r="B62" s="59">
        <v>45561</v>
      </c>
      <c r="C62" s="158">
        <f>VLOOKUP(B:B,'Курс валют'!A:D,4,0)</f>
        <v>103.47580000000001</v>
      </c>
      <c r="D62" s="162">
        <v>690</v>
      </c>
      <c r="E62" s="190" t="s">
        <v>60</v>
      </c>
      <c r="F62" s="162">
        <v>900</v>
      </c>
      <c r="G62" s="162">
        <v>930</v>
      </c>
      <c r="H62" s="161">
        <v>368</v>
      </c>
      <c r="I62" s="162">
        <f t="shared" si="0"/>
        <v>30</v>
      </c>
      <c r="J62" s="163">
        <f t="shared" si="1"/>
        <v>3.3333333333333335</v>
      </c>
      <c r="K62" s="161">
        <v>3.22</v>
      </c>
      <c r="L62" s="165">
        <f t="shared" si="2"/>
        <v>40.888888888888893</v>
      </c>
      <c r="M62" s="166">
        <f t="shared" si="3"/>
        <v>204.56935713777779</v>
      </c>
      <c r="N62" s="167">
        <f t="shared" si="4"/>
        <v>1.9769777777777777</v>
      </c>
      <c r="O62" s="167">
        <f t="shared" si="5"/>
        <v>1779.28</v>
      </c>
      <c r="P62" s="168">
        <f t="shared" si="6"/>
        <v>184112.421424</v>
      </c>
      <c r="R62" s="152"/>
    </row>
    <row r="63" spans="1:18" ht="12.75">
      <c r="A63" s="195">
        <v>45561</v>
      </c>
      <c r="B63" s="59">
        <v>45562</v>
      </c>
      <c r="C63" s="158">
        <f>VLOOKUP(B:B,'Курс валют'!A:D,4,0)</f>
        <v>103.1931</v>
      </c>
      <c r="D63" s="162">
        <v>691</v>
      </c>
      <c r="E63" s="190" t="s">
        <v>15</v>
      </c>
      <c r="F63" s="162">
        <v>6600</v>
      </c>
      <c r="G63" s="162">
        <v>6610</v>
      </c>
      <c r="H63" s="161">
        <v>3015</v>
      </c>
      <c r="I63" s="162">
        <f t="shared" si="0"/>
        <v>10</v>
      </c>
      <c r="J63" s="163">
        <f t="shared" si="1"/>
        <v>0.15151515151515152</v>
      </c>
      <c r="K63" s="161">
        <v>3.86</v>
      </c>
      <c r="L63" s="165">
        <f t="shared" si="2"/>
        <v>45.681818181818187</v>
      </c>
      <c r="M63" s="166">
        <f t="shared" si="3"/>
        <v>255.01829367272728</v>
      </c>
      <c r="N63" s="167">
        <f t="shared" si="4"/>
        <v>2.4712727272727273</v>
      </c>
      <c r="O63" s="167">
        <f t="shared" si="5"/>
        <v>16310.4</v>
      </c>
      <c r="P63" s="168">
        <f t="shared" si="6"/>
        <v>1683120.7382400001</v>
      </c>
      <c r="R63" s="152"/>
    </row>
    <row r="64" spans="1:18" ht="12.75">
      <c r="A64" s="195">
        <v>45561</v>
      </c>
      <c r="B64" s="59">
        <v>45562</v>
      </c>
      <c r="C64" s="158">
        <f>VLOOKUP(B:B,'Курс валют'!A:D,4,0)</f>
        <v>103.1931</v>
      </c>
      <c r="D64" s="162">
        <v>692</v>
      </c>
      <c r="E64" s="190" t="s">
        <v>60</v>
      </c>
      <c r="F64" s="162">
        <v>900</v>
      </c>
      <c r="G64" s="162">
        <v>926</v>
      </c>
      <c r="H64" s="161">
        <v>367</v>
      </c>
      <c r="I64" s="162">
        <f t="shared" si="0"/>
        <v>26</v>
      </c>
      <c r="J64" s="163">
        <f t="shared" si="1"/>
        <v>2.8888888888888888</v>
      </c>
      <c r="K64" s="161">
        <v>3.2</v>
      </c>
      <c r="L64" s="165">
        <f t="shared" si="2"/>
        <v>40.777777777777779</v>
      </c>
      <c r="M64" s="166">
        <f t="shared" si="3"/>
        <v>202.29516688000001</v>
      </c>
      <c r="N64" s="167">
        <f t="shared" si="4"/>
        <v>1.9603555555555554</v>
      </c>
      <c r="O64" s="167">
        <f t="shared" si="5"/>
        <v>1764.32</v>
      </c>
      <c r="P64" s="168">
        <f t="shared" si="6"/>
        <v>182065.650192</v>
      </c>
      <c r="R64" s="152"/>
    </row>
    <row r="65" spans="1:20" ht="12.75">
      <c r="A65" s="195">
        <v>45562</v>
      </c>
      <c r="B65" s="59">
        <v>45565</v>
      </c>
      <c r="C65" s="158">
        <f>VLOOKUP(B:B,'Курс валют'!A:D,4,0)</f>
        <v>103.46939999999999</v>
      </c>
      <c r="D65" s="162">
        <v>702</v>
      </c>
      <c r="E65" s="190" t="s">
        <v>2519</v>
      </c>
      <c r="F65" s="162">
        <v>200</v>
      </c>
      <c r="G65" s="162">
        <v>200</v>
      </c>
      <c r="H65" s="161">
        <v>0</v>
      </c>
      <c r="I65" s="162">
        <f t="shared" si="0"/>
        <v>0</v>
      </c>
      <c r="J65" s="163">
        <f t="shared" si="1"/>
        <v>0</v>
      </c>
      <c r="K65" s="161">
        <v>2.65</v>
      </c>
      <c r="L65" s="165">
        <f t="shared" si="2"/>
        <v>0</v>
      </c>
      <c r="M65" s="166">
        <f t="shared" si="3"/>
        <v>274.19391000000002</v>
      </c>
      <c r="N65" s="167">
        <f t="shared" si="4"/>
        <v>2.65</v>
      </c>
      <c r="O65" s="167">
        <f t="shared" si="5"/>
        <v>530</v>
      </c>
      <c r="P65" s="168">
        <f t="shared" si="6"/>
        <v>54838.781999999999</v>
      </c>
      <c r="R65" s="153" t="s">
        <v>1267</v>
      </c>
    </row>
    <row r="66" spans="1:20" ht="12.75">
      <c r="A66" s="195">
        <v>45562</v>
      </c>
      <c r="B66" s="59">
        <v>45565</v>
      </c>
      <c r="C66" s="158">
        <f>VLOOKUP(B:B,'Курс валют'!A:D,4,0)</f>
        <v>103.46939999999999</v>
      </c>
      <c r="D66" s="162">
        <v>694</v>
      </c>
      <c r="E66" s="190" t="s">
        <v>15</v>
      </c>
      <c r="F66" s="162">
        <v>6600</v>
      </c>
      <c r="G66" s="162">
        <v>6624</v>
      </c>
      <c r="H66" s="161">
        <v>3015</v>
      </c>
      <c r="I66" s="162">
        <f t="shared" si="0"/>
        <v>24</v>
      </c>
      <c r="J66" s="163">
        <f t="shared" si="1"/>
        <v>0.36363636363636365</v>
      </c>
      <c r="K66" s="161">
        <v>3.97</v>
      </c>
      <c r="L66" s="165">
        <f t="shared" si="2"/>
        <v>45.681818181818187</v>
      </c>
      <c r="M66" s="166">
        <f t="shared" si="3"/>
        <v>267.08274032727275</v>
      </c>
      <c r="N66" s="167">
        <f t="shared" si="4"/>
        <v>2.5812727272727276</v>
      </c>
      <c r="O66" s="167">
        <f t="shared" si="5"/>
        <v>17036.400000000001</v>
      </c>
      <c r="P66" s="168">
        <f t="shared" si="6"/>
        <v>1762746.0861599999</v>
      </c>
      <c r="R66" s="152"/>
    </row>
    <row r="67" spans="1:20" ht="12.75">
      <c r="A67" s="195">
        <v>45562</v>
      </c>
      <c r="B67" s="59">
        <v>45565</v>
      </c>
      <c r="C67" s="158">
        <f>VLOOKUP(B:B,'Курс валют'!A:D,4,0)</f>
        <v>103.46939999999999</v>
      </c>
      <c r="D67" s="162">
        <v>696</v>
      </c>
      <c r="E67" s="190" t="s">
        <v>15</v>
      </c>
      <c r="F67" s="162">
        <v>6600</v>
      </c>
      <c r="G67" s="162">
        <v>6610</v>
      </c>
      <c r="H67" s="161">
        <v>3015</v>
      </c>
      <c r="I67" s="162">
        <f t="shared" si="0"/>
        <v>10</v>
      </c>
      <c r="J67" s="163">
        <f t="shared" si="1"/>
        <v>0.15151515151515152</v>
      </c>
      <c r="K67" s="161">
        <v>3.97</v>
      </c>
      <c r="L67" s="165">
        <f t="shared" si="2"/>
        <v>45.681818181818187</v>
      </c>
      <c r="M67" s="166">
        <f t="shared" si="3"/>
        <v>267.08274032727275</v>
      </c>
      <c r="N67" s="167">
        <f t="shared" si="4"/>
        <v>2.5812727272727276</v>
      </c>
      <c r="O67" s="167">
        <f t="shared" si="5"/>
        <v>17036.400000000001</v>
      </c>
      <c r="P67" s="168">
        <f t="shared" si="6"/>
        <v>1762746.0861599999</v>
      </c>
      <c r="R67" s="152"/>
    </row>
    <row r="68" spans="1:20" ht="12.75">
      <c r="A68" s="195">
        <v>45562</v>
      </c>
      <c r="B68" s="59">
        <v>45565</v>
      </c>
      <c r="C68" s="158">
        <f>VLOOKUP(B:B,'Курс валют'!A:D,4,0)</f>
        <v>103.46939999999999</v>
      </c>
      <c r="D68" s="162">
        <v>699</v>
      </c>
      <c r="E68" s="190" t="s">
        <v>15</v>
      </c>
      <c r="F68" s="162">
        <v>6600</v>
      </c>
      <c r="G68" s="162">
        <v>6625</v>
      </c>
      <c r="H68" s="161">
        <v>3015</v>
      </c>
      <c r="I68" s="162">
        <f t="shared" si="0"/>
        <v>25</v>
      </c>
      <c r="J68" s="163">
        <f t="shared" si="1"/>
        <v>0.37878787878787878</v>
      </c>
      <c r="K68" s="161">
        <v>3.97</v>
      </c>
      <c r="L68" s="165">
        <f t="shared" si="2"/>
        <v>45.681818181818187</v>
      </c>
      <c r="M68" s="166">
        <f t="shared" si="3"/>
        <v>267.08274032727275</v>
      </c>
      <c r="N68" s="167">
        <f t="shared" si="4"/>
        <v>2.5812727272727276</v>
      </c>
      <c r="O68" s="167">
        <f t="shared" si="5"/>
        <v>17036.400000000001</v>
      </c>
      <c r="P68" s="168">
        <f t="shared" si="6"/>
        <v>1762746.0861599999</v>
      </c>
      <c r="R68" s="152"/>
    </row>
    <row r="69" spans="1:20" ht="12.75">
      <c r="A69" s="195">
        <v>45565</v>
      </c>
      <c r="B69" s="59">
        <v>45565</v>
      </c>
      <c r="C69" s="158">
        <f>VLOOKUP(B:B,'Курс валют'!A:D,4,0)</f>
        <v>103.46939999999999</v>
      </c>
      <c r="D69" s="162">
        <v>695</v>
      </c>
      <c r="E69" s="170" t="s">
        <v>60</v>
      </c>
      <c r="F69" s="162">
        <v>900</v>
      </c>
      <c r="G69" s="162">
        <v>930.5</v>
      </c>
      <c r="H69" s="161">
        <v>370</v>
      </c>
      <c r="I69" s="162">
        <f t="shared" si="0"/>
        <v>30.5</v>
      </c>
      <c r="J69" s="163">
        <f t="shared" si="1"/>
        <v>3.3888888888888893</v>
      </c>
      <c r="K69" s="161">
        <v>3.26</v>
      </c>
      <c r="L69" s="165">
        <f t="shared" si="2"/>
        <v>41.111111111111107</v>
      </c>
      <c r="M69" s="166">
        <f t="shared" si="3"/>
        <v>207.99648719999996</v>
      </c>
      <c r="N69" s="167">
        <f t="shared" si="4"/>
        <v>2.0102222222222221</v>
      </c>
      <c r="O69" s="167">
        <f t="shared" si="5"/>
        <v>1809.1999999999998</v>
      </c>
      <c r="P69" s="168">
        <f t="shared" si="6"/>
        <v>187196.83847999998</v>
      </c>
      <c r="R69" s="152"/>
    </row>
    <row r="70" spans="1:20" ht="12.75">
      <c r="A70" s="195">
        <v>45565</v>
      </c>
      <c r="B70" s="59">
        <v>45568</v>
      </c>
      <c r="C70" s="158">
        <f>VLOOKUP(B:B,'Курс валют'!A:D,4,0)</f>
        <v>104.4481</v>
      </c>
      <c r="D70" s="162">
        <v>697</v>
      </c>
      <c r="E70" s="170" t="s">
        <v>56</v>
      </c>
      <c r="F70" s="162">
        <v>1000</v>
      </c>
      <c r="G70" s="162">
        <v>1030</v>
      </c>
      <c r="H70" s="161">
        <v>216</v>
      </c>
      <c r="I70" s="162">
        <f t="shared" si="0"/>
        <v>30</v>
      </c>
      <c r="J70" s="163">
        <f t="shared" si="1"/>
        <v>3</v>
      </c>
      <c r="K70" s="161">
        <v>3.18</v>
      </c>
      <c r="L70" s="165">
        <f t="shared" si="2"/>
        <v>21.6</v>
      </c>
      <c r="M70" s="166">
        <f t="shared" si="3"/>
        <v>263.56015761599997</v>
      </c>
      <c r="N70" s="167">
        <f t="shared" si="4"/>
        <v>2.5233600000000003</v>
      </c>
      <c r="O70" s="167">
        <f t="shared" si="5"/>
        <v>2523.36</v>
      </c>
      <c r="P70" s="168">
        <f t="shared" si="6"/>
        <v>263560.15761599998</v>
      </c>
      <c r="R70" s="152"/>
    </row>
    <row r="71" spans="1:20" ht="12.75">
      <c r="A71" s="205" t="s">
        <v>2520</v>
      </c>
      <c r="B71" s="59">
        <v>45568</v>
      </c>
      <c r="C71" s="158">
        <f>VLOOKUP(B:B,'Курс валют'!A:D,4,0)</f>
        <v>104.4481</v>
      </c>
      <c r="D71" s="162">
        <v>698</v>
      </c>
      <c r="E71" s="170" t="s">
        <v>56</v>
      </c>
      <c r="F71" s="162">
        <v>1000</v>
      </c>
      <c r="G71" s="162">
        <v>1027</v>
      </c>
      <c r="H71" s="161">
        <v>216</v>
      </c>
      <c r="I71" s="162">
        <f t="shared" si="0"/>
        <v>27</v>
      </c>
      <c r="J71" s="163">
        <f t="shared" si="1"/>
        <v>2.7</v>
      </c>
      <c r="K71" s="161">
        <v>3.18</v>
      </c>
      <c r="L71" s="165">
        <f t="shared" si="2"/>
        <v>21.6</v>
      </c>
      <c r="M71" s="166">
        <f t="shared" si="3"/>
        <v>263.56015761599997</v>
      </c>
      <c r="N71" s="167">
        <f t="shared" si="4"/>
        <v>2.5233600000000003</v>
      </c>
      <c r="O71" s="167">
        <f t="shared" si="5"/>
        <v>2523.36</v>
      </c>
      <c r="P71" s="168">
        <f t="shared" si="6"/>
        <v>263560.15761599998</v>
      </c>
      <c r="R71" s="152"/>
    </row>
    <row r="72" spans="1:20" ht="12.75">
      <c r="A72" s="195">
        <v>45565</v>
      </c>
      <c r="B72" s="59">
        <v>45569</v>
      </c>
      <c r="C72" s="158">
        <f>VLOOKUP(B:B,'Курс валют'!A:D,4,0)</f>
        <v>104.8664</v>
      </c>
      <c r="D72" s="162">
        <v>700</v>
      </c>
      <c r="E72" s="170" t="s">
        <v>56</v>
      </c>
      <c r="F72" s="162">
        <v>1000</v>
      </c>
      <c r="G72" s="162">
        <v>1025</v>
      </c>
      <c r="H72" s="161">
        <v>216</v>
      </c>
      <c r="I72" s="162">
        <f t="shared" si="0"/>
        <v>25</v>
      </c>
      <c r="J72" s="163">
        <f t="shared" si="1"/>
        <v>2.5</v>
      </c>
      <c r="K72" s="161">
        <v>3.17</v>
      </c>
      <c r="L72" s="165">
        <f t="shared" si="2"/>
        <v>21.6</v>
      </c>
      <c r="M72" s="166">
        <f t="shared" si="3"/>
        <v>263.56701510400001</v>
      </c>
      <c r="N72" s="167">
        <f t="shared" si="4"/>
        <v>2.51336</v>
      </c>
      <c r="O72" s="167">
        <f t="shared" si="5"/>
        <v>2513.36</v>
      </c>
      <c r="P72" s="168">
        <f t="shared" si="6"/>
        <v>263567.01510399999</v>
      </c>
    </row>
    <row r="73" spans="1:20" ht="12.75">
      <c r="A73" s="195">
        <v>45565</v>
      </c>
      <c r="B73" s="59">
        <v>45567</v>
      </c>
      <c r="C73" s="158">
        <f>VLOOKUP(B:B,'Курс валют'!A:D,4,0)</f>
        <v>103.6502</v>
      </c>
      <c r="D73" s="162">
        <v>701</v>
      </c>
      <c r="E73" s="170" t="s">
        <v>2113</v>
      </c>
      <c r="F73" s="162">
        <v>1000</v>
      </c>
      <c r="G73" s="162">
        <v>1023</v>
      </c>
      <c r="H73" s="161">
        <v>110</v>
      </c>
      <c r="I73" s="162">
        <f t="shared" si="0"/>
        <v>23</v>
      </c>
      <c r="J73" s="163">
        <f t="shared" si="1"/>
        <v>2.2999999999999998</v>
      </c>
      <c r="K73" s="161">
        <v>2.75</v>
      </c>
      <c r="L73" s="165">
        <f t="shared" si="2"/>
        <v>11</v>
      </c>
      <c r="M73" s="166">
        <f t="shared" si="3"/>
        <v>250.37742312</v>
      </c>
      <c r="N73" s="167">
        <f t="shared" si="4"/>
        <v>2.4156</v>
      </c>
      <c r="O73" s="167">
        <f t="shared" si="5"/>
        <v>2415.6</v>
      </c>
      <c r="P73" s="168">
        <f t="shared" si="6"/>
        <v>250377.42311999999</v>
      </c>
    </row>
    <row r="74" spans="1:20">
      <c r="A74" s="59">
        <v>45566</v>
      </c>
      <c r="B74" s="59">
        <v>45566</v>
      </c>
      <c r="C74" s="158">
        <f>VLOOKUP(B:B,'Курс валют'!A:D,4,0)</f>
        <v>104.1735</v>
      </c>
      <c r="D74" s="159">
        <v>703</v>
      </c>
      <c r="E74" s="160" t="s">
        <v>15</v>
      </c>
      <c r="F74" s="159">
        <v>6600</v>
      </c>
      <c r="G74" s="159">
        <v>6606</v>
      </c>
      <c r="H74" s="199">
        <v>3015</v>
      </c>
      <c r="I74" s="198">
        <f t="shared" ref="I74:I145" si="7">G74-F74</f>
        <v>6</v>
      </c>
      <c r="J74" s="163">
        <f t="shared" ref="J74:J145" si="8">I74/F74*100</f>
        <v>9.0909090909090912E-2</v>
      </c>
      <c r="K74" s="164">
        <v>3.79</v>
      </c>
      <c r="L74" s="165">
        <f t="shared" ref="L74:L145" si="9">H74/F74*100</f>
        <v>45.681818181818187</v>
      </c>
      <c r="M74" s="166">
        <f t="shared" ref="M74:M145" si="10">P74/F74</f>
        <v>250.14898445454543</v>
      </c>
      <c r="N74" s="167">
        <f t="shared" ref="N74:N145" si="11">(F74*K74-H74*3.04)/F74</f>
        <v>2.401272727272727</v>
      </c>
      <c r="O74" s="167">
        <f t="shared" ref="O74:O145" si="12">N74*F74</f>
        <v>15848.399999999998</v>
      </c>
      <c r="P74" s="168">
        <f t="shared" ref="P74:P145" si="13">O74*C74</f>
        <v>1650983.2973999998</v>
      </c>
      <c r="R74" s="153"/>
    </row>
    <row r="75" spans="1:20">
      <c r="A75" s="194">
        <v>45566</v>
      </c>
      <c r="B75" s="59">
        <v>45566</v>
      </c>
      <c r="C75" s="158">
        <f>VLOOKUP(B:B,'Курс валют'!A:D,4,0)</f>
        <v>104.1735</v>
      </c>
      <c r="D75" s="198">
        <v>621</v>
      </c>
      <c r="E75" s="170" t="s">
        <v>2501</v>
      </c>
      <c r="F75" s="198">
        <v>30</v>
      </c>
      <c r="G75" s="198">
        <v>37.9</v>
      </c>
      <c r="H75" s="199">
        <v>15</v>
      </c>
      <c r="I75" s="198">
        <f t="shared" si="7"/>
        <v>7.8999999999999986</v>
      </c>
      <c r="J75" s="163">
        <f t="shared" si="8"/>
        <v>26.333333333333332</v>
      </c>
      <c r="K75" s="199">
        <v>4.3600000000000003</v>
      </c>
      <c r="L75" s="165">
        <f t="shared" si="9"/>
        <v>50</v>
      </c>
      <c r="M75" s="166">
        <f t="shared" si="10"/>
        <v>295.8527400000001</v>
      </c>
      <c r="N75" s="167">
        <f t="shared" si="11"/>
        <v>2.8400000000000007</v>
      </c>
      <c r="O75" s="167">
        <f t="shared" si="12"/>
        <v>85.200000000000017</v>
      </c>
      <c r="P75" s="168">
        <f t="shared" si="13"/>
        <v>8875.5822000000026</v>
      </c>
      <c r="R75" s="153" t="s">
        <v>2502</v>
      </c>
    </row>
    <row r="76" spans="1:20">
      <c r="A76" s="171">
        <v>45566</v>
      </c>
      <c r="B76" s="172">
        <v>45566</v>
      </c>
      <c r="C76" s="173">
        <f>VLOOKUP(B:B,'Курс валют'!A:D,4,0)</f>
        <v>104.1735</v>
      </c>
      <c r="D76" s="174">
        <v>622</v>
      </c>
      <c r="E76" s="175" t="s">
        <v>2501</v>
      </c>
      <c r="F76" s="174">
        <v>30</v>
      </c>
      <c r="G76" s="174">
        <v>32.520000000000003</v>
      </c>
      <c r="H76" s="176">
        <f>5.334+5.333+5.333</f>
        <v>16</v>
      </c>
      <c r="I76" s="174">
        <f t="shared" si="7"/>
        <v>2.5200000000000031</v>
      </c>
      <c r="J76" s="177">
        <f t="shared" si="8"/>
        <v>8.400000000000011</v>
      </c>
      <c r="K76" s="176">
        <v>4.43</v>
      </c>
      <c r="L76" s="178">
        <f t="shared" si="9"/>
        <v>53.333333333333336</v>
      </c>
      <c r="M76" s="166">
        <f t="shared" si="10"/>
        <v>292.58863699999995</v>
      </c>
      <c r="N76" s="179">
        <f t="shared" si="11"/>
        <v>2.808666666666666</v>
      </c>
      <c r="O76" s="167">
        <f t="shared" si="12"/>
        <v>84.259999999999977</v>
      </c>
      <c r="P76" s="168">
        <f t="shared" si="13"/>
        <v>8777.6591099999987</v>
      </c>
      <c r="R76" s="153" t="s">
        <v>2503</v>
      </c>
    </row>
    <row r="77" spans="1:20">
      <c r="A77" s="194">
        <v>45567</v>
      </c>
      <c r="B77" s="59">
        <v>45568</v>
      </c>
      <c r="C77" s="158">
        <f>VLOOKUP(B:B,'Курс валют'!A:D,4,0)</f>
        <v>104.4481</v>
      </c>
      <c r="D77" s="47">
        <v>704</v>
      </c>
      <c r="E77" s="170" t="s">
        <v>2113</v>
      </c>
      <c r="F77" s="198">
        <v>1000</v>
      </c>
      <c r="G77" s="198">
        <v>1024</v>
      </c>
      <c r="H77" s="199">
        <v>112</v>
      </c>
      <c r="I77" s="198">
        <f t="shared" si="7"/>
        <v>24</v>
      </c>
      <c r="J77" s="163">
        <f t="shared" si="8"/>
        <v>2.4</v>
      </c>
      <c r="K77" s="199">
        <v>2.83</v>
      </c>
      <c r="L77" s="165">
        <f t="shared" si="9"/>
        <v>11.200000000000001</v>
      </c>
      <c r="M77" s="166">
        <f t="shared" si="10"/>
        <v>260.02563391199999</v>
      </c>
      <c r="N77" s="167">
        <f t="shared" si="11"/>
        <v>2.4895200000000002</v>
      </c>
      <c r="O77" s="167">
        <f t="shared" si="12"/>
        <v>2489.52</v>
      </c>
      <c r="P77" s="168">
        <f t="shared" si="13"/>
        <v>260025.63391199999</v>
      </c>
      <c r="R77" s="153"/>
    </row>
    <row r="78" spans="1:20">
      <c r="A78" s="194">
        <v>45567</v>
      </c>
      <c r="B78" s="59">
        <v>45568</v>
      </c>
      <c r="C78" s="158">
        <f>VLOOKUP(B:B,'Курс валют'!A:D,4,0)</f>
        <v>104.4481</v>
      </c>
      <c r="D78" s="47">
        <v>705</v>
      </c>
      <c r="E78" s="170" t="s">
        <v>2504</v>
      </c>
      <c r="F78" s="198">
        <v>800</v>
      </c>
      <c r="G78" s="198">
        <v>816.75</v>
      </c>
      <c r="H78" s="199">
        <v>0</v>
      </c>
      <c r="I78" s="198">
        <f t="shared" si="7"/>
        <v>16.75</v>
      </c>
      <c r="J78" s="163">
        <f t="shared" si="8"/>
        <v>2.09375</v>
      </c>
      <c r="K78" s="199">
        <v>2.44</v>
      </c>
      <c r="L78" s="165">
        <f t="shared" si="9"/>
        <v>0</v>
      </c>
      <c r="M78" s="166">
        <f t="shared" si="10"/>
        <v>254.853364</v>
      </c>
      <c r="N78" s="167">
        <f t="shared" si="11"/>
        <v>2.44</v>
      </c>
      <c r="O78" s="167">
        <f t="shared" si="12"/>
        <v>1952</v>
      </c>
      <c r="P78" s="168">
        <f t="shared" si="13"/>
        <v>203882.6912</v>
      </c>
      <c r="R78" s="153" t="s">
        <v>2505</v>
      </c>
    </row>
    <row r="79" spans="1:20">
      <c r="A79" s="194">
        <v>45567</v>
      </c>
      <c r="B79" s="59">
        <v>45568</v>
      </c>
      <c r="C79" s="158">
        <f>VLOOKUP(B:B,'Курс валют'!A:D,4,0)</f>
        <v>104.4481</v>
      </c>
      <c r="D79" s="47">
        <v>706</v>
      </c>
      <c r="E79" s="180" t="s">
        <v>51</v>
      </c>
      <c r="F79" s="198">
        <v>4000</v>
      </c>
      <c r="G79" s="198">
        <v>4026</v>
      </c>
      <c r="H79" s="199">
        <v>0</v>
      </c>
      <c r="I79" s="198">
        <f t="shared" si="7"/>
        <v>26</v>
      </c>
      <c r="J79" s="163">
        <f t="shared" si="8"/>
        <v>0.65</v>
      </c>
      <c r="K79" s="199">
        <v>1.99</v>
      </c>
      <c r="L79" s="165">
        <f t="shared" si="9"/>
        <v>0</v>
      </c>
      <c r="M79" s="166">
        <f t="shared" si="10"/>
        <v>207.85171899999997</v>
      </c>
      <c r="N79" s="167">
        <f t="shared" si="11"/>
        <v>1.99</v>
      </c>
      <c r="O79" s="167">
        <f t="shared" si="12"/>
        <v>7960</v>
      </c>
      <c r="P79" s="168">
        <f t="shared" si="13"/>
        <v>831406.87599999993</v>
      </c>
      <c r="R79" s="153"/>
    </row>
    <row r="80" spans="1:20">
      <c r="A80" s="194">
        <v>45567</v>
      </c>
      <c r="B80" s="59">
        <v>45568</v>
      </c>
      <c r="C80" s="158">
        <f>VLOOKUP(B:B,'Курс валют'!A:D,4,0)</f>
        <v>104.4481</v>
      </c>
      <c r="D80" s="47">
        <v>707</v>
      </c>
      <c r="E80" s="180" t="s">
        <v>559</v>
      </c>
      <c r="F80" s="198">
        <v>900</v>
      </c>
      <c r="G80" s="198">
        <v>920.01</v>
      </c>
      <c r="H80" s="199">
        <v>492</v>
      </c>
      <c r="I80" s="198">
        <f t="shared" si="7"/>
        <v>20.009999999999991</v>
      </c>
      <c r="J80" s="163">
        <f t="shared" si="8"/>
        <v>2.2233333333333323</v>
      </c>
      <c r="K80" s="199">
        <v>3.73</v>
      </c>
      <c r="L80" s="165">
        <f t="shared" si="9"/>
        <v>54.666666666666664</v>
      </c>
      <c r="M80" s="166">
        <f t="shared" si="10"/>
        <v>216.01259721333332</v>
      </c>
      <c r="N80" s="167">
        <f t="shared" si="11"/>
        <v>2.0681333333333334</v>
      </c>
      <c r="O80" s="167">
        <f t="shared" si="12"/>
        <v>1861.32</v>
      </c>
      <c r="P80" s="168">
        <f t="shared" si="13"/>
        <v>194411.33749199999</v>
      </c>
      <c r="R80" s="153"/>
      <c r="T80" s="33"/>
    </row>
    <row r="81" spans="1:20">
      <c r="A81" s="194">
        <v>45568</v>
      </c>
      <c r="B81" s="59">
        <v>45569</v>
      </c>
      <c r="C81" s="158">
        <f>VLOOKUP(B:B,'Курс валют'!A:D,4,0)</f>
        <v>104.8664</v>
      </c>
      <c r="D81" s="47">
        <v>714</v>
      </c>
      <c r="E81" s="180" t="s">
        <v>93</v>
      </c>
      <c r="F81" s="198">
        <v>220</v>
      </c>
      <c r="G81" s="198">
        <v>220</v>
      </c>
      <c r="H81" s="199">
        <v>0</v>
      </c>
      <c r="I81" s="198">
        <f t="shared" si="7"/>
        <v>0</v>
      </c>
      <c r="J81" s="163">
        <f t="shared" si="8"/>
        <v>0</v>
      </c>
      <c r="K81" s="199">
        <v>4.04</v>
      </c>
      <c r="L81" s="165">
        <f t="shared" si="9"/>
        <v>0</v>
      </c>
      <c r="M81" s="166">
        <f t="shared" si="10"/>
        <v>423.660256</v>
      </c>
      <c r="N81" s="167">
        <f t="shared" si="11"/>
        <v>4.04</v>
      </c>
      <c r="O81" s="167">
        <f t="shared" si="12"/>
        <v>888.8</v>
      </c>
      <c r="P81" s="168">
        <f t="shared" si="13"/>
        <v>93205.25632</v>
      </c>
      <c r="R81" s="153" t="s">
        <v>1267</v>
      </c>
    </row>
    <row r="82" spans="1:20">
      <c r="A82" s="194">
        <v>45568</v>
      </c>
      <c r="B82" s="59">
        <v>45569</v>
      </c>
      <c r="C82" s="158">
        <f>VLOOKUP(B:B,'Курс валют'!A:D,4,0)</f>
        <v>104.8664</v>
      </c>
      <c r="D82" s="47">
        <v>708</v>
      </c>
      <c r="E82" s="180" t="s">
        <v>51</v>
      </c>
      <c r="F82" s="198">
        <v>1600</v>
      </c>
      <c r="G82" s="198">
        <v>1605.9059999999999</v>
      </c>
      <c r="H82" s="199">
        <v>0</v>
      </c>
      <c r="I82" s="198">
        <f t="shared" si="7"/>
        <v>5.9059999999999491</v>
      </c>
      <c r="J82" s="163">
        <f t="shared" si="8"/>
        <v>0.36912499999999682</v>
      </c>
      <c r="K82" s="199">
        <v>1.99</v>
      </c>
      <c r="L82" s="165">
        <f t="shared" si="9"/>
        <v>0</v>
      </c>
      <c r="M82" s="166">
        <f t="shared" si="10"/>
        <v>208.684136</v>
      </c>
      <c r="N82" s="167">
        <f t="shared" si="11"/>
        <v>1.99</v>
      </c>
      <c r="O82" s="167">
        <f t="shared" si="12"/>
        <v>3184</v>
      </c>
      <c r="P82" s="168">
        <f t="shared" si="13"/>
        <v>333894.6176</v>
      </c>
      <c r="R82" s="153"/>
    </row>
    <row r="83" spans="1:20">
      <c r="A83" s="194">
        <v>45568</v>
      </c>
      <c r="B83" s="59">
        <v>45569</v>
      </c>
      <c r="C83" s="158">
        <f>VLOOKUP(B:B,'Курс валют'!A:D,4,0)</f>
        <v>104.8664</v>
      </c>
      <c r="D83" s="58">
        <v>709</v>
      </c>
      <c r="E83" s="50" t="s">
        <v>66</v>
      </c>
      <c r="F83" s="198">
        <v>1600</v>
      </c>
      <c r="G83" s="198">
        <v>1603.7</v>
      </c>
      <c r="H83" s="199">
        <v>151.72</v>
      </c>
      <c r="I83" s="198">
        <f t="shared" si="7"/>
        <v>3.7000000000000455</v>
      </c>
      <c r="J83" s="163">
        <f t="shared" si="8"/>
        <v>0.23125000000000284</v>
      </c>
      <c r="K83" s="199">
        <v>2.0299999999999998</v>
      </c>
      <c r="L83" s="165">
        <f t="shared" si="9"/>
        <v>9.4824999999999999</v>
      </c>
      <c r="M83" s="166">
        <f t="shared" si="10"/>
        <v>182.64916460479998</v>
      </c>
      <c r="N83" s="167">
        <f t="shared" si="11"/>
        <v>1.7417319999999998</v>
      </c>
      <c r="O83" s="167">
        <f t="shared" si="12"/>
        <v>2786.7711999999997</v>
      </c>
      <c r="P83" s="168">
        <f t="shared" si="13"/>
        <v>292238.66336767998</v>
      </c>
      <c r="R83" s="153"/>
      <c r="T83" s="33"/>
    </row>
    <row r="84" spans="1:20">
      <c r="A84" s="194">
        <v>45568</v>
      </c>
      <c r="B84" s="59">
        <v>45569</v>
      </c>
      <c r="C84" s="158">
        <f>VLOOKUP(B:B,'Курс валют'!A:D,4,0)</f>
        <v>104.8664</v>
      </c>
      <c r="D84" s="47">
        <v>711</v>
      </c>
      <c r="E84" s="180" t="s">
        <v>559</v>
      </c>
      <c r="F84" s="198">
        <v>900</v>
      </c>
      <c r="G84" s="198">
        <v>928.67</v>
      </c>
      <c r="H84" s="199">
        <v>494.66</v>
      </c>
      <c r="I84" s="198">
        <f t="shared" si="7"/>
        <v>28.669999999999959</v>
      </c>
      <c r="J84" s="163">
        <f t="shared" si="8"/>
        <v>3.1855555555555513</v>
      </c>
      <c r="K84" s="199">
        <v>3.75</v>
      </c>
      <c r="L84" s="165">
        <f t="shared" si="9"/>
        <v>54.962222222222223</v>
      </c>
      <c r="M84" s="166">
        <f t="shared" si="10"/>
        <v>218.0328124344889</v>
      </c>
      <c r="N84" s="167">
        <f t="shared" si="11"/>
        <v>2.0791484444444444</v>
      </c>
      <c r="O84" s="167">
        <f t="shared" si="12"/>
        <v>1871.2336</v>
      </c>
      <c r="P84" s="168">
        <f t="shared" si="13"/>
        <v>196229.53119104001</v>
      </c>
      <c r="R84" s="153"/>
    </row>
    <row r="85" spans="1:20">
      <c r="A85" s="194">
        <v>45569</v>
      </c>
      <c r="B85" s="172">
        <v>45572</v>
      </c>
      <c r="C85" s="173">
        <f>VLOOKUP(B:B,'Курс валют'!A:D,4,0)</f>
        <v>104.7424</v>
      </c>
      <c r="D85" s="174">
        <v>710</v>
      </c>
      <c r="E85" s="175" t="s">
        <v>60</v>
      </c>
      <c r="F85" s="174">
        <v>900</v>
      </c>
      <c r="G85" s="174">
        <v>931</v>
      </c>
      <c r="H85" s="176">
        <v>370</v>
      </c>
      <c r="I85" s="174">
        <f t="shared" si="7"/>
        <v>31</v>
      </c>
      <c r="J85" s="177">
        <f t="shared" si="8"/>
        <v>3.4444444444444446</v>
      </c>
      <c r="K85" s="176">
        <v>3.26</v>
      </c>
      <c r="L85" s="178">
        <f t="shared" si="9"/>
        <v>41.111111111111107</v>
      </c>
      <c r="M85" s="166">
        <f t="shared" si="10"/>
        <v>210.55550008888886</v>
      </c>
      <c r="N85" s="179">
        <f t="shared" si="11"/>
        <v>2.0102222222222221</v>
      </c>
      <c r="O85" s="167">
        <f t="shared" si="12"/>
        <v>1809.1999999999998</v>
      </c>
      <c r="P85" s="168">
        <f t="shared" si="13"/>
        <v>189499.95007999998</v>
      </c>
      <c r="R85" s="155"/>
    </row>
    <row r="86" spans="1:20">
      <c r="A86" s="194">
        <v>45569</v>
      </c>
      <c r="B86" s="172">
        <v>45572</v>
      </c>
      <c r="C86" s="173">
        <f>VLOOKUP(B:B,'Курс валют'!A:D,4,0)</f>
        <v>104.7424</v>
      </c>
      <c r="D86" s="174">
        <v>713</v>
      </c>
      <c r="E86" s="175" t="s">
        <v>60</v>
      </c>
      <c r="F86" s="174">
        <v>900</v>
      </c>
      <c r="G86" s="174">
        <v>927</v>
      </c>
      <c r="H86" s="176">
        <v>368</v>
      </c>
      <c r="I86" s="174">
        <f t="shared" si="7"/>
        <v>27</v>
      </c>
      <c r="J86" s="177">
        <f t="shared" si="8"/>
        <v>3</v>
      </c>
      <c r="K86" s="176">
        <v>3.26</v>
      </c>
      <c r="L86" s="178">
        <f t="shared" si="9"/>
        <v>40.888888888888893</v>
      </c>
      <c r="M86" s="166">
        <f t="shared" si="10"/>
        <v>211.26309319111107</v>
      </c>
      <c r="N86" s="179">
        <f t="shared" si="11"/>
        <v>2.0169777777777775</v>
      </c>
      <c r="O86" s="167">
        <f t="shared" si="12"/>
        <v>1815.2799999999997</v>
      </c>
      <c r="P86" s="168">
        <f t="shared" si="13"/>
        <v>190136.78387199997</v>
      </c>
      <c r="R86" s="153"/>
    </row>
    <row r="87" spans="1:20">
      <c r="A87" s="194">
        <v>45569</v>
      </c>
      <c r="B87" s="172">
        <v>45572</v>
      </c>
      <c r="C87" s="173">
        <f>VLOOKUP(B:B,'Курс валют'!A:D,4,0)</f>
        <v>104.7424</v>
      </c>
      <c r="D87" s="174">
        <v>716</v>
      </c>
      <c r="E87" s="175" t="s">
        <v>60</v>
      </c>
      <c r="F87" s="174">
        <v>900</v>
      </c>
      <c r="G87" s="174">
        <v>928</v>
      </c>
      <c r="H87" s="176">
        <v>367</v>
      </c>
      <c r="I87" s="174">
        <f t="shared" si="7"/>
        <v>28</v>
      </c>
      <c r="J87" s="177">
        <f t="shared" si="8"/>
        <v>3.1111111111111112</v>
      </c>
      <c r="K87" s="176">
        <v>3.26</v>
      </c>
      <c r="L87" s="178">
        <f t="shared" si="9"/>
        <v>40.777777777777779</v>
      </c>
      <c r="M87" s="166">
        <f t="shared" si="10"/>
        <v>211.61688974222224</v>
      </c>
      <c r="N87" s="179">
        <f t="shared" si="11"/>
        <v>2.0203555555555557</v>
      </c>
      <c r="O87" s="167">
        <f t="shared" si="12"/>
        <v>1818.3200000000002</v>
      </c>
      <c r="P87" s="168">
        <f t="shared" si="13"/>
        <v>190455.20076800001</v>
      </c>
      <c r="R87" s="155"/>
    </row>
    <row r="88" spans="1:20">
      <c r="A88" s="194">
        <v>45569</v>
      </c>
      <c r="B88" s="59">
        <v>45572</v>
      </c>
      <c r="C88" s="158">
        <f>VLOOKUP(B:B,'Курс валют'!A:D,4,0)</f>
        <v>104.7424</v>
      </c>
      <c r="D88" s="47">
        <v>712</v>
      </c>
      <c r="E88" s="50" t="s">
        <v>65</v>
      </c>
      <c r="F88" s="198">
        <v>6400</v>
      </c>
      <c r="G88" s="198">
        <v>6411.6</v>
      </c>
      <c r="H88" s="199">
        <v>605</v>
      </c>
      <c r="I88" s="198">
        <f t="shared" si="7"/>
        <v>11.600000000000364</v>
      </c>
      <c r="J88" s="163">
        <f t="shared" si="8"/>
        <v>0.18125000000000568</v>
      </c>
      <c r="K88" s="199">
        <v>2.13</v>
      </c>
      <c r="L88" s="165">
        <f t="shared" si="9"/>
        <v>9.453125</v>
      </c>
      <c r="M88" s="166">
        <f t="shared" si="10"/>
        <v>193.00096479999999</v>
      </c>
      <c r="N88" s="167">
        <f t="shared" si="11"/>
        <v>1.842625</v>
      </c>
      <c r="O88" s="167">
        <f t="shared" si="12"/>
        <v>11792.8</v>
      </c>
      <c r="P88" s="168">
        <f t="shared" si="13"/>
        <v>1235206.17472</v>
      </c>
      <c r="R88" s="155"/>
    </row>
    <row r="89" spans="1:20">
      <c r="A89" s="194">
        <v>45569</v>
      </c>
      <c r="B89" s="59">
        <v>45572</v>
      </c>
      <c r="C89" s="158">
        <f>VLOOKUP(B:B,'Курс валют'!A:D,4,0)</f>
        <v>104.7424</v>
      </c>
      <c r="D89" s="58">
        <v>715</v>
      </c>
      <c r="E89" s="50" t="s">
        <v>66</v>
      </c>
      <c r="F89" s="198">
        <v>8000</v>
      </c>
      <c r="G89" s="198">
        <v>8009.2</v>
      </c>
      <c r="H89" s="199">
        <v>760</v>
      </c>
      <c r="I89" s="198">
        <f t="shared" si="7"/>
        <v>9.1999999999998181</v>
      </c>
      <c r="J89" s="163">
        <f t="shared" si="8"/>
        <v>0.11499999999999772</v>
      </c>
      <c r="K89" s="199">
        <v>2.12</v>
      </c>
      <c r="L89" s="165">
        <f t="shared" si="9"/>
        <v>9.5</v>
      </c>
      <c r="M89" s="166">
        <f t="shared" si="10"/>
        <v>191.80428288000002</v>
      </c>
      <c r="N89" s="167">
        <f t="shared" si="11"/>
        <v>1.8311999999999999</v>
      </c>
      <c r="O89" s="167">
        <f t="shared" si="12"/>
        <v>14649.6</v>
      </c>
      <c r="P89" s="168">
        <f t="shared" si="13"/>
        <v>1534434.2630400001</v>
      </c>
      <c r="R89" s="153"/>
    </row>
    <row r="90" spans="1:20">
      <c r="A90" s="194">
        <v>45569</v>
      </c>
      <c r="B90" s="59">
        <v>45572</v>
      </c>
      <c r="C90" s="158">
        <f>VLOOKUP(B:B,'Курс валют'!A:D,4,0)</f>
        <v>104.7424</v>
      </c>
      <c r="D90" s="58">
        <v>717</v>
      </c>
      <c r="E90" s="50" t="s">
        <v>66</v>
      </c>
      <c r="F90" s="198">
        <v>7200</v>
      </c>
      <c r="G90" s="198">
        <v>7212.5</v>
      </c>
      <c r="H90" s="181">
        <v>683</v>
      </c>
      <c r="I90" s="198">
        <f t="shared" si="7"/>
        <v>12.5</v>
      </c>
      <c r="J90" s="163">
        <f t="shared" si="8"/>
        <v>0.1736111111111111</v>
      </c>
      <c r="K90" s="199">
        <v>2.12</v>
      </c>
      <c r="L90" s="165">
        <f t="shared" si="9"/>
        <v>9.4861111111111107</v>
      </c>
      <c r="M90" s="166">
        <f t="shared" si="10"/>
        <v>191.84850744888891</v>
      </c>
      <c r="N90" s="167">
        <f t="shared" si="11"/>
        <v>1.8316222222222223</v>
      </c>
      <c r="O90" s="167">
        <f t="shared" si="12"/>
        <v>13187.68</v>
      </c>
      <c r="P90" s="168">
        <f t="shared" si="13"/>
        <v>1381309.2536320002</v>
      </c>
      <c r="R90" s="155"/>
    </row>
    <row r="91" spans="1:20">
      <c r="A91" s="194">
        <v>45572</v>
      </c>
      <c r="B91" s="59">
        <v>45573</v>
      </c>
      <c r="C91" s="158">
        <f>VLOOKUP(B:B,'Курс валют'!A:D,4,0)</f>
        <v>105.3069</v>
      </c>
      <c r="D91" s="198">
        <v>718</v>
      </c>
      <c r="E91" s="21" t="s">
        <v>60</v>
      </c>
      <c r="F91" s="198">
        <v>900</v>
      </c>
      <c r="G91" s="198">
        <v>935</v>
      </c>
      <c r="H91" s="199">
        <v>368</v>
      </c>
      <c r="I91" s="198">
        <f t="shared" si="7"/>
        <v>35</v>
      </c>
      <c r="J91" s="163">
        <f t="shared" si="8"/>
        <v>3.8888888888888888</v>
      </c>
      <c r="K91" s="199">
        <v>3.23</v>
      </c>
      <c r="L91" s="165">
        <f t="shared" si="9"/>
        <v>40.888888888888893</v>
      </c>
      <c r="M91" s="166">
        <f t="shared" si="10"/>
        <v>209.24247014666665</v>
      </c>
      <c r="N91" s="167">
        <f t="shared" si="11"/>
        <v>1.9869777777777777</v>
      </c>
      <c r="O91" s="167">
        <f t="shared" si="12"/>
        <v>1788.28</v>
      </c>
      <c r="P91" s="168">
        <f t="shared" si="13"/>
        <v>188318.22313199998</v>
      </c>
      <c r="R91" s="155"/>
    </row>
    <row r="92" spans="1:20">
      <c r="A92" s="194">
        <v>45572</v>
      </c>
      <c r="B92" s="59">
        <v>45573</v>
      </c>
      <c r="C92" s="158">
        <f>VLOOKUP(B:B,'Курс валют'!A:D,4,0)</f>
        <v>105.3069</v>
      </c>
      <c r="D92" s="47">
        <v>719</v>
      </c>
      <c r="E92" s="21" t="s">
        <v>2113</v>
      </c>
      <c r="F92" s="198">
        <v>1000</v>
      </c>
      <c r="G92" s="198">
        <v>1026</v>
      </c>
      <c r="H92" s="199">
        <v>111</v>
      </c>
      <c r="I92" s="198">
        <f t="shared" si="7"/>
        <v>26</v>
      </c>
      <c r="J92" s="163">
        <f t="shared" si="8"/>
        <v>2.6</v>
      </c>
      <c r="K92" s="199">
        <v>2.74</v>
      </c>
      <c r="L92" s="165">
        <f t="shared" si="9"/>
        <v>11.1</v>
      </c>
      <c r="M92" s="166">
        <f t="shared" si="10"/>
        <v>253.00614566399997</v>
      </c>
      <c r="N92" s="167">
        <f t="shared" si="11"/>
        <v>2.4025599999999998</v>
      </c>
      <c r="O92" s="167">
        <f t="shared" si="12"/>
        <v>2402.56</v>
      </c>
      <c r="P92" s="168">
        <f t="shared" si="13"/>
        <v>253006.14566399998</v>
      </c>
      <c r="R92" s="153"/>
    </row>
    <row r="93" spans="1:20">
      <c r="A93" s="194">
        <v>45572</v>
      </c>
      <c r="B93" s="59">
        <v>45573</v>
      </c>
      <c r="C93" s="158">
        <f>VLOOKUP(B:B,'Курс валют'!A:D,4,0)</f>
        <v>105.3069</v>
      </c>
      <c r="D93" s="198">
        <v>720</v>
      </c>
      <c r="E93" s="21" t="s">
        <v>15</v>
      </c>
      <c r="F93" s="57">
        <v>8800</v>
      </c>
      <c r="G93" s="198">
        <v>8811</v>
      </c>
      <c r="H93" s="199">
        <v>4016</v>
      </c>
      <c r="I93" s="198">
        <f t="shared" si="7"/>
        <v>11</v>
      </c>
      <c r="J93" s="163">
        <f t="shared" si="8"/>
        <v>0.125</v>
      </c>
      <c r="K93" s="199">
        <v>3.09</v>
      </c>
      <c r="L93" s="165">
        <f t="shared" si="9"/>
        <v>45.636363636363633</v>
      </c>
      <c r="M93" s="166">
        <f t="shared" si="10"/>
        <v>179.30127195272726</v>
      </c>
      <c r="N93" s="167">
        <f t="shared" si="11"/>
        <v>1.7026545454545454</v>
      </c>
      <c r="O93" s="167">
        <f t="shared" si="12"/>
        <v>14983.36</v>
      </c>
      <c r="P93" s="168">
        <f t="shared" si="13"/>
        <v>1577851.193184</v>
      </c>
      <c r="R93" s="155"/>
    </row>
    <row r="94" spans="1:20">
      <c r="A94" s="194">
        <v>45573</v>
      </c>
      <c r="B94" s="59">
        <v>45573</v>
      </c>
      <c r="C94" s="158">
        <f>VLOOKUP(B:B,'Курс валют'!A:D,4,0)</f>
        <v>105.3069</v>
      </c>
      <c r="D94" s="47">
        <v>726</v>
      </c>
      <c r="E94" s="21" t="s">
        <v>1092</v>
      </c>
      <c r="F94" s="198">
        <v>200</v>
      </c>
      <c r="G94" s="198">
        <v>200</v>
      </c>
      <c r="H94" s="199">
        <v>0</v>
      </c>
      <c r="I94" s="198">
        <f t="shared" si="7"/>
        <v>0</v>
      </c>
      <c r="J94" s="163">
        <f t="shared" si="8"/>
        <v>0</v>
      </c>
      <c r="K94" s="199">
        <v>2.64</v>
      </c>
      <c r="L94" s="165">
        <f t="shared" si="9"/>
        <v>0</v>
      </c>
      <c r="M94" s="166">
        <f t="shared" si="10"/>
        <v>278.01021600000001</v>
      </c>
      <c r="N94" s="167">
        <f t="shared" si="11"/>
        <v>2.64</v>
      </c>
      <c r="O94" s="167">
        <f t="shared" si="12"/>
        <v>528</v>
      </c>
      <c r="P94" s="168">
        <f t="shared" si="13"/>
        <v>55602.0432</v>
      </c>
      <c r="R94" s="153" t="s">
        <v>1267</v>
      </c>
    </row>
    <row r="95" spans="1:20">
      <c r="A95" s="194">
        <v>45573</v>
      </c>
      <c r="B95" s="59">
        <v>45573</v>
      </c>
      <c r="C95" s="158">
        <f>VLOOKUP(B:B,'Курс валют'!A:D,4,0)</f>
        <v>105.3069</v>
      </c>
      <c r="D95" s="47">
        <v>727</v>
      </c>
      <c r="E95" s="170" t="s">
        <v>2506</v>
      </c>
      <c r="F95" s="198">
        <v>200</v>
      </c>
      <c r="G95" s="198">
        <v>200</v>
      </c>
      <c r="H95" s="199">
        <v>0</v>
      </c>
      <c r="I95" s="198">
        <f t="shared" si="7"/>
        <v>0</v>
      </c>
      <c r="J95" s="163">
        <f t="shared" si="8"/>
        <v>0</v>
      </c>
      <c r="K95" s="199">
        <v>2.96</v>
      </c>
      <c r="L95" s="165">
        <f t="shared" si="9"/>
        <v>0</v>
      </c>
      <c r="M95" s="166">
        <f t="shared" si="10"/>
        <v>311.70842400000004</v>
      </c>
      <c r="N95" s="167">
        <f t="shared" si="11"/>
        <v>2.96</v>
      </c>
      <c r="O95" s="167">
        <f t="shared" si="12"/>
        <v>592</v>
      </c>
      <c r="P95" s="168">
        <f t="shared" si="13"/>
        <v>62341.684800000003</v>
      </c>
      <c r="R95" s="153" t="s">
        <v>1267</v>
      </c>
    </row>
    <row r="96" spans="1:20">
      <c r="A96" s="194">
        <v>45573</v>
      </c>
      <c r="B96" s="59">
        <v>45574</v>
      </c>
      <c r="C96" s="158">
        <f>VLOOKUP(B:B,'Курс валют'!A:D,4,0)</f>
        <v>105.6891</v>
      </c>
      <c r="D96" s="198">
        <v>721</v>
      </c>
      <c r="E96" s="170" t="s">
        <v>60</v>
      </c>
      <c r="F96" s="198">
        <v>900</v>
      </c>
      <c r="G96" s="198">
        <v>929</v>
      </c>
      <c r="H96" s="199">
        <v>368</v>
      </c>
      <c r="I96" s="198">
        <f t="shared" si="7"/>
        <v>29</v>
      </c>
      <c r="J96" s="163">
        <f t="shared" si="8"/>
        <v>3.2222222222222223</v>
      </c>
      <c r="K96" s="199">
        <v>3.23</v>
      </c>
      <c r="L96" s="165">
        <f t="shared" si="9"/>
        <v>40.888888888888893</v>
      </c>
      <c r="M96" s="166">
        <f t="shared" si="10"/>
        <v>210.00189305333333</v>
      </c>
      <c r="N96" s="167">
        <f t="shared" si="11"/>
        <v>1.9869777777777777</v>
      </c>
      <c r="O96" s="167">
        <f t="shared" si="12"/>
        <v>1788.28</v>
      </c>
      <c r="P96" s="168">
        <f t="shared" si="13"/>
        <v>189001.703748</v>
      </c>
      <c r="R96" s="155"/>
    </row>
    <row r="97" spans="1:18">
      <c r="A97" s="194">
        <v>45573</v>
      </c>
      <c r="B97" s="59">
        <v>45574</v>
      </c>
      <c r="C97" s="158">
        <f>VLOOKUP(B:B,'Курс валют'!A:D,4,0)</f>
        <v>105.6891</v>
      </c>
      <c r="D97" s="198">
        <v>722</v>
      </c>
      <c r="E97" s="170" t="s">
        <v>60</v>
      </c>
      <c r="F97" s="198">
        <v>900</v>
      </c>
      <c r="G97" s="198">
        <v>930</v>
      </c>
      <c r="H97" s="199">
        <v>367</v>
      </c>
      <c r="I97" s="198">
        <f t="shared" si="7"/>
        <v>30</v>
      </c>
      <c r="J97" s="163">
        <f t="shared" si="8"/>
        <v>3.3333333333333335</v>
      </c>
      <c r="K97" s="199">
        <v>3.36</v>
      </c>
      <c r="L97" s="165">
        <f t="shared" si="9"/>
        <v>40.777777777777779</v>
      </c>
      <c r="M97" s="166">
        <f t="shared" si="10"/>
        <v>224.0984703466666</v>
      </c>
      <c r="N97" s="167">
        <f t="shared" si="11"/>
        <v>2.1203555555555553</v>
      </c>
      <c r="O97" s="167">
        <f t="shared" si="12"/>
        <v>1908.3199999999997</v>
      </c>
      <c r="P97" s="168">
        <f t="shared" si="13"/>
        <v>201688.62331199995</v>
      </c>
      <c r="R97" s="153"/>
    </row>
    <row r="98" spans="1:18">
      <c r="A98" s="194">
        <v>45573</v>
      </c>
      <c r="B98" s="59">
        <v>45574</v>
      </c>
      <c r="C98" s="158">
        <f>VLOOKUP(B:B,'Курс валют'!A:D,4,0)</f>
        <v>105.6891</v>
      </c>
      <c r="D98" s="198">
        <v>723</v>
      </c>
      <c r="E98" s="180" t="s">
        <v>15</v>
      </c>
      <c r="F98" s="182">
        <v>4400</v>
      </c>
      <c r="G98" s="182">
        <v>4411</v>
      </c>
      <c r="H98" s="181">
        <v>2011</v>
      </c>
      <c r="I98" s="198">
        <f t="shared" si="7"/>
        <v>11</v>
      </c>
      <c r="J98" s="163">
        <f t="shared" si="8"/>
        <v>0.25</v>
      </c>
      <c r="K98" s="181">
        <v>4.0199999999999996</v>
      </c>
      <c r="L98" s="165">
        <f t="shared" si="9"/>
        <v>45.704545454545453</v>
      </c>
      <c r="M98" s="166">
        <f t="shared" si="10"/>
        <v>278.02382483999992</v>
      </c>
      <c r="N98" s="167">
        <f t="shared" si="11"/>
        <v>2.6305818181818172</v>
      </c>
      <c r="O98" s="167">
        <f t="shared" si="12"/>
        <v>11574.559999999996</v>
      </c>
      <c r="P98" s="168">
        <f t="shared" si="13"/>
        <v>1223304.8292959996</v>
      </c>
      <c r="R98" s="153"/>
    </row>
    <row r="99" spans="1:18">
      <c r="A99" s="194">
        <v>45575</v>
      </c>
      <c r="B99" s="59">
        <v>45575</v>
      </c>
      <c r="C99" s="158">
        <f>VLOOKUP(B:B,'Курс валют'!A:D,4,0)</f>
        <v>106.4175</v>
      </c>
      <c r="D99" s="47">
        <v>731</v>
      </c>
      <c r="E99" s="180" t="s">
        <v>2026</v>
      </c>
      <c r="F99" s="198">
        <v>176</v>
      </c>
      <c r="G99" s="198">
        <v>180</v>
      </c>
      <c r="H99" s="199">
        <v>0</v>
      </c>
      <c r="I99" s="198">
        <f t="shared" si="7"/>
        <v>4</v>
      </c>
      <c r="J99" s="163">
        <f t="shared" si="8"/>
        <v>2.2727272727272729</v>
      </c>
      <c r="K99" s="199">
        <v>2.93</v>
      </c>
      <c r="L99" s="165">
        <f t="shared" si="9"/>
        <v>0</v>
      </c>
      <c r="M99" s="166">
        <f t="shared" si="10"/>
        <v>311.80327500000004</v>
      </c>
      <c r="N99" s="167">
        <f t="shared" si="11"/>
        <v>2.93</v>
      </c>
      <c r="O99" s="167">
        <f t="shared" si="12"/>
        <v>515.68000000000006</v>
      </c>
      <c r="P99" s="168">
        <f t="shared" si="13"/>
        <v>54877.376400000008</v>
      </c>
      <c r="R99" s="153" t="s">
        <v>1267</v>
      </c>
    </row>
    <row r="100" spans="1:18">
      <c r="A100" s="194">
        <v>45574</v>
      </c>
      <c r="B100" s="59">
        <v>45575</v>
      </c>
      <c r="C100" s="158">
        <f>VLOOKUP(B:B,'Курс валют'!A:D,4,0)</f>
        <v>106.4175</v>
      </c>
      <c r="D100" s="198">
        <v>724</v>
      </c>
      <c r="E100" s="21" t="s">
        <v>60</v>
      </c>
      <c r="F100" s="198">
        <v>900</v>
      </c>
      <c r="G100" s="198">
        <v>931</v>
      </c>
      <c r="H100" s="199">
        <v>368</v>
      </c>
      <c r="I100" s="198">
        <f t="shared" si="7"/>
        <v>31</v>
      </c>
      <c r="J100" s="163">
        <f t="shared" si="8"/>
        <v>3.4444444444444446</v>
      </c>
      <c r="K100" s="199">
        <v>3.38</v>
      </c>
      <c r="L100" s="165">
        <f t="shared" si="9"/>
        <v>40.888888888888893</v>
      </c>
      <c r="M100" s="166">
        <f t="shared" si="10"/>
        <v>227.41183266666667</v>
      </c>
      <c r="N100" s="167">
        <f t="shared" si="11"/>
        <v>2.1369777777777776</v>
      </c>
      <c r="O100" s="167">
        <f t="shared" si="12"/>
        <v>1923.28</v>
      </c>
      <c r="P100" s="168">
        <f t="shared" si="13"/>
        <v>204670.64939999999</v>
      </c>
      <c r="R100" s="153"/>
    </row>
    <row r="101" spans="1:18">
      <c r="A101" s="194">
        <v>45574</v>
      </c>
      <c r="B101" s="59">
        <v>45575</v>
      </c>
      <c r="C101" s="158">
        <f>VLOOKUP(B:B,'Курс валют'!A:D,4,0)</f>
        <v>106.4175</v>
      </c>
      <c r="D101" s="198">
        <v>725</v>
      </c>
      <c r="E101" s="170" t="s">
        <v>60</v>
      </c>
      <c r="F101" s="198">
        <v>900</v>
      </c>
      <c r="G101" s="198">
        <v>929</v>
      </c>
      <c r="H101" s="199">
        <v>367</v>
      </c>
      <c r="I101" s="198">
        <f t="shared" si="7"/>
        <v>29</v>
      </c>
      <c r="J101" s="163">
        <f t="shared" si="8"/>
        <v>3.2222222222222223</v>
      </c>
      <c r="K101" s="199">
        <v>3.38</v>
      </c>
      <c r="L101" s="165">
        <f t="shared" si="9"/>
        <v>40.777777777777779</v>
      </c>
      <c r="M101" s="166">
        <f t="shared" si="10"/>
        <v>227.77128733333331</v>
      </c>
      <c r="N101" s="167">
        <f t="shared" si="11"/>
        <v>2.1403555555555553</v>
      </c>
      <c r="O101" s="167">
        <f t="shared" si="12"/>
        <v>1926.3199999999997</v>
      </c>
      <c r="P101" s="168">
        <f t="shared" si="13"/>
        <v>204994.15859999997</v>
      </c>
      <c r="R101" s="155"/>
    </row>
    <row r="102" spans="1:18">
      <c r="A102" s="136">
        <v>45574</v>
      </c>
      <c r="B102" s="73">
        <v>45575</v>
      </c>
      <c r="C102" s="183">
        <f>VLOOKUP(B:B,'Курс валют'!A:D,4,0)</f>
        <v>106.4175</v>
      </c>
      <c r="D102" s="129">
        <v>728</v>
      </c>
      <c r="E102" s="184" t="s">
        <v>15</v>
      </c>
      <c r="F102" s="129">
        <v>2200</v>
      </c>
      <c r="G102" s="129">
        <v>2208</v>
      </c>
      <c r="H102" s="185">
        <v>1008</v>
      </c>
      <c r="I102" s="129">
        <f t="shared" si="7"/>
        <v>8</v>
      </c>
      <c r="J102" s="186">
        <f t="shared" si="8"/>
        <v>0.36363636363636365</v>
      </c>
      <c r="K102" s="185">
        <v>4.28</v>
      </c>
      <c r="L102" s="187">
        <f t="shared" si="9"/>
        <v>45.81818181818182</v>
      </c>
      <c r="M102" s="166">
        <f t="shared" si="10"/>
        <v>307.24086654545459</v>
      </c>
      <c r="N102" s="167">
        <f t="shared" si="11"/>
        <v>2.8871272727272728</v>
      </c>
      <c r="O102" s="167">
        <f t="shared" si="12"/>
        <v>6351.68</v>
      </c>
      <c r="P102" s="168">
        <f t="shared" si="13"/>
        <v>675929.90640000009</v>
      </c>
      <c r="R102" s="153"/>
    </row>
    <row r="103" spans="1:18">
      <c r="A103" s="194">
        <v>45574</v>
      </c>
      <c r="B103" s="59">
        <v>45575</v>
      </c>
      <c r="C103" s="158">
        <f>VLOOKUP(B:B,'Курс валют'!A:D,4,0)</f>
        <v>106.4175</v>
      </c>
      <c r="D103" s="188">
        <v>729</v>
      </c>
      <c r="E103" s="184" t="s">
        <v>15</v>
      </c>
      <c r="F103" s="188">
        <v>4400</v>
      </c>
      <c r="G103" s="198">
        <v>4412</v>
      </c>
      <c r="H103" s="199">
        <v>2012</v>
      </c>
      <c r="I103" s="198">
        <f t="shared" si="7"/>
        <v>12</v>
      </c>
      <c r="J103" s="163">
        <f t="shared" si="8"/>
        <v>0.27272727272727276</v>
      </c>
      <c r="K103" s="199">
        <v>4.28</v>
      </c>
      <c r="L103" s="165">
        <f t="shared" si="9"/>
        <v>45.727272727272727</v>
      </c>
      <c r="M103" s="166">
        <f t="shared" si="10"/>
        <v>307.53496581818183</v>
      </c>
      <c r="N103" s="167">
        <f t="shared" si="11"/>
        <v>2.8898909090909091</v>
      </c>
      <c r="O103" s="167">
        <f t="shared" si="12"/>
        <v>12715.52</v>
      </c>
      <c r="P103" s="168">
        <f t="shared" si="13"/>
        <v>1353153.8496000001</v>
      </c>
      <c r="R103" s="153"/>
    </row>
    <row r="104" spans="1:18">
      <c r="A104" s="194">
        <v>45574</v>
      </c>
      <c r="B104" s="59">
        <v>45574</v>
      </c>
      <c r="C104" s="158">
        <f>VLOOKUP(B:B,'Курс валют'!A:D,4,0)</f>
        <v>105.6891</v>
      </c>
      <c r="D104" s="198">
        <v>730</v>
      </c>
      <c r="E104" s="170" t="s">
        <v>60</v>
      </c>
      <c r="F104" s="198">
        <v>900</v>
      </c>
      <c r="G104" s="198">
        <v>931</v>
      </c>
      <c r="H104" s="199">
        <v>368</v>
      </c>
      <c r="I104" s="198">
        <f t="shared" si="7"/>
        <v>31</v>
      </c>
      <c r="J104" s="163">
        <f t="shared" si="8"/>
        <v>3.4444444444444446</v>
      </c>
      <c r="K104" s="199">
        <v>3.36</v>
      </c>
      <c r="L104" s="165">
        <f t="shared" si="9"/>
        <v>40.888888888888893</v>
      </c>
      <c r="M104" s="166">
        <f t="shared" si="10"/>
        <v>223.74147605333332</v>
      </c>
      <c r="N104" s="167">
        <f t="shared" si="11"/>
        <v>2.1169777777777776</v>
      </c>
      <c r="O104" s="167">
        <f t="shared" si="12"/>
        <v>1905.28</v>
      </c>
      <c r="P104" s="168">
        <f t="shared" si="13"/>
        <v>201367.32844799999</v>
      </c>
      <c r="R104" s="153"/>
    </row>
    <row r="105" spans="1:18">
      <c r="A105" s="171">
        <v>45575</v>
      </c>
      <c r="B105" s="172">
        <v>45575</v>
      </c>
      <c r="C105" s="173">
        <f>VLOOKUP(B:B,'Курс валют'!A:D,4,0)</f>
        <v>106.4175</v>
      </c>
      <c r="D105" s="47">
        <v>732</v>
      </c>
      <c r="E105" s="50" t="s">
        <v>53</v>
      </c>
      <c r="F105" s="174">
        <v>2400</v>
      </c>
      <c r="G105" s="174">
        <v>2424</v>
      </c>
      <c r="H105" s="176">
        <v>0</v>
      </c>
      <c r="I105" s="174">
        <f t="shared" si="7"/>
        <v>24</v>
      </c>
      <c r="J105" s="177">
        <f t="shared" si="8"/>
        <v>1</v>
      </c>
      <c r="K105" s="176">
        <v>3.33</v>
      </c>
      <c r="L105" s="178">
        <f t="shared" si="9"/>
        <v>0</v>
      </c>
      <c r="M105" s="166">
        <f t="shared" si="10"/>
        <v>354.37027499999999</v>
      </c>
      <c r="N105" s="179">
        <f t="shared" si="11"/>
        <v>3.33</v>
      </c>
      <c r="O105" s="179">
        <f t="shared" si="12"/>
        <v>7992</v>
      </c>
      <c r="P105" s="189">
        <f t="shared" si="13"/>
        <v>850488.66</v>
      </c>
      <c r="R105" s="155"/>
    </row>
    <row r="106" spans="1:18">
      <c r="A106" s="194">
        <v>45576</v>
      </c>
      <c r="B106" s="59">
        <v>45579</v>
      </c>
      <c r="C106" s="158">
        <f>VLOOKUP(B:B,'Курс валют'!A:D,4,0)</f>
        <v>105.1095</v>
      </c>
      <c r="D106" s="47">
        <v>736</v>
      </c>
      <c r="E106" s="170" t="s">
        <v>2424</v>
      </c>
      <c r="F106" s="198">
        <v>400</v>
      </c>
      <c r="G106" s="198">
        <v>400</v>
      </c>
      <c r="H106" s="199">
        <v>0</v>
      </c>
      <c r="I106" s="198">
        <f t="shared" si="7"/>
        <v>0</v>
      </c>
      <c r="J106" s="163">
        <f t="shared" si="8"/>
        <v>0</v>
      </c>
      <c r="K106" s="199">
        <v>3.53</v>
      </c>
      <c r="L106" s="165">
        <f t="shared" si="9"/>
        <v>0</v>
      </c>
      <c r="M106" s="166">
        <f t="shared" si="10"/>
        <v>371.03653500000001</v>
      </c>
      <c r="N106" s="167">
        <f t="shared" si="11"/>
        <v>3.53</v>
      </c>
      <c r="O106" s="167">
        <f t="shared" si="12"/>
        <v>1412</v>
      </c>
      <c r="P106" s="168">
        <f t="shared" si="13"/>
        <v>148414.614</v>
      </c>
      <c r="R106" s="153" t="s">
        <v>1267</v>
      </c>
    </row>
    <row r="107" spans="1:18">
      <c r="A107" s="194">
        <v>45579</v>
      </c>
      <c r="B107" s="59">
        <v>45579</v>
      </c>
      <c r="C107" s="158">
        <f>VLOOKUP(B:B,'Курс валют'!A:D,4,0)</f>
        <v>105.1095</v>
      </c>
      <c r="D107" s="47">
        <v>737</v>
      </c>
      <c r="E107" s="170" t="s">
        <v>79</v>
      </c>
      <c r="F107" s="198">
        <v>400</v>
      </c>
      <c r="G107" s="198">
        <v>400</v>
      </c>
      <c r="H107" s="199">
        <v>0</v>
      </c>
      <c r="I107" s="198">
        <f t="shared" si="7"/>
        <v>0</v>
      </c>
      <c r="J107" s="163">
        <f t="shared" si="8"/>
        <v>0</v>
      </c>
      <c r="K107" s="199">
        <v>3.5</v>
      </c>
      <c r="L107" s="165">
        <f t="shared" si="9"/>
        <v>0</v>
      </c>
      <c r="M107" s="166">
        <f t="shared" si="10"/>
        <v>367.88324999999998</v>
      </c>
      <c r="N107" s="167">
        <f t="shared" si="11"/>
        <v>3.5</v>
      </c>
      <c r="O107" s="167">
        <f t="shared" si="12"/>
        <v>1400</v>
      </c>
      <c r="P107" s="168">
        <f t="shared" si="13"/>
        <v>147153.29999999999</v>
      </c>
      <c r="R107" s="153" t="s">
        <v>172</v>
      </c>
    </row>
    <row r="108" spans="1:18">
      <c r="A108" s="194">
        <v>45576</v>
      </c>
      <c r="B108" s="59">
        <v>45579</v>
      </c>
      <c r="C108" s="158">
        <f>VLOOKUP(B:B,'Курс валют'!A:D,4,0)</f>
        <v>105.1095</v>
      </c>
      <c r="D108" s="47">
        <v>745</v>
      </c>
      <c r="E108" s="170" t="s">
        <v>2454</v>
      </c>
      <c r="F108" s="198">
        <v>2000</v>
      </c>
      <c r="G108" s="198">
        <v>2100</v>
      </c>
      <c r="H108" s="199">
        <v>0</v>
      </c>
      <c r="I108" s="198">
        <f t="shared" si="7"/>
        <v>100</v>
      </c>
      <c r="J108" s="163">
        <f t="shared" si="8"/>
        <v>5</v>
      </c>
      <c r="K108" s="199">
        <v>3.32</v>
      </c>
      <c r="L108" s="165">
        <f t="shared" si="9"/>
        <v>0</v>
      </c>
      <c r="M108" s="166">
        <f t="shared" si="10"/>
        <v>348.96353999999997</v>
      </c>
      <c r="N108" s="167">
        <f t="shared" si="11"/>
        <v>3.32</v>
      </c>
      <c r="O108" s="167">
        <f t="shared" si="12"/>
        <v>6640</v>
      </c>
      <c r="P108" s="168">
        <f t="shared" si="13"/>
        <v>697927.08</v>
      </c>
      <c r="R108" s="153" t="s">
        <v>2507</v>
      </c>
    </row>
    <row r="109" spans="1:18">
      <c r="A109" s="194">
        <v>45576</v>
      </c>
      <c r="B109" s="59">
        <v>45579</v>
      </c>
      <c r="C109" s="158">
        <f>VLOOKUP(B:B,'Курс валют'!A:D,4,0)</f>
        <v>105.1095</v>
      </c>
      <c r="D109" s="198">
        <v>733</v>
      </c>
      <c r="E109" s="170" t="s">
        <v>60</v>
      </c>
      <c r="F109" s="198">
        <v>900</v>
      </c>
      <c r="G109" s="198">
        <v>932</v>
      </c>
      <c r="H109" s="199">
        <v>368</v>
      </c>
      <c r="I109" s="198">
        <f t="shared" si="7"/>
        <v>32</v>
      </c>
      <c r="J109" s="163">
        <f t="shared" si="8"/>
        <v>3.5555555555555554</v>
      </c>
      <c r="K109" s="199">
        <v>3.4</v>
      </c>
      <c r="L109" s="165">
        <f t="shared" si="9"/>
        <v>40.888888888888893</v>
      </c>
      <c r="M109" s="166">
        <f t="shared" si="10"/>
        <v>226.71885573333333</v>
      </c>
      <c r="N109" s="167">
        <f t="shared" si="11"/>
        <v>2.1569777777777777</v>
      </c>
      <c r="O109" s="167">
        <f t="shared" si="12"/>
        <v>1941.28</v>
      </c>
      <c r="P109" s="168">
        <f t="shared" si="13"/>
        <v>204046.97016</v>
      </c>
      <c r="R109" s="153"/>
    </row>
    <row r="110" spans="1:18">
      <c r="A110" s="194">
        <v>45576</v>
      </c>
      <c r="B110" s="59">
        <v>45579</v>
      </c>
      <c r="C110" s="158">
        <f>VLOOKUP(B:B,'Курс валют'!A:D,4,0)</f>
        <v>105.1095</v>
      </c>
      <c r="D110" s="198">
        <v>734</v>
      </c>
      <c r="E110" s="170" t="s">
        <v>15</v>
      </c>
      <c r="F110" s="198">
        <v>4400</v>
      </c>
      <c r="G110" s="198">
        <v>4412</v>
      </c>
      <c r="H110" s="199">
        <v>2012</v>
      </c>
      <c r="I110" s="198">
        <f t="shared" si="7"/>
        <v>12</v>
      </c>
      <c r="J110" s="163">
        <f t="shared" si="8"/>
        <v>0.27272727272727276</v>
      </c>
      <c r="K110" s="199">
        <v>4.0199999999999996</v>
      </c>
      <c r="L110" s="165">
        <f t="shared" si="9"/>
        <v>45.727272727272727</v>
      </c>
      <c r="M110" s="166">
        <f t="shared" si="10"/>
        <v>276.42651850909084</v>
      </c>
      <c r="N110" s="167">
        <f t="shared" si="11"/>
        <v>2.6298909090909084</v>
      </c>
      <c r="O110" s="167">
        <f t="shared" si="12"/>
        <v>11571.519999999997</v>
      </c>
      <c r="P110" s="168">
        <f t="shared" si="13"/>
        <v>1216276.6814399997</v>
      </c>
      <c r="R110" s="155"/>
    </row>
    <row r="111" spans="1:18">
      <c r="A111" s="194">
        <v>45576</v>
      </c>
      <c r="B111" s="59">
        <v>45579</v>
      </c>
      <c r="C111" s="158">
        <f>VLOOKUP(B:B,'Курс валют'!A:D,4,0)</f>
        <v>105.1095</v>
      </c>
      <c r="D111" s="198">
        <v>735</v>
      </c>
      <c r="E111" s="170" t="s">
        <v>60</v>
      </c>
      <c r="F111" s="198">
        <v>900</v>
      </c>
      <c r="G111" s="198">
        <v>935</v>
      </c>
      <c r="H111" s="199">
        <v>370</v>
      </c>
      <c r="I111" s="198">
        <f t="shared" si="7"/>
        <v>35</v>
      </c>
      <c r="J111" s="163">
        <f t="shared" si="8"/>
        <v>3.8888888888888888</v>
      </c>
      <c r="K111" s="199">
        <v>3.4</v>
      </c>
      <c r="L111" s="165">
        <f t="shared" si="9"/>
        <v>41.111111111111107</v>
      </c>
      <c r="M111" s="166">
        <f t="shared" si="10"/>
        <v>226.00878266666666</v>
      </c>
      <c r="N111" s="167">
        <f t="shared" si="11"/>
        <v>2.1502222222222223</v>
      </c>
      <c r="O111" s="167">
        <f t="shared" si="12"/>
        <v>1935.2</v>
      </c>
      <c r="P111" s="168">
        <f t="shared" si="13"/>
        <v>203407.9044</v>
      </c>
      <c r="R111" s="155"/>
    </row>
    <row r="112" spans="1:18">
      <c r="A112" s="194">
        <v>45576</v>
      </c>
      <c r="B112" s="59">
        <v>45579</v>
      </c>
      <c r="C112" s="158">
        <f>VLOOKUP(B:B,'Курс валют'!A:D,4,0)</f>
        <v>105.1095</v>
      </c>
      <c r="D112" s="198">
        <v>738</v>
      </c>
      <c r="E112" s="170" t="s">
        <v>15</v>
      </c>
      <c r="F112" s="57">
        <v>8800</v>
      </c>
      <c r="G112" s="198">
        <v>8814</v>
      </c>
      <c r="H112" s="199">
        <v>4019</v>
      </c>
      <c r="I112" s="198">
        <f t="shared" si="7"/>
        <v>14</v>
      </c>
      <c r="J112" s="163">
        <f t="shared" si="8"/>
        <v>0.15909090909090909</v>
      </c>
      <c r="K112" s="199">
        <v>4.0199999999999996</v>
      </c>
      <c r="L112" s="165">
        <f t="shared" si="9"/>
        <v>45.670454545454547</v>
      </c>
      <c r="M112" s="166">
        <f t="shared" si="10"/>
        <v>276.60807128181807</v>
      </c>
      <c r="N112" s="167">
        <f t="shared" si="11"/>
        <v>2.631618181818181</v>
      </c>
      <c r="O112" s="167">
        <f t="shared" si="12"/>
        <v>23158.239999999994</v>
      </c>
      <c r="P112" s="168">
        <f t="shared" si="13"/>
        <v>2434151.0272799991</v>
      </c>
      <c r="R112" s="155"/>
    </row>
    <row r="113" spans="1:19">
      <c r="A113" s="194">
        <v>45576</v>
      </c>
      <c r="B113" s="59">
        <v>45579</v>
      </c>
      <c r="C113" s="158">
        <f>VLOOKUP(B:B,'Курс валют'!A:D,4,0)</f>
        <v>105.1095</v>
      </c>
      <c r="D113" s="47">
        <v>739</v>
      </c>
      <c r="E113" s="170" t="s">
        <v>204</v>
      </c>
      <c r="F113" s="198">
        <v>220</v>
      </c>
      <c r="G113" s="198">
        <v>220</v>
      </c>
      <c r="H113" s="181">
        <v>0</v>
      </c>
      <c r="I113" s="198">
        <f t="shared" si="7"/>
        <v>0</v>
      </c>
      <c r="J113" s="163">
        <f t="shared" si="8"/>
        <v>0</v>
      </c>
      <c r="K113" s="199">
        <v>3.96</v>
      </c>
      <c r="L113" s="165">
        <f t="shared" si="9"/>
        <v>0</v>
      </c>
      <c r="M113" s="166">
        <f t="shared" si="10"/>
        <v>416.23361999999997</v>
      </c>
      <c r="N113" s="167">
        <f t="shared" si="11"/>
        <v>3.9600000000000004</v>
      </c>
      <c r="O113" s="167">
        <f t="shared" si="12"/>
        <v>871.2</v>
      </c>
      <c r="P113" s="168">
        <f t="shared" si="13"/>
        <v>91571.396399999998</v>
      </c>
      <c r="R113" s="153" t="s">
        <v>1267</v>
      </c>
    </row>
    <row r="114" spans="1:19">
      <c r="A114" s="194">
        <v>45576</v>
      </c>
      <c r="B114" s="59">
        <v>45579</v>
      </c>
      <c r="C114" s="158">
        <f>VLOOKUP(B:B,'Курс валют'!A:D,4,0)</f>
        <v>105.1095</v>
      </c>
      <c r="D114" s="198">
        <v>740</v>
      </c>
      <c r="E114" s="170" t="s">
        <v>60</v>
      </c>
      <c r="F114" s="198">
        <v>900</v>
      </c>
      <c r="G114" s="198">
        <v>933</v>
      </c>
      <c r="H114" s="181">
        <v>370</v>
      </c>
      <c r="I114" s="198">
        <f t="shared" si="7"/>
        <v>33</v>
      </c>
      <c r="J114" s="163">
        <f t="shared" si="8"/>
        <v>3.6666666666666665</v>
      </c>
      <c r="K114" s="199">
        <v>3.4</v>
      </c>
      <c r="L114" s="165">
        <f t="shared" si="9"/>
        <v>41.111111111111107</v>
      </c>
      <c r="M114" s="166">
        <f t="shared" si="10"/>
        <v>226.00878266666666</v>
      </c>
      <c r="N114" s="167">
        <f t="shared" si="11"/>
        <v>2.1502222222222223</v>
      </c>
      <c r="O114" s="167">
        <f t="shared" si="12"/>
        <v>1935.2</v>
      </c>
      <c r="P114" s="168">
        <f t="shared" si="13"/>
        <v>203407.9044</v>
      </c>
      <c r="R114" s="155"/>
    </row>
    <row r="115" spans="1:19" ht="15.75" customHeight="1">
      <c r="A115" s="194">
        <v>45576</v>
      </c>
      <c r="B115" s="59">
        <v>45579</v>
      </c>
      <c r="C115" s="158">
        <f>VLOOKUP(B:B,'Курс валют'!A:D,4,0)</f>
        <v>105.1095</v>
      </c>
      <c r="D115" s="47">
        <v>741</v>
      </c>
      <c r="E115" s="170" t="s">
        <v>1732</v>
      </c>
      <c r="F115" s="198">
        <v>6600</v>
      </c>
      <c r="G115" s="198">
        <v>6617</v>
      </c>
      <c r="H115" s="181">
        <v>2745</v>
      </c>
      <c r="I115" s="198">
        <f t="shared" si="7"/>
        <v>17</v>
      </c>
      <c r="J115" s="163">
        <f t="shared" si="8"/>
        <v>0.25757575757575757</v>
      </c>
      <c r="K115" s="199">
        <v>3.88</v>
      </c>
      <c r="L115" s="165">
        <f t="shared" si="9"/>
        <v>41.590909090909086</v>
      </c>
      <c r="M115" s="166">
        <f t="shared" si="10"/>
        <v>274.92823036363637</v>
      </c>
      <c r="N115" s="167">
        <f t="shared" si="11"/>
        <v>2.6156363636363635</v>
      </c>
      <c r="O115" s="167">
        <f t="shared" si="12"/>
        <v>17263.2</v>
      </c>
      <c r="P115" s="168">
        <f t="shared" si="13"/>
        <v>1814526.3204000001</v>
      </c>
      <c r="R115" s="157"/>
    </row>
    <row r="116" spans="1:19">
      <c r="A116" s="194">
        <v>45576</v>
      </c>
      <c r="B116" s="59">
        <v>45579</v>
      </c>
      <c r="C116" s="158">
        <f>VLOOKUP(B:B,'Курс валют'!A:D,4,0)</f>
        <v>105.1095</v>
      </c>
      <c r="D116" s="198">
        <v>742</v>
      </c>
      <c r="E116" s="170" t="s">
        <v>60</v>
      </c>
      <c r="F116" s="198">
        <v>900</v>
      </c>
      <c r="G116" s="198">
        <v>932</v>
      </c>
      <c r="H116" s="181">
        <v>368</v>
      </c>
      <c r="I116" s="198">
        <f t="shared" si="7"/>
        <v>32</v>
      </c>
      <c r="J116" s="163">
        <f t="shared" si="8"/>
        <v>3.5555555555555554</v>
      </c>
      <c r="K116" s="199">
        <v>3.4</v>
      </c>
      <c r="L116" s="165">
        <f t="shared" si="9"/>
        <v>40.888888888888893</v>
      </c>
      <c r="M116" s="166">
        <f t="shared" si="10"/>
        <v>226.71885573333333</v>
      </c>
      <c r="N116" s="167">
        <f t="shared" si="11"/>
        <v>2.1569777777777777</v>
      </c>
      <c r="O116" s="167">
        <f t="shared" si="12"/>
        <v>1941.28</v>
      </c>
      <c r="P116" s="168">
        <f t="shared" si="13"/>
        <v>204046.97016</v>
      </c>
      <c r="R116" s="155"/>
    </row>
    <row r="117" spans="1:19">
      <c r="A117" s="194">
        <v>45580</v>
      </c>
      <c r="B117" s="59">
        <v>45580</v>
      </c>
      <c r="C117" s="158">
        <f>VLOOKUP(B:B,'Курс валют'!A:D,4,0)</f>
        <v>105.4854</v>
      </c>
      <c r="D117" s="47">
        <v>747</v>
      </c>
      <c r="E117" s="170" t="s">
        <v>2508</v>
      </c>
      <c r="F117" s="198">
        <v>9648.57</v>
      </c>
      <c r="G117" s="198">
        <v>9648.57</v>
      </c>
      <c r="H117" s="199">
        <v>0</v>
      </c>
      <c r="I117" s="198">
        <f t="shared" si="7"/>
        <v>0</v>
      </c>
      <c r="J117" s="163">
        <f t="shared" si="8"/>
        <v>0</v>
      </c>
      <c r="K117" s="199">
        <v>2.4700000000000002</v>
      </c>
      <c r="L117" s="165">
        <f t="shared" si="9"/>
        <v>0</v>
      </c>
      <c r="M117" s="166">
        <f t="shared" si="10"/>
        <v>260.54893800000002</v>
      </c>
      <c r="N117" s="167">
        <f t="shared" si="11"/>
        <v>2.4700000000000002</v>
      </c>
      <c r="O117" s="167">
        <f t="shared" si="12"/>
        <v>23831.9679</v>
      </c>
      <c r="P117" s="168">
        <f t="shared" si="13"/>
        <v>2513924.6667186599</v>
      </c>
      <c r="R117" s="155" t="s">
        <v>2509</v>
      </c>
      <c r="S117" s="33" t="s">
        <v>2510</v>
      </c>
    </row>
    <row r="118" spans="1:19">
      <c r="A118" s="194">
        <v>45579</v>
      </c>
      <c r="B118" s="59">
        <v>45580</v>
      </c>
      <c r="C118" s="158">
        <f>VLOOKUP(B:B,'Курс валют'!A:D,4,0)</f>
        <v>105.4854</v>
      </c>
      <c r="D118" s="47">
        <v>743</v>
      </c>
      <c r="E118" s="170" t="s">
        <v>1732</v>
      </c>
      <c r="F118" s="198">
        <v>6600</v>
      </c>
      <c r="G118" s="198">
        <v>6612</v>
      </c>
      <c r="H118" s="199">
        <v>2742</v>
      </c>
      <c r="I118" s="198">
        <f t="shared" si="7"/>
        <v>12</v>
      </c>
      <c r="J118" s="163">
        <f t="shared" si="8"/>
        <v>0.18181818181818182</v>
      </c>
      <c r="K118" s="199">
        <v>3.88</v>
      </c>
      <c r="L118" s="165">
        <f t="shared" si="9"/>
        <v>41.545454545454547</v>
      </c>
      <c r="M118" s="166">
        <f t="shared" si="10"/>
        <v>276.05720971636362</v>
      </c>
      <c r="N118" s="167">
        <f t="shared" si="11"/>
        <v>2.6170181818181817</v>
      </c>
      <c r="O118" s="167">
        <f t="shared" si="12"/>
        <v>17272.32</v>
      </c>
      <c r="P118" s="168">
        <f t="shared" si="13"/>
        <v>1821977.5841279998</v>
      </c>
      <c r="R118" s="155"/>
    </row>
    <row r="119" spans="1:19">
      <c r="A119" s="194">
        <v>45579</v>
      </c>
      <c r="B119" s="59">
        <v>45579</v>
      </c>
      <c r="C119" s="158">
        <f>VLOOKUP(B:B,'Курс валют'!A:D,4,0)</f>
        <v>105.1095</v>
      </c>
      <c r="D119" s="198">
        <v>744</v>
      </c>
      <c r="E119" s="170" t="s">
        <v>60</v>
      </c>
      <c r="F119" s="198">
        <v>900</v>
      </c>
      <c r="G119" s="198">
        <v>936</v>
      </c>
      <c r="H119" s="199">
        <v>368</v>
      </c>
      <c r="I119" s="198">
        <f t="shared" si="7"/>
        <v>36</v>
      </c>
      <c r="J119" s="163">
        <f t="shared" si="8"/>
        <v>4</v>
      </c>
      <c r="K119" s="199">
        <v>3.4</v>
      </c>
      <c r="L119" s="165">
        <f t="shared" si="9"/>
        <v>40.888888888888893</v>
      </c>
      <c r="M119" s="166">
        <f t="shared" si="10"/>
        <v>226.71885573333333</v>
      </c>
      <c r="N119" s="167">
        <f t="shared" si="11"/>
        <v>2.1569777777777777</v>
      </c>
      <c r="O119" s="167">
        <f t="shared" si="12"/>
        <v>1941.28</v>
      </c>
      <c r="P119" s="168">
        <f t="shared" si="13"/>
        <v>204046.97016</v>
      </c>
      <c r="R119" s="153"/>
    </row>
    <row r="120" spans="1:19">
      <c r="A120" s="194">
        <v>45580</v>
      </c>
      <c r="B120" s="59">
        <v>45581</v>
      </c>
      <c r="C120" s="158">
        <f>VLOOKUP(B:B,'Курс валют'!A:D,4,0)</f>
        <v>105.67570000000001</v>
      </c>
      <c r="D120" s="47">
        <v>748</v>
      </c>
      <c r="E120" s="190" t="s">
        <v>1732</v>
      </c>
      <c r="F120" s="198">
        <v>6600</v>
      </c>
      <c r="G120" s="198">
        <v>6639</v>
      </c>
      <c r="H120" s="199">
        <v>2744</v>
      </c>
      <c r="I120" s="198">
        <f t="shared" si="7"/>
        <v>39</v>
      </c>
      <c r="J120" s="163">
        <f t="shared" si="8"/>
        <v>0.59090909090909094</v>
      </c>
      <c r="K120" s="199">
        <v>3.87</v>
      </c>
      <c r="L120" s="165">
        <f t="shared" si="9"/>
        <v>41.575757575757578</v>
      </c>
      <c r="M120" s="166">
        <f t="shared" si="10"/>
        <v>275.40112154060603</v>
      </c>
      <c r="N120" s="167">
        <f t="shared" si="11"/>
        <v>2.6060969696969694</v>
      </c>
      <c r="O120" s="167">
        <f t="shared" si="12"/>
        <v>17200.239999999998</v>
      </c>
      <c r="P120" s="168">
        <f t="shared" si="13"/>
        <v>1817647.4021679999</v>
      </c>
      <c r="R120" s="155"/>
    </row>
    <row r="121" spans="1:19">
      <c r="A121" s="194">
        <v>45581</v>
      </c>
      <c r="B121" s="59">
        <v>45581</v>
      </c>
      <c r="C121" s="158">
        <f>VLOOKUP(B:B,'Курс валют'!A:D,4,0)</f>
        <v>105.67570000000001</v>
      </c>
      <c r="D121" s="47">
        <v>746</v>
      </c>
      <c r="E121" s="190" t="s">
        <v>2113</v>
      </c>
      <c r="F121" s="198">
        <v>2000</v>
      </c>
      <c r="G121" s="198">
        <v>2000</v>
      </c>
      <c r="H121" s="199">
        <v>0</v>
      </c>
      <c r="I121" s="198">
        <f t="shared" si="7"/>
        <v>0</v>
      </c>
      <c r="J121" s="163">
        <f t="shared" si="8"/>
        <v>0</v>
      </c>
      <c r="K121" s="199">
        <v>2.85</v>
      </c>
      <c r="L121" s="165">
        <f t="shared" si="9"/>
        <v>0</v>
      </c>
      <c r="M121" s="166">
        <f t="shared" si="10"/>
        <v>301.17574500000001</v>
      </c>
      <c r="N121" s="167">
        <f t="shared" si="11"/>
        <v>2.85</v>
      </c>
      <c r="O121" s="167">
        <f t="shared" si="12"/>
        <v>5700</v>
      </c>
      <c r="P121" s="168">
        <f t="shared" si="13"/>
        <v>602351.49</v>
      </c>
      <c r="R121" s="155" t="s">
        <v>2495</v>
      </c>
    </row>
    <row r="122" spans="1:19">
      <c r="A122" s="171">
        <v>45581</v>
      </c>
      <c r="B122" s="172">
        <v>45582</v>
      </c>
      <c r="C122" s="173">
        <f>VLOOKUP(B:B,'Курс валют'!A:D,4,0)</f>
        <v>106.0844</v>
      </c>
      <c r="D122" s="47">
        <v>749</v>
      </c>
      <c r="E122" s="191" t="s">
        <v>64</v>
      </c>
      <c r="F122" s="174">
        <v>900</v>
      </c>
      <c r="G122" s="174">
        <v>934.17</v>
      </c>
      <c r="H122" s="176">
        <v>26</v>
      </c>
      <c r="I122" s="174">
        <f t="shared" si="7"/>
        <v>34.169999999999959</v>
      </c>
      <c r="J122" s="177">
        <f t="shared" si="8"/>
        <v>3.796666666666662</v>
      </c>
      <c r="K122" s="176">
        <v>2.2599999999999998</v>
      </c>
      <c r="L122" s="178">
        <f t="shared" si="9"/>
        <v>2.8888888888888888</v>
      </c>
      <c r="M122" s="166">
        <f t="shared" si="10"/>
        <v>230.43417624888889</v>
      </c>
      <c r="N122" s="179">
        <f t="shared" si="11"/>
        <v>2.1721777777777778</v>
      </c>
      <c r="O122" s="167">
        <f t="shared" si="12"/>
        <v>1954.96</v>
      </c>
      <c r="P122" s="168">
        <f t="shared" si="13"/>
        <v>207390.75862400001</v>
      </c>
      <c r="R122" s="155"/>
    </row>
    <row r="123" spans="1:19">
      <c r="A123" s="194">
        <v>45581</v>
      </c>
      <c r="B123" s="59">
        <v>45582</v>
      </c>
      <c r="C123" s="158">
        <f>VLOOKUP(B:B,'Курс валют'!A:D,4,0)</f>
        <v>106.0844</v>
      </c>
      <c r="D123" s="47">
        <v>750</v>
      </c>
      <c r="E123" s="190" t="s">
        <v>1732</v>
      </c>
      <c r="F123" s="198">
        <v>6600</v>
      </c>
      <c r="G123" s="198">
        <v>6618</v>
      </c>
      <c r="H123" s="199">
        <v>2743</v>
      </c>
      <c r="I123" s="198">
        <f t="shared" si="7"/>
        <v>18</v>
      </c>
      <c r="J123" s="163">
        <f t="shared" si="8"/>
        <v>0.27272727272727276</v>
      </c>
      <c r="K123" s="199">
        <v>3.85</v>
      </c>
      <c r="L123" s="165">
        <f t="shared" si="9"/>
        <v>41.560606060606062</v>
      </c>
      <c r="M123" s="166">
        <f t="shared" si="10"/>
        <v>274.39340848969692</v>
      </c>
      <c r="N123" s="167">
        <f t="shared" si="11"/>
        <v>2.5865575757575754</v>
      </c>
      <c r="O123" s="167">
        <f t="shared" si="12"/>
        <v>17071.28</v>
      </c>
      <c r="P123" s="168">
        <f t="shared" si="13"/>
        <v>1810996.4960319998</v>
      </c>
      <c r="R123" s="155"/>
    </row>
    <row r="124" spans="1:19">
      <c r="A124" s="194">
        <v>45581</v>
      </c>
      <c r="B124" s="59">
        <v>45582</v>
      </c>
      <c r="C124" s="158">
        <f>VLOOKUP(B:B,'Курс валют'!A:D,4,0)</f>
        <v>106.0844</v>
      </c>
      <c r="D124" s="198">
        <v>751</v>
      </c>
      <c r="E124" s="190" t="s">
        <v>60</v>
      </c>
      <c r="F124" s="198">
        <v>900</v>
      </c>
      <c r="G124" s="198">
        <v>937</v>
      </c>
      <c r="H124" s="199">
        <v>370</v>
      </c>
      <c r="I124" s="198">
        <f t="shared" si="7"/>
        <v>37</v>
      </c>
      <c r="J124" s="163">
        <f t="shared" si="8"/>
        <v>4.1111111111111116</v>
      </c>
      <c r="K124" s="199">
        <v>3.41</v>
      </c>
      <c r="L124" s="165">
        <f t="shared" si="9"/>
        <v>41.111111111111107</v>
      </c>
      <c r="M124" s="166">
        <f t="shared" si="10"/>
        <v>229.16587831111113</v>
      </c>
      <c r="N124" s="167">
        <f t="shared" si="11"/>
        <v>2.1602222222222225</v>
      </c>
      <c r="O124" s="167">
        <f t="shared" si="12"/>
        <v>1944.2000000000003</v>
      </c>
      <c r="P124" s="168">
        <f t="shared" si="13"/>
        <v>206249.29048000003</v>
      </c>
      <c r="R124" s="153"/>
    </row>
    <row r="125" spans="1:19" ht="12.75">
      <c r="A125" s="194">
        <v>45582</v>
      </c>
      <c r="B125" s="59">
        <v>45583</v>
      </c>
      <c r="C125" s="158">
        <f>VLOOKUP(B:B,'Курс валют'!A:D,4,0)</f>
        <v>105.756</v>
      </c>
      <c r="D125" s="198">
        <v>752</v>
      </c>
      <c r="E125" s="192" t="s">
        <v>15</v>
      </c>
      <c r="F125" s="198">
        <v>8800</v>
      </c>
      <c r="G125" s="198">
        <v>8814</v>
      </c>
      <c r="H125" s="199">
        <v>4019</v>
      </c>
      <c r="I125" s="198">
        <f t="shared" si="7"/>
        <v>14</v>
      </c>
      <c r="J125" s="163">
        <f t="shared" si="8"/>
        <v>0.15909090909090909</v>
      </c>
      <c r="K125" s="199">
        <v>4.0199999999999996</v>
      </c>
      <c r="L125" s="165">
        <f t="shared" si="9"/>
        <v>45.670454545454547</v>
      </c>
      <c r="M125" s="166">
        <f t="shared" si="10"/>
        <v>278.30941243636357</v>
      </c>
      <c r="N125" s="167">
        <f t="shared" si="11"/>
        <v>2.631618181818181</v>
      </c>
      <c r="O125" s="167">
        <f t="shared" si="12"/>
        <v>23158.239999999994</v>
      </c>
      <c r="P125" s="168">
        <f t="shared" si="13"/>
        <v>2449122.8294399995</v>
      </c>
      <c r="R125" s="153"/>
    </row>
    <row r="126" spans="1:19" ht="12.75">
      <c r="A126" s="194">
        <v>45582</v>
      </c>
      <c r="B126" s="59">
        <v>45583</v>
      </c>
      <c r="C126" s="158">
        <f>VLOOKUP(B:B,'Курс валют'!A:D,4,0)</f>
        <v>105.756</v>
      </c>
      <c r="D126" s="198">
        <v>753</v>
      </c>
      <c r="E126" s="190" t="s">
        <v>60</v>
      </c>
      <c r="F126" s="198">
        <v>900</v>
      </c>
      <c r="G126" s="198">
        <v>937</v>
      </c>
      <c r="H126" s="199">
        <v>367</v>
      </c>
      <c r="I126" s="198">
        <f t="shared" si="7"/>
        <v>37</v>
      </c>
      <c r="J126" s="163">
        <f t="shared" si="8"/>
        <v>4.1111111111111116</v>
      </c>
      <c r="K126" s="199">
        <v>3.4</v>
      </c>
      <c r="L126" s="165">
        <f t="shared" si="9"/>
        <v>40.777777777777779</v>
      </c>
      <c r="M126" s="166">
        <f t="shared" si="10"/>
        <v>228.47056213333332</v>
      </c>
      <c r="N126" s="167">
        <f t="shared" si="11"/>
        <v>2.1603555555555554</v>
      </c>
      <c r="O126" s="167">
        <f t="shared" si="12"/>
        <v>1944.32</v>
      </c>
      <c r="P126" s="168">
        <f t="shared" si="13"/>
        <v>205623.50592</v>
      </c>
      <c r="R126" s="153"/>
    </row>
    <row r="127" spans="1:19" ht="12.75">
      <c r="A127" s="194">
        <v>45583</v>
      </c>
      <c r="B127" s="59">
        <v>45586</v>
      </c>
      <c r="C127" s="158">
        <f>VLOOKUP(B:B,'Курс валют'!A:D,4,0)</f>
        <v>104.8565</v>
      </c>
      <c r="D127" s="198">
        <v>754</v>
      </c>
      <c r="E127" s="193" t="s">
        <v>15</v>
      </c>
      <c r="F127" s="198">
        <v>6600</v>
      </c>
      <c r="G127" s="198">
        <v>6614</v>
      </c>
      <c r="H127" s="199">
        <v>3019</v>
      </c>
      <c r="I127" s="198">
        <f t="shared" si="7"/>
        <v>14</v>
      </c>
      <c r="J127" s="163">
        <f t="shared" si="8"/>
        <v>0.21212121212121215</v>
      </c>
      <c r="K127" s="199">
        <v>4.2300000000000004</v>
      </c>
      <c r="L127" s="165">
        <f t="shared" si="9"/>
        <v>45.742424242424242</v>
      </c>
      <c r="M127" s="166">
        <f t="shared" si="10"/>
        <v>297.73272356969704</v>
      </c>
      <c r="N127" s="167">
        <f t="shared" si="11"/>
        <v>2.8394303030303036</v>
      </c>
      <c r="O127" s="167">
        <f t="shared" si="12"/>
        <v>18740.240000000005</v>
      </c>
      <c r="P127" s="168">
        <f t="shared" si="13"/>
        <v>1965035.9755600004</v>
      </c>
      <c r="R127" s="153"/>
    </row>
    <row r="128" spans="1:19" ht="12.75">
      <c r="A128" s="194">
        <v>45583</v>
      </c>
      <c r="B128" s="59">
        <v>45586</v>
      </c>
      <c r="C128" s="158">
        <f>VLOOKUP(B:B,'Курс валют'!A:D,4,0)</f>
        <v>104.8565</v>
      </c>
      <c r="D128" s="198">
        <v>755</v>
      </c>
      <c r="E128" s="192" t="s">
        <v>60</v>
      </c>
      <c r="F128" s="198">
        <v>900</v>
      </c>
      <c r="G128" s="198">
        <v>940</v>
      </c>
      <c r="H128" s="199">
        <v>370</v>
      </c>
      <c r="I128" s="198">
        <f t="shared" si="7"/>
        <v>40</v>
      </c>
      <c r="J128" s="163">
        <f t="shared" si="8"/>
        <v>4.4444444444444446</v>
      </c>
      <c r="K128" s="199">
        <v>3.41</v>
      </c>
      <c r="L128" s="165">
        <f t="shared" si="9"/>
        <v>41.111111111111107</v>
      </c>
      <c r="M128" s="166">
        <f t="shared" si="10"/>
        <v>226.51334144444448</v>
      </c>
      <c r="N128" s="167">
        <f t="shared" si="11"/>
        <v>2.1602222222222225</v>
      </c>
      <c r="O128" s="167">
        <f t="shared" si="12"/>
        <v>1944.2000000000003</v>
      </c>
      <c r="P128" s="168">
        <f t="shared" si="13"/>
        <v>203862.00730000003</v>
      </c>
      <c r="R128" s="153"/>
    </row>
    <row r="129" spans="1:18" ht="12.75">
      <c r="A129" s="194">
        <v>45583</v>
      </c>
      <c r="B129" s="59">
        <v>45586</v>
      </c>
      <c r="C129" s="158">
        <f>VLOOKUP(B:B,'Курс валют'!A:D,4,0)</f>
        <v>104.8565</v>
      </c>
      <c r="D129" s="198">
        <v>756</v>
      </c>
      <c r="E129" s="190" t="s">
        <v>50</v>
      </c>
      <c r="F129" s="198">
        <v>6400</v>
      </c>
      <c r="G129" s="198">
        <v>6424.1</v>
      </c>
      <c r="H129" s="199">
        <v>1293</v>
      </c>
      <c r="I129" s="198">
        <f t="shared" si="7"/>
        <v>24.100000000000364</v>
      </c>
      <c r="J129" s="163">
        <f t="shared" si="8"/>
        <v>0.37656250000000568</v>
      </c>
      <c r="K129" s="199">
        <v>2.77</v>
      </c>
      <c r="L129" s="165">
        <f t="shared" si="9"/>
        <v>20.203125</v>
      </c>
      <c r="M129" s="166">
        <f t="shared" si="10"/>
        <v>226.05226411249996</v>
      </c>
      <c r="N129" s="167">
        <f t="shared" si="11"/>
        <v>2.1558249999999997</v>
      </c>
      <c r="O129" s="167">
        <f t="shared" si="12"/>
        <v>13797.279999999997</v>
      </c>
      <c r="P129" s="168">
        <f t="shared" si="13"/>
        <v>1446734.4903199996</v>
      </c>
      <c r="R129" s="153"/>
    </row>
    <row r="130" spans="1:18" ht="12.75">
      <c r="A130" s="194">
        <v>45583</v>
      </c>
      <c r="B130" s="59">
        <v>45586</v>
      </c>
      <c r="C130" s="158">
        <f>VLOOKUP(B:B,'Курс валют'!A:D,4,0)</f>
        <v>104.8565</v>
      </c>
      <c r="D130" s="198">
        <v>757</v>
      </c>
      <c r="E130" s="190" t="s">
        <v>50</v>
      </c>
      <c r="F130" s="198">
        <v>8800</v>
      </c>
      <c r="G130" s="198">
        <v>8845.6</v>
      </c>
      <c r="H130" s="199">
        <v>1777</v>
      </c>
      <c r="I130" s="198">
        <f t="shared" si="7"/>
        <v>45.600000000000364</v>
      </c>
      <c r="J130" s="163">
        <f t="shared" si="8"/>
        <v>0.5181818181818223</v>
      </c>
      <c r="K130" s="199">
        <v>2.77</v>
      </c>
      <c r="L130" s="165">
        <f t="shared" si="9"/>
        <v>20.19318181818182</v>
      </c>
      <c r="M130" s="166">
        <f t="shared" si="10"/>
        <v>226.08395937272724</v>
      </c>
      <c r="N130" s="167">
        <f t="shared" si="11"/>
        <v>2.1561272727272724</v>
      </c>
      <c r="O130" s="167">
        <f t="shared" si="12"/>
        <v>18973.919999999998</v>
      </c>
      <c r="P130" s="168">
        <f t="shared" si="13"/>
        <v>1989538.8424799996</v>
      </c>
      <c r="R130" s="153"/>
    </row>
    <row r="131" spans="1:18" ht="12.75">
      <c r="A131" s="194">
        <v>45586</v>
      </c>
      <c r="B131" s="59">
        <v>45587</v>
      </c>
      <c r="C131" s="158">
        <f>VLOOKUP(B:B,'Курс валют'!A:D,4,0)</f>
        <v>104.4016</v>
      </c>
      <c r="D131" s="198">
        <v>759</v>
      </c>
      <c r="E131" s="190" t="s">
        <v>2511</v>
      </c>
      <c r="F131" s="198">
        <v>1600</v>
      </c>
      <c r="G131" s="198">
        <v>1641.5</v>
      </c>
      <c r="H131" s="199">
        <v>0</v>
      </c>
      <c r="I131" s="198">
        <f t="shared" si="7"/>
        <v>41.5</v>
      </c>
      <c r="J131" s="163">
        <f t="shared" si="8"/>
        <v>2.59375</v>
      </c>
      <c r="K131" s="199">
        <v>2.6</v>
      </c>
      <c r="L131" s="165">
        <f t="shared" si="9"/>
        <v>0</v>
      </c>
      <c r="M131" s="166">
        <f t="shared" si="10"/>
        <v>271.44416000000001</v>
      </c>
      <c r="N131" s="167">
        <f t="shared" si="11"/>
        <v>2.6</v>
      </c>
      <c r="O131" s="167">
        <f t="shared" si="12"/>
        <v>4160</v>
      </c>
      <c r="P131" s="168">
        <f t="shared" si="13"/>
        <v>434310.65600000002</v>
      </c>
      <c r="R131" s="153" t="s">
        <v>2505</v>
      </c>
    </row>
    <row r="132" spans="1:18" ht="12.75">
      <c r="A132" s="194">
        <v>45587</v>
      </c>
      <c r="B132" s="59">
        <v>45588</v>
      </c>
      <c r="C132" s="158">
        <v>104.866</v>
      </c>
      <c r="D132" s="198">
        <v>760</v>
      </c>
      <c r="E132" s="190" t="s">
        <v>2511</v>
      </c>
      <c r="F132" s="198">
        <v>1600</v>
      </c>
      <c r="G132" s="198">
        <v>1637.5</v>
      </c>
      <c r="H132" s="199">
        <v>0</v>
      </c>
      <c r="I132" s="198">
        <f t="shared" si="7"/>
        <v>37.5</v>
      </c>
      <c r="J132" s="163">
        <f t="shared" si="8"/>
        <v>2.34375</v>
      </c>
      <c r="K132" s="199">
        <v>2.6</v>
      </c>
      <c r="L132" s="165">
        <f t="shared" si="9"/>
        <v>0</v>
      </c>
      <c r="M132" s="166">
        <f t="shared" si="10"/>
        <v>272.65159999999997</v>
      </c>
      <c r="N132" s="167">
        <f t="shared" si="11"/>
        <v>2.6</v>
      </c>
      <c r="O132" s="167">
        <f t="shared" si="12"/>
        <v>4160</v>
      </c>
      <c r="P132" s="168">
        <f t="shared" si="13"/>
        <v>436242.56</v>
      </c>
      <c r="R132" s="153" t="s">
        <v>2505</v>
      </c>
    </row>
    <row r="133" spans="1:18" ht="12.75">
      <c r="A133" s="194">
        <v>45588</v>
      </c>
      <c r="B133" s="59">
        <v>45589</v>
      </c>
      <c r="C133" s="158">
        <v>104.3815</v>
      </c>
      <c r="D133" s="198">
        <v>762</v>
      </c>
      <c r="E133" s="193" t="s">
        <v>15</v>
      </c>
      <c r="F133" s="198">
        <v>4400</v>
      </c>
      <c r="G133" s="198">
        <v>4417</v>
      </c>
      <c r="H133" s="199">
        <v>2017</v>
      </c>
      <c r="I133" s="198">
        <f t="shared" si="7"/>
        <v>17</v>
      </c>
      <c r="J133" s="163">
        <f t="shared" si="8"/>
        <v>0.38636363636363635</v>
      </c>
      <c r="K133" s="199">
        <v>4.4400000000000004</v>
      </c>
      <c r="L133" s="165">
        <f t="shared" si="9"/>
        <v>45.840909090909093</v>
      </c>
      <c r="M133" s="166">
        <f t="shared" si="10"/>
        <v>317.99159729090911</v>
      </c>
      <c r="N133" s="167">
        <f t="shared" si="11"/>
        <v>3.0464363636363636</v>
      </c>
      <c r="O133" s="167">
        <f t="shared" si="12"/>
        <v>13404.32</v>
      </c>
      <c r="P133" s="168">
        <f t="shared" si="13"/>
        <v>1399163.0280800001</v>
      </c>
      <c r="R133" s="153"/>
    </row>
    <row r="134" spans="1:18" ht="12.75">
      <c r="A134" s="194">
        <v>45588</v>
      </c>
      <c r="B134" s="59">
        <v>45589</v>
      </c>
      <c r="C134" s="158">
        <v>104.3815</v>
      </c>
      <c r="D134" s="198">
        <v>763</v>
      </c>
      <c r="E134" s="190" t="s">
        <v>2512</v>
      </c>
      <c r="F134" s="198">
        <v>940</v>
      </c>
      <c r="G134" s="198">
        <v>948.029</v>
      </c>
      <c r="H134" s="199">
        <v>0</v>
      </c>
      <c r="I134" s="198">
        <f t="shared" si="7"/>
        <v>8.0289999999999964</v>
      </c>
      <c r="J134" s="163">
        <f t="shared" si="8"/>
        <v>0.85414893617021237</v>
      </c>
      <c r="K134" s="199">
        <v>2.4</v>
      </c>
      <c r="L134" s="165">
        <f t="shared" si="9"/>
        <v>0</v>
      </c>
      <c r="M134" s="166">
        <f t="shared" si="10"/>
        <v>250.51560000000001</v>
      </c>
      <c r="N134" s="167">
        <f t="shared" si="11"/>
        <v>2.4</v>
      </c>
      <c r="O134" s="167">
        <f t="shared" si="12"/>
        <v>2256</v>
      </c>
      <c r="P134" s="168">
        <f t="shared" si="13"/>
        <v>235484.66400000002</v>
      </c>
      <c r="R134" s="153" t="s">
        <v>2513</v>
      </c>
    </row>
    <row r="135" spans="1:18" ht="12.75">
      <c r="A135" s="195">
        <v>45589</v>
      </c>
      <c r="B135" s="59">
        <v>45590</v>
      </c>
      <c r="C135" s="158">
        <v>104.51390000000001</v>
      </c>
      <c r="D135" s="198">
        <v>765</v>
      </c>
      <c r="E135" s="190" t="s">
        <v>15</v>
      </c>
      <c r="F135" s="198">
        <v>8800</v>
      </c>
      <c r="G135" s="198">
        <v>8815.02</v>
      </c>
      <c r="H135" s="199">
        <v>4020</v>
      </c>
      <c r="I135" s="198">
        <f t="shared" si="7"/>
        <v>15.020000000000437</v>
      </c>
      <c r="J135" s="163">
        <f t="shared" si="8"/>
        <v>0.17068181818182315</v>
      </c>
      <c r="K135" s="199">
        <v>4.07</v>
      </c>
      <c r="L135" s="165">
        <f t="shared" si="9"/>
        <v>45.681818181818187</v>
      </c>
      <c r="M135" s="166">
        <f t="shared" si="10"/>
        <v>280.23026969090915</v>
      </c>
      <c r="N135" s="167">
        <f t="shared" si="11"/>
        <v>2.6812727272727273</v>
      </c>
      <c r="O135" s="167">
        <f t="shared" si="12"/>
        <v>23595.200000000001</v>
      </c>
      <c r="P135" s="168">
        <f t="shared" si="13"/>
        <v>2466026.3732800004</v>
      </c>
      <c r="R135" s="153"/>
    </row>
    <row r="136" spans="1:18" ht="12.75">
      <c r="A136" s="195">
        <v>45590</v>
      </c>
      <c r="B136" s="59">
        <v>45593</v>
      </c>
      <c r="C136" s="158">
        <v>104.8094</v>
      </c>
      <c r="D136" s="198">
        <v>759</v>
      </c>
      <c r="E136" s="190" t="s">
        <v>2454</v>
      </c>
      <c r="F136" s="198">
        <v>1000</v>
      </c>
      <c r="G136" s="198">
        <v>1046</v>
      </c>
      <c r="H136" s="199">
        <v>0</v>
      </c>
      <c r="I136" s="198">
        <f t="shared" si="7"/>
        <v>46</v>
      </c>
      <c r="J136" s="163">
        <f t="shared" si="8"/>
        <v>4.5999999999999996</v>
      </c>
      <c r="K136" s="199">
        <v>3.19</v>
      </c>
      <c r="L136" s="165">
        <f t="shared" si="9"/>
        <v>0</v>
      </c>
      <c r="M136" s="166">
        <f t="shared" si="10"/>
        <v>334.34198599999996</v>
      </c>
      <c r="N136" s="167">
        <f t="shared" si="11"/>
        <v>3.19</v>
      </c>
      <c r="O136" s="167">
        <f t="shared" si="12"/>
        <v>3190</v>
      </c>
      <c r="P136" s="168">
        <f t="shared" si="13"/>
        <v>334341.98599999998</v>
      </c>
      <c r="R136" s="153"/>
    </row>
    <row r="137" spans="1:18" ht="12.75">
      <c r="A137" s="195">
        <v>45590</v>
      </c>
      <c r="B137" s="59">
        <v>45593</v>
      </c>
      <c r="C137" s="158">
        <v>104.8094</v>
      </c>
      <c r="D137" s="198">
        <v>767</v>
      </c>
      <c r="E137" s="190" t="s">
        <v>15</v>
      </c>
      <c r="F137" s="198">
        <v>6600</v>
      </c>
      <c r="G137" s="198">
        <v>6615</v>
      </c>
      <c r="H137" s="199">
        <v>3020</v>
      </c>
      <c r="I137" s="198">
        <f t="shared" si="7"/>
        <v>15</v>
      </c>
      <c r="J137" s="163">
        <f t="shared" si="8"/>
        <v>0.22727272727272727</v>
      </c>
      <c r="K137" s="199">
        <v>3.98</v>
      </c>
      <c r="L137" s="165">
        <f t="shared" si="9"/>
        <v>45.757575757575758</v>
      </c>
      <c r="M137" s="166">
        <f t="shared" si="10"/>
        <v>271.34836055757575</v>
      </c>
      <c r="N137" s="167">
        <f t="shared" si="11"/>
        <v>2.5889696969696971</v>
      </c>
      <c r="O137" s="167">
        <f t="shared" si="12"/>
        <v>17087.2</v>
      </c>
      <c r="P137" s="168">
        <f t="shared" si="13"/>
        <v>1790899.1796800001</v>
      </c>
      <c r="R137" s="153"/>
    </row>
    <row r="138" spans="1:18" ht="12.75">
      <c r="A138" s="195">
        <v>45590</v>
      </c>
      <c r="B138" s="59">
        <v>45593</v>
      </c>
      <c r="C138" s="158">
        <v>104.8094</v>
      </c>
      <c r="D138" s="198">
        <v>768</v>
      </c>
      <c r="E138" s="190" t="s">
        <v>2514</v>
      </c>
      <c r="F138" s="198">
        <v>880</v>
      </c>
      <c r="G138" s="198">
        <v>920</v>
      </c>
      <c r="H138" s="199">
        <v>413.6</v>
      </c>
      <c r="I138" s="198">
        <f t="shared" si="7"/>
        <v>40</v>
      </c>
      <c r="J138" s="163">
        <f t="shared" si="8"/>
        <v>4.5454545454545459</v>
      </c>
      <c r="K138" s="199">
        <v>4.2300000000000004</v>
      </c>
      <c r="L138" s="165">
        <f t="shared" si="9"/>
        <v>47</v>
      </c>
      <c r="M138" s="166">
        <f t="shared" si="10"/>
        <v>293.59209128000003</v>
      </c>
      <c r="N138" s="167">
        <f t="shared" si="11"/>
        <v>2.8012000000000006</v>
      </c>
      <c r="O138" s="167">
        <f t="shared" si="12"/>
        <v>2465.0560000000005</v>
      </c>
      <c r="P138" s="168">
        <f t="shared" si="13"/>
        <v>258361.04032640005</v>
      </c>
      <c r="R138" s="153" t="s">
        <v>2515</v>
      </c>
    </row>
    <row r="139" spans="1:18" ht="12.75">
      <c r="A139" s="195">
        <v>45590</v>
      </c>
      <c r="B139" s="59">
        <v>45593</v>
      </c>
      <c r="C139" s="158">
        <v>104.8094</v>
      </c>
      <c r="D139" s="198">
        <v>769</v>
      </c>
      <c r="E139" s="190" t="s">
        <v>15</v>
      </c>
      <c r="F139" s="198">
        <v>8800</v>
      </c>
      <c r="G139" s="198">
        <v>8810</v>
      </c>
      <c r="H139" s="199">
        <v>4020</v>
      </c>
      <c r="I139" s="198">
        <f t="shared" si="7"/>
        <v>10</v>
      </c>
      <c r="J139" s="163">
        <f t="shared" si="8"/>
        <v>0.11363636363636363</v>
      </c>
      <c r="K139" s="199">
        <v>4.03</v>
      </c>
      <c r="L139" s="165">
        <f t="shared" si="9"/>
        <v>45.681818181818187</v>
      </c>
      <c r="M139" s="166">
        <f t="shared" si="10"/>
        <v>276.83020978181821</v>
      </c>
      <c r="N139" s="167">
        <f t="shared" si="11"/>
        <v>2.6412727272727272</v>
      </c>
      <c r="O139" s="167">
        <f t="shared" si="12"/>
        <v>23243.200000000001</v>
      </c>
      <c r="P139" s="168">
        <f t="shared" si="13"/>
        <v>2436105.84608</v>
      </c>
      <c r="R139" s="153"/>
    </row>
    <row r="140" spans="1:18" ht="12.75">
      <c r="A140" s="195">
        <v>45590</v>
      </c>
      <c r="B140" s="59">
        <v>45593</v>
      </c>
      <c r="C140" s="158">
        <v>104.8094</v>
      </c>
      <c r="D140" s="198">
        <v>770</v>
      </c>
      <c r="E140" s="50" t="s">
        <v>65</v>
      </c>
      <c r="F140" s="198">
        <v>1600</v>
      </c>
      <c r="G140" s="198">
        <v>1648</v>
      </c>
      <c r="H140" s="199">
        <v>0</v>
      </c>
      <c r="I140" s="198">
        <f t="shared" si="7"/>
        <v>48</v>
      </c>
      <c r="J140" s="163">
        <f t="shared" si="8"/>
        <v>3</v>
      </c>
      <c r="K140" s="199">
        <v>3.11</v>
      </c>
      <c r="L140" s="165">
        <f t="shared" si="9"/>
        <v>0</v>
      </c>
      <c r="M140" s="166">
        <f t="shared" si="10"/>
        <v>325.95723399999997</v>
      </c>
      <c r="N140" s="167">
        <f t="shared" si="11"/>
        <v>3.11</v>
      </c>
      <c r="O140" s="167">
        <f t="shared" si="12"/>
        <v>4976</v>
      </c>
      <c r="P140" s="168">
        <f t="shared" si="13"/>
        <v>521531.57439999998</v>
      </c>
      <c r="R140" s="153" t="s">
        <v>2516</v>
      </c>
    </row>
    <row r="141" spans="1:18" ht="12.75">
      <c r="A141" s="195">
        <v>45593</v>
      </c>
      <c r="B141" s="59">
        <v>45594</v>
      </c>
      <c r="C141" s="158">
        <v>105.2229</v>
      </c>
      <c r="D141" s="198">
        <v>761</v>
      </c>
      <c r="E141" s="170" t="s">
        <v>2454</v>
      </c>
      <c r="F141" s="198">
        <v>1000</v>
      </c>
      <c r="G141" s="198">
        <v>1043</v>
      </c>
      <c r="H141" s="199">
        <v>0</v>
      </c>
      <c r="I141" s="198">
        <f t="shared" si="7"/>
        <v>43</v>
      </c>
      <c r="J141" s="163">
        <f t="shared" si="8"/>
        <v>4.3</v>
      </c>
      <c r="K141" s="199">
        <v>3.19</v>
      </c>
      <c r="L141" s="165">
        <f t="shared" si="9"/>
        <v>0</v>
      </c>
      <c r="M141" s="166">
        <f t="shared" si="10"/>
        <v>335.66105099999999</v>
      </c>
      <c r="N141" s="167">
        <f t="shared" si="11"/>
        <v>3.19</v>
      </c>
      <c r="O141" s="167">
        <f t="shared" si="12"/>
        <v>3190</v>
      </c>
      <c r="P141" s="168">
        <f t="shared" si="13"/>
        <v>335661.05099999998</v>
      </c>
      <c r="R141" s="153"/>
    </row>
    <row r="142" spans="1:18" ht="12.75">
      <c r="A142" s="196">
        <v>45593</v>
      </c>
      <c r="B142" s="59">
        <v>45594</v>
      </c>
      <c r="C142" s="158">
        <v>105.2229</v>
      </c>
      <c r="D142" s="198">
        <v>771</v>
      </c>
      <c r="E142" s="197" t="s">
        <v>15</v>
      </c>
      <c r="F142" s="198">
        <v>8800</v>
      </c>
      <c r="G142" s="198">
        <v>8812</v>
      </c>
      <c r="H142" s="199">
        <v>4017</v>
      </c>
      <c r="I142" s="198">
        <f t="shared" si="7"/>
        <v>12</v>
      </c>
      <c r="J142" s="163">
        <f t="shared" si="8"/>
        <v>0.13636363636363638</v>
      </c>
      <c r="K142" s="199">
        <v>3.94</v>
      </c>
      <c r="L142" s="165">
        <f t="shared" si="9"/>
        <v>45.647727272727273</v>
      </c>
      <c r="M142" s="166">
        <f t="shared" si="10"/>
        <v>268.56136424181818</v>
      </c>
      <c r="N142" s="167">
        <f t="shared" si="11"/>
        <v>2.5523090909090911</v>
      </c>
      <c r="O142" s="167">
        <f t="shared" si="12"/>
        <v>22460.32</v>
      </c>
      <c r="P142" s="168">
        <f t="shared" si="13"/>
        <v>2363340.0053280001</v>
      </c>
      <c r="R142" s="153"/>
    </row>
    <row r="143" spans="1:18" ht="12.75">
      <c r="A143" s="196">
        <v>45594</v>
      </c>
      <c r="B143" s="59">
        <v>45595</v>
      </c>
      <c r="C143" s="158">
        <v>105.4375</v>
      </c>
      <c r="D143" s="198">
        <v>772</v>
      </c>
      <c r="E143" s="50" t="s">
        <v>66</v>
      </c>
      <c r="F143" s="198">
        <v>16000</v>
      </c>
      <c r="G143" s="198">
        <v>16034.24</v>
      </c>
      <c r="H143" s="199">
        <v>1520</v>
      </c>
      <c r="I143" s="198">
        <f t="shared" si="7"/>
        <v>34.239999999999782</v>
      </c>
      <c r="J143" s="163">
        <f t="shared" si="8"/>
        <v>0.21399999999999866</v>
      </c>
      <c r="K143" s="199">
        <v>2.2000000000000002</v>
      </c>
      <c r="L143" s="165">
        <f t="shared" si="9"/>
        <v>9.5</v>
      </c>
      <c r="M143" s="166">
        <f t="shared" si="10"/>
        <v>201.51214999999999</v>
      </c>
      <c r="N143" s="167">
        <f t="shared" si="11"/>
        <v>1.9112</v>
      </c>
      <c r="O143" s="167">
        <f t="shared" si="12"/>
        <v>30579.200000000001</v>
      </c>
      <c r="P143" s="168">
        <f t="shared" si="13"/>
        <v>3224194.4</v>
      </c>
      <c r="R143" s="153"/>
    </row>
    <row r="144" spans="1:18" ht="12.75">
      <c r="A144" s="196">
        <v>45594</v>
      </c>
      <c r="B144" s="59">
        <v>45595</v>
      </c>
      <c r="C144" s="158">
        <v>105.4375</v>
      </c>
      <c r="D144" s="198">
        <v>764</v>
      </c>
      <c r="E144" s="170" t="s">
        <v>2454</v>
      </c>
      <c r="F144" s="198">
        <v>1000</v>
      </c>
      <c r="G144" s="198">
        <v>1045.5999999999999</v>
      </c>
      <c r="H144" s="199">
        <v>0</v>
      </c>
      <c r="I144" s="198">
        <f t="shared" si="7"/>
        <v>45.599999999999909</v>
      </c>
      <c r="J144" s="163">
        <f t="shared" si="8"/>
        <v>4.5599999999999907</v>
      </c>
      <c r="K144" s="199">
        <v>3.16</v>
      </c>
      <c r="L144" s="165">
        <f t="shared" si="9"/>
        <v>0</v>
      </c>
      <c r="M144" s="166">
        <f t="shared" si="10"/>
        <v>333.1825</v>
      </c>
      <c r="N144" s="167">
        <f t="shared" si="11"/>
        <v>3.16</v>
      </c>
      <c r="O144" s="167">
        <f t="shared" si="12"/>
        <v>3160</v>
      </c>
      <c r="P144" s="168">
        <f t="shared" si="13"/>
        <v>333182.5</v>
      </c>
    </row>
    <row r="145" spans="1:19" ht="12.75">
      <c r="A145" s="196">
        <v>45595</v>
      </c>
      <c r="B145" s="59">
        <v>45596</v>
      </c>
      <c r="C145" s="158">
        <v>105.22110000000001</v>
      </c>
      <c r="D145" s="198">
        <v>773.774</v>
      </c>
      <c r="E145" s="170" t="s">
        <v>15</v>
      </c>
      <c r="F145" s="198">
        <v>8800</v>
      </c>
      <c r="G145" s="198">
        <v>8839</v>
      </c>
      <c r="H145" s="199">
        <v>4020</v>
      </c>
      <c r="I145" s="198">
        <f t="shared" si="7"/>
        <v>39</v>
      </c>
      <c r="J145" s="163">
        <f t="shared" si="8"/>
        <v>0.44318181818181818</v>
      </c>
      <c r="K145" s="199">
        <v>3.94</v>
      </c>
      <c r="L145" s="165">
        <f t="shared" si="9"/>
        <v>45.681818181818187</v>
      </c>
      <c r="M145" s="166">
        <f t="shared" si="10"/>
        <v>268.44772276363636</v>
      </c>
      <c r="N145" s="167">
        <f t="shared" si="11"/>
        <v>2.5512727272727274</v>
      </c>
      <c r="O145" s="167">
        <f t="shared" si="12"/>
        <v>22451.200000000001</v>
      </c>
      <c r="P145" s="168">
        <f t="shared" si="13"/>
        <v>2362339.9603200001</v>
      </c>
    </row>
    <row r="146" spans="1:19">
      <c r="A146" s="10">
        <v>45596</v>
      </c>
      <c r="B146" s="10">
        <v>45597</v>
      </c>
      <c r="C146" s="11">
        <f>VLOOKUP(B:B,'Курс валют'!A:D,4,0)</f>
        <v>105.5231</v>
      </c>
      <c r="D146" s="11">
        <v>775</v>
      </c>
      <c r="E146" s="135" t="s">
        <v>50</v>
      </c>
      <c r="F146" s="11">
        <v>16000</v>
      </c>
      <c r="G146" s="11">
        <v>16077.2</v>
      </c>
      <c r="H146" s="56">
        <v>0</v>
      </c>
      <c r="I146" s="58">
        <f t="shared" ref="I146:I217" si="14">G146-F146</f>
        <v>77.200000000000728</v>
      </c>
      <c r="J146" s="14">
        <f t="shared" ref="J146:J217" si="15">I146/F146*100</f>
        <v>0.48250000000000454</v>
      </c>
      <c r="K146" s="151">
        <v>1.97</v>
      </c>
      <c r="L146" s="15">
        <f t="shared" ref="L146:L217" si="16">H146/F146*100</f>
        <v>0</v>
      </c>
      <c r="M146" s="16">
        <f t="shared" ref="M146:M217" si="17">P146/F146</f>
        <v>207.88050700000002</v>
      </c>
      <c r="N146" s="17">
        <f t="shared" ref="N146:N217" si="18">(F146*K146-H146*3.04)/F146</f>
        <v>1.97</v>
      </c>
      <c r="O146" s="17">
        <f t="shared" ref="O146:O217" si="19">N146*F146</f>
        <v>31520</v>
      </c>
      <c r="P146" s="18">
        <f t="shared" ref="P146:P217" si="20">O146*C146</f>
        <v>3326088.1120000002</v>
      </c>
      <c r="R146" s="153"/>
    </row>
    <row r="147" spans="1:19">
      <c r="A147" s="10">
        <v>45597</v>
      </c>
      <c r="B147" s="10">
        <v>45598</v>
      </c>
      <c r="C147" s="11">
        <f>VLOOKUP(B:B,'Курс валют'!A:D,4,0)</f>
        <v>105.8415</v>
      </c>
      <c r="D147" s="58">
        <v>776</v>
      </c>
      <c r="E147" s="50" t="s">
        <v>63</v>
      </c>
      <c r="F147" s="58">
        <v>2076</v>
      </c>
      <c r="G147" s="58">
        <v>2080</v>
      </c>
      <c r="H147" s="56">
        <v>0</v>
      </c>
      <c r="I147" s="58">
        <f t="shared" si="14"/>
        <v>4</v>
      </c>
      <c r="J147" s="14">
        <f t="shared" si="15"/>
        <v>0.19267822736030829</v>
      </c>
      <c r="K147" s="25">
        <v>2.9</v>
      </c>
      <c r="L147" s="15">
        <f t="shared" si="16"/>
        <v>0</v>
      </c>
      <c r="M147" s="16">
        <f t="shared" si="17"/>
        <v>306.94035000000002</v>
      </c>
      <c r="N147" s="17">
        <f t="shared" si="18"/>
        <v>2.9</v>
      </c>
      <c r="O147" s="17">
        <f t="shared" si="19"/>
        <v>6020.4</v>
      </c>
      <c r="P147" s="18">
        <f t="shared" si="20"/>
        <v>637208.1666</v>
      </c>
      <c r="R147" s="153" t="s">
        <v>2485</v>
      </c>
      <c r="S147" s="154" t="s">
        <v>2486</v>
      </c>
    </row>
    <row r="148" spans="1:19">
      <c r="A148" s="54">
        <v>45597</v>
      </c>
      <c r="B148" s="10">
        <v>45598</v>
      </c>
      <c r="C148" s="11">
        <f>VLOOKUP(B:B,'Курс валют'!A:D,4,0)</f>
        <v>105.8415</v>
      </c>
      <c r="D148" s="58">
        <v>777</v>
      </c>
      <c r="E148" s="50" t="s">
        <v>51</v>
      </c>
      <c r="F148" s="58">
        <v>1600</v>
      </c>
      <c r="G148" s="58">
        <v>1609</v>
      </c>
      <c r="H148" s="56">
        <v>0</v>
      </c>
      <c r="I148" s="58">
        <f t="shared" si="14"/>
        <v>9</v>
      </c>
      <c r="J148" s="14">
        <f t="shared" si="15"/>
        <v>0.5625</v>
      </c>
      <c r="K148" s="56">
        <v>1.98</v>
      </c>
      <c r="L148" s="15">
        <f t="shared" si="16"/>
        <v>0</v>
      </c>
      <c r="M148" s="16">
        <f t="shared" si="17"/>
        <v>209.56616999999997</v>
      </c>
      <c r="N148" s="17">
        <f t="shared" si="18"/>
        <v>1.98</v>
      </c>
      <c r="O148" s="17">
        <f t="shared" si="19"/>
        <v>3168</v>
      </c>
      <c r="P148" s="18">
        <f t="shared" si="20"/>
        <v>335305.87199999997</v>
      </c>
      <c r="R148" s="153"/>
    </row>
    <row r="149" spans="1:19">
      <c r="A149" s="54">
        <v>45598</v>
      </c>
      <c r="B149" s="10">
        <v>45601</v>
      </c>
      <c r="C149" s="11">
        <f>VLOOKUP(B:B,'Курс валют'!A:D,4,0)</f>
        <v>106.1426</v>
      </c>
      <c r="D149" s="58">
        <v>778</v>
      </c>
      <c r="E149" s="50" t="s">
        <v>50</v>
      </c>
      <c r="F149" s="58">
        <v>16000</v>
      </c>
      <c r="G149" s="58">
        <v>16093.2</v>
      </c>
      <c r="H149" s="56">
        <v>0</v>
      </c>
      <c r="I149" s="58">
        <f t="shared" si="14"/>
        <v>93.200000000000728</v>
      </c>
      <c r="J149" s="14">
        <f t="shared" si="15"/>
        <v>0.58250000000000457</v>
      </c>
      <c r="K149" s="25">
        <v>1.98</v>
      </c>
      <c r="L149" s="15">
        <f t="shared" si="16"/>
        <v>0</v>
      </c>
      <c r="M149" s="16">
        <f t="shared" si="17"/>
        <v>210.16234800000001</v>
      </c>
      <c r="N149" s="17">
        <f t="shared" si="18"/>
        <v>1.98</v>
      </c>
      <c r="O149" s="17">
        <f t="shared" si="19"/>
        <v>31680</v>
      </c>
      <c r="P149" s="18">
        <f t="shared" si="20"/>
        <v>3362597.568</v>
      </c>
      <c r="R149" s="153" t="s">
        <v>2487</v>
      </c>
    </row>
    <row r="150" spans="1:19">
      <c r="A150" s="54">
        <v>45598</v>
      </c>
      <c r="B150" s="10">
        <v>45601</v>
      </c>
      <c r="C150" s="11">
        <f>VLOOKUP(B:B,'Курс валют'!A:D,4,0)</f>
        <v>106.1426</v>
      </c>
      <c r="D150" s="58">
        <v>779</v>
      </c>
      <c r="E150" s="50" t="s">
        <v>51</v>
      </c>
      <c r="F150" s="58">
        <v>5600</v>
      </c>
      <c r="G150" s="58">
        <v>5629</v>
      </c>
      <c r="H150" s="56">
        <v>0</v>
      </c>
      <c r="I150" s="58">
        <f t="shared" si="14"/>
        <v>29</v>
      </c>
      <c r="J150" s="14">
        <f t="shared" si="15"/>
        <v>0.51785714285714279</v>
      </c>
      <c r="K150" s="25">
        <v>2.0499999999999998</v>
      </c>
      <c r="L150" s="15">
        <f t="shared" si="16"/>
        <v>0</v>
      </c>
      <c r="M150" s="16">
        <f t="shared" si="17"/>
        <v>217.59232999999995</v>
      </c>
      <c r="N150" s="17">
        <f t="shared" si="18"/>
        <v>2.0499999999999998</v>
      </c>
      <c r="O150" s="17">
        <f t="shared" si="19"/>
        <v>11479.999999999998</v>
      </c>
      <c r="P150" s="18">
        <f t="shared" si="20"/>
        <v>1218517.0479999997</v>
      </c>
      <c r="R150" s="153"/>
    </row>
    <row r="151" spans="1:19">
      <c r="A151" s="54">
        <v>45598</v>
      </c>
      <c r="B151" s="10">
        <v>45601</v>
      </c>
      <c r="C151" s="11">
        <f>VLOOKUP(B:B,'Курс валют'!A:D,4,0)</f>
        <v>106.1426</v>
      </c>
      <c r="D151" s="58">
        <v>780</v>
      </c>
      <c r="E151" s="64" t="s">
        <v>64</v>
      </c>
      <c r="F151" s="58">
        <v>900</v>
      </c>
      <c r="G151" s="58">
        <v>939.26</v>
      </c>
      <c r="H151" s="56">
        <v>75.5</v>
      </c>
      <c r="I151" s="58">
        <f t="shared" si="14"/>
        <v>39.259999999999991</v>
      </c>
      <c r="J151" s="14">
        <f t="shared" si="15"/>
        <v>4.3622222222222211</v>
      </c>
      <c r="K151" s="25">
        <v>2.46</v>
      </c>
      <c r="L151" s="15">
        <f t="shared" si="16"/>
        <v>8.3888888888888893</v>
      </c>
      <c r="M151" s="16">
        <f t="shared" si="17"/>
        <v>234.04207427555556</v>
      </c>
      <c r="N151" s="17">
        <f t="shared" si="18"/>
        <v>2.2049777777777777</v>
      </c>
      <c r="O151" s="17">
        <f t="shared" si="19"/>
        <v>1984.48</v>
      </c>
      <c r="P151" s="18">
        <f t="shared" si="20"/>
        <v>210637.86684800001</v>
      </c>
      <c r="R151" s="153" t="s">
        <v>2456</v>
      </c>
    </row>
    <row r="152" spans="1:19">
      <c r="A152" s="54">
        <v>45598</v>
      </c>
      <c r="B152" s="10">
        <v>45601</v>
      </c>
      <c r="C152" s="11">
        <f>VLOOKUP(B:B,'Курс валют'!A:D,4,0)</f>
        <v>106.1426</v>
      </c>
      <c r="D152" s="58">
        <v>781</v>
      </c>
      <c r="E152" s="64" t="s">
        <v>50</v>
      </c>
      <c r="F152" s="58">
        <v>16000</v>
      </c>
      <c r="G152" s="58">
        <v>16092.2</v>
      </c>
      <c r="H152" s="56">
        <v>0</v>
      </c>
      <c r="I152" s="58">
        <f t="shared" si="14"/>
        <v>92.200000000000728</v>
      </c>
      <c r="J152" s="14">
        <f t="shared" si="15"/>
        <v>0.57625000000000459</v>
      </c>
      <c r="K152" s="25">
        <v>1.98</v>
      </c>
      <c r="L152" s="15">
        <f t="shared" si="16"/>
        <v>0</v>
      </c>
      <c r="M152" s="16">
        <f t="shared" si="17"/>
        <v>210.16234800000001</v>
      </c>
      <c r="N152" s="17">
        <f t="shared" si="18"/>
        <v>1.98</v>
      </c>
      <c r="O152" s="17">
        <f t="shared" si="19"/>
        <v>31680</v>
      </c>
      <c r="P152" s="18">
        <f t="shared" si="20"/>
        <v>3362597.568</v>
      </c>
      <c r="R152" s="153" t="s">
        <v>2487</v>
      </c>
    </row>
    <row r="153" spans="1:19">
      <c r="A153" s="54">
        <v>45598</v>
      </c>
      <c r="B153" s="10">
        <v>45601</v>
      </c>
      <c r="C153" s="11">
        <f>VLOOKUP(B:B,'Курс валют'!A:D,4,0)</f>
        <v>106.1426</v>
      </c>
      <c r="D153" s="58">
        <v>782</v>
      </c>
      <c r="E153" s="64" t="s">
        <v>64</v>
      </c>
      <c r="F153" s="58">
        <v>900</v>
      </c>
      <c r="G153" s="58">
        <v>934.26</v>
      </c>
      <c r="H153" s="56">
        <v>75.5</v>
      </c>
      <c r="I153" s="58">
        <f t="shared" si="14"/>
        <v>34.259999999999991</v>
      </c>
      <c r="J153" s="14">
        <f t="shared" si="15"/>
        <v>3.8066666666666658</v>
      </c>
      <c r="K153" s="25">
        <v>2.46</v>
      </c>
      <c r="L153" s="15">
        <f t="shared" si="16"/>
        <v>8.3888888888888893</v>
      </c>
      <c r="M153" s="16">
        <f t="shared" si="17"/>
        <v>234.04207427555556</v>
      </c>
      <c r="N153" s="17">
        <f t="shared" si="18"/>
        <v>2.2049777777777777</v>
      </c>
      <c r="O153" s="17">
        <f t="shared" si="19"/>
        <v>1984.48</v>
      </c>
      <c r="P153" s="18">
        <f t="shared" si="20"/>
        <v>210637.86684800001</v>
      </c>
      <c r="R153" s="153" t="s">
        <v>2456</v>
      </c>
    </row>
    <row r="154" spans="1:19">
      <c r="A154" s="54">
        <v>45601</v>
      </c>
      <c r="B154" s="10">
        <v>45602</v>
      </c>
      <c r="C154" s="11">
        <f>VLOOKUP(B:B,'Курс валют'!A:D,4,0)</f>
        <v>106.8883</v>
      </c>
      <c r="D154" s="58">
        <v>783</v>
      </c>
      <c r="E154" s="62" t="s">
        <v>15</v>
      </c>
      <c r="F154" s="58">
        <v>8800</v>
      </c>
      <c r="G154" s="58">
        <v>8821</v>
      </c>
      <c r="H154" s="56">
        <v>4021</v>
      </c>
      <c r="I154" s="58">
        <f t="shared" si="14"/>
        <v>21</v>
      </c>
      <c r="J154" s="14">
        <f t="shared" si="15"/>
        <v>0.23863636363636365</v>
      </c>
      <c r="K154" s="56">
        <v>3.84</v>
      </c>
      <c r="L154" s="15">
        <f t="shared" si="16"/>
        <v>45.693181818181813</v>
      </c>
      <c r="M154" s="16">
        <f t="shared" si="17"/>
        <v>261.97544960545457</v>
      </c>
      <c r="N154" s="17">
        <f t="shared" si="18"/>
        <v>2.4509272727272728</v>
      </c>
      <c r="O154" s="17">
        <f t="shared" si="19"/>
        <v>21568.16</v>
      </c>
      <c r="P154" s="18">
        <f t="shared" si="20"/>
        <v>2305383.9565280001</v>
      </c>
      <c r="R154" s="153"/>
    </row>
    <row r="155" spans="1:19">
      <c r="A155" s="54">
        <v>45601</v>
      </c>
      <c r="B155" s="10">
        <v>45602</v>
      </c>
      <c r="C155" s="11">
        <f>VLOOKUP(B:B,'Курс валют'!A:D,4,0)</f>
        <v>106.8883</v>
      </c>
      <c r="D155" s="58">
        <v>784</v>
      </c>
      <c r="E155" s="64" t="s">
        <v>64</v>
      </c>
      <c r="F155" s="58">
        <v>900</v>
      </c>
      <c r="G155" s="58">
        <v>937.26</v>
      </c>
      <c r="H155" s="56">
        <v>0</v>
      </c>
      <c r="I155" s="58">
        <f t="shared" si="14"/>
        <v>37.259999999999991</v>
      </c>
      <c r="J155" s="14">
        <f t="shared" si="15"/>
        <v>4.1399999999999988</v>
      </c>
      <c r="K155" s="56">
        <v>2.2599999999999998</v>
      </c>
      <c r="L155" s="15">
        <f t="shared" si="16"/>
        <v>0</v>
      </c>
      <c r="M155" s="16">
        <f t="shared" si="17"/>
        <v>241.56755799999996</v>
      </c>
      <c r="N155" s="17">
        <f t="shared" si="18"/>
        <v>2.2599999999999998</v>
      </c>
      <c r="O155" s="17">
        <f t="shared" si="19"/>
        <v>2033.9999999999998</v>
      </c>
      <c r="P155" s="18">
        <f t="shared" si="20"/>
        <v>217410.80219999998</v>
      </c>
      <c r="R155" s="153" t="s">
        <v>2456</v>
      </c>
    </row>
    <row r="156" spans="1:19">
      <c r="A156" s="54">
        <v>45602</v>
      </c>
      <c r="B156" s="10">
        <v>45603</v>
      </c>
      <c r="C156" s="11">
        <f>VLOOKUP(B:B,'Курс валют'!A:D,4,0)</f>
        <v>105.7086</v>
      </c>
      <c r="D156" s="58">
        <v>785</v>
      </c>
      <c r="E156" s="64" t="s">
        <v>51</v>
      </c>
      <c r="F156" s="58">
        <v>2400</v>
      </c>
      <c r="G156" s="58">
        <v>2415.1999999999998</v>
      </c>
      <c r="H156" s="56">
        <v>0</v>
      </c>
      <c r="I156" s="58">
        <f t="shared" si="14"/>
        <v>15.199999999999818</v>
      </c>
      <c r="J156" s="14">
        <f t="shared" si="15"/>
        <v>0.63333333333332575</v>
      </c>
      <c r="K156" s="56">
        <v>1.96</v>
      </c>
      <c r="L156" s="15">
        <f t="shared" si="16"/>
        <v>0</v>
      </c>
      <c r="M156" s="16">
        <f t="shared" si="17"/>
        <v>207.18885600000002</v>
      </c>
      <c r="N156" s="17">
        <f t="shared" si="18"/>
        <v>1.96</v>
      </c>
      <c r="O156" s="17">
        <f t="shared" si="19"/>
        <v>4704</v>
      </c>
      <c r="P156" s="18">
        <f t="shared" si="20"/>
        <v>497253.25440000003</v>
      </c>
      <c r="R156" s="153"/>
    </row>
    <row r="157" spans="1:19">
      <c r="A157" s="54">
        <v>45602</v>
      </c>
      <c r="B157" s="10">
        <v>45603</v>
      </c>
      <c r="C157" s="11">
        <f>VLOOKUP(B:B,'Курс валют'!A:D,4,0)</f>
        <v>105.7086</v>
      </c>
      <c r="D157" s="58">
        <v>786</v>
      </c>
      <c r="E157" s="50" t="s">
        <v>65</v>
      </c>
      <c r="F157" s="58">
        <v>4800</v>
      </c>
      <c r="G157" s="58">
        <v>4828</v>
      </c>
      <c r="H157" s="56">
        <v>460</v>
      </c>
      <c r="I157" s="58">
        <f t="shared" si="14"/>
        <v>28</v>
      </c>
      <c r="J157" s="14">
        <f t="shared" si="15"/>
        <v>0.58333333333333337</v>
      </c>
      <c r="K157" s="56">
        <v>2.25</v>
      </c>
      <c r="L157" s="15">
        <f t="shared" si="16"/>
        <v>9.5833333333333339</v>
      </c>
      <c r="M157" s="16">
        <f t="shared" si="17"/>
        <v>207.04791120000002</v>
      </c>
      <c r="N157" s="17">
        <f t="shared" si="18"/>
        <v>1.9586666666666668</v>
      </c>
      <c r="O157" s="17">
        <f t="shared" si="19"/>
        <v>9401.6</v>
      </c>
      <c r="P157" s="18">
        <f t="shared" si="20"/>
        <v>993829.97376000008</v>
      </c>
      <c r="R157" s="155"/>
    </row>
    <row r="158" spans="1:19">
      <c r="A158" s="54">
        <v>45602</v>
      </c>
      <c r="B158" s="10">
        <v>45603</v>
      </c>
      <c r="C158" s="11">
        <f>VLOOKUP(B:B,'Курс валют'!A:D,4,0)</f>
        <v>105.7086</v>
      </c>
      <c r="D158" s="58">
        <v>787</v>
      </c>
      <c r="E158" s="50" t="s">
        <v>66</v>
      </c>
      <c r="F158" s="58">
        <v>8000</v>
      </c>
      <c r="G158" s="58">
        <v>8020</v>
      </c>
      <c r="H158" s="56">
        <v>760</v>
      </c>
      <c r="I158" s="58">
        <f t="shared" si="14"/>
        <v>20</v>
      </c>
      <c r="J158" s="14">
        <f t="shared" si="15"/>
        <v>0.25</v>
      </c>
      <c r="K158" s="56">
        <v>2.0699999999999998</v>
      </c>
      <c r="L158" s="15">
        <f t="shared" si="16"/>
        <v>9.5</v>
      </c>
      <c r="M158" s="16">
        <f t="shared" si="17"/>
        <v>188.28815832000001</v>
      </c>
      <c r="N158" s="17">
        <f t="shared" si="18"/>
        <v>1.7812000000000001</v>
      </c>
      <c r="O158" s="17">
        <f t="shared" si="19"/>
        <v>14249.6</v>
      </c>
      <c r="P158" s="18">
        <f t="shared" si="20"/>
        <v>1506305.2665600001</v>
      </c>
      <c r="R158" s="153"/>
    </row>
    <row r="159" spans="1:19">
      <c r="A159" s="54">
        <v>45602</v>
      </c>
      <c r="B159" s="10">
        <v>45603</v>
      </c>
      <c r="C159" s="11">
        <f>VLOOKUP(B:B,'Курс валют'!A:D,4,0)</f>
        <v>105.7086</v>
      </c>
      <c r="D159" s="58">
        <v>788</v>
      </c>
      <c r="E159" s="50" t="s">
        <v>64</v>
      </c>
      <c r="F159" s="58">
        <v>900</v>
      </c>
      <c r="G159" s="58">
        <v>938.08299999999997</v>
      </c>
      <c r="H159" s="56">
        <v>0</v>
      </c>
      <c r="I159" s="58">
        <f t="shared" si="14"/>
        <v>38.08299999999997</v>
      </c>
      <c r="J159" s="14">
        <f t="shared" si="15"/>
        <v>4.231444444444441</v>
      </c>
      <c r="K159" s="56">
        <v>2.27</v>
      </c>
      <c r="L159" s="15">
        <f t="shared" si="16"/>
        <v>0</v>
      </c>
      <c r="M159" s="16">
        <f t="shared" si="17"/>
        <v>239.95852200000002</v>
      </c>
      <c r="N159" s="17">
        <f t="shared" si="18"/>
        <v>2.27</v>
      </c>
      <c r="O159" s="17">
        <f t="shared" si="19"/>
        <v>2043</v>
      </c>
      <c r="P159" s="18">
        <f t="shared" si="20"/>
        <v>215962.6698</v>
      </c>
      <c r="R159" s="155" t="s">
        <v>2456</v>
      </c>
    </row>
    <row r="160" spans="1:19">
      <c r="A160" s="54">
        <v>45603</v>
      </c>
      <c r="B160" s="10">
        <v>45604</v>
      </c>
      <c r="C160" s="11">
        <f>VLOOKUP(B:B,'Курс валют'!A:D,4,0)</f>
        <v>105.56789999999999</v>
      </c>
      <c r="D160" s="58">
        <v>789</v>
      </c>
      <c r="E160" s="62" t="s">
        <v>15</v>
      </c>
      <c r="F160" s="58">
        <v>8000</v>
      </c>
      <c r="G160" s="58">
        <v>8025</v>
      </c>
      <c r="H160" s="56">
        <v>4025</v>
      </c>
      <c r="I160" s="58">
        <f t="shared" si="14"/>
        <v>25</v>
      </c>
      <c r="J160" s="14">
        <f t="shared" si="15"/>
        <v>0.3125</v>
      </c>
      <c r="K160" s="56">
        <v>3.85</v>
      </c>
      <c r="L160" s="15">
        <f t="shared" si="16"/>
        <v>50.312500000000007</v>
      </c>
      <c r="M160" s="16">
        <f t="shared" si="17"/>
        <v>244.97031194999997</v>
      </c>
      <c r="N160" s="17">
        <f t="shared" si="18"/>
        <v>2.3205</v>
      </c>
      <c r="O160" s="17">
        <f t="shared" si="19"/>
        <v>18564</v>
      </c>
      <c r="P160" s="18">
        <f t="shared" si="20"/>
        <v>1959762.4955999998</v>
      </c>
      <c r="R160" s="155"/>
    </row>
    <row r="161" spans="1:18">
      <c r="A161" s="54">
        <v>45604</v>
      </c>
      <c r="B161" s="10">
        <v>45607</v>
      </c>
      <c r="C161" s="11">
        <f>VLOOKUP(B:B,'Курс валют'!A:D,4,0)</f>
        <v>105.45099999999999</v>
      </c>
      <c r="D161" s="58">
        <v>799</v>
      </c>
      <c r="E161" s="50" t="s">
        <v>67</v>
      </c>
      <c r="F161" s="58">
        <v>20</v>
      </c>
      <c r="G161" s="58">
        <v>20</v>
      </c>
      <c r="H161" s="56">
        <v>0</v>
      </c>
      <c r="I161" s="58">
        <f t="shared" si="14"/>
        <v>0</v>
      </c>
      <c r="J161" s="14">
        <f t="shared" si="15"/>
        <v>0</v>
      </c>
      <c r="K161" s="56">
        <v>2.1800000000000002</v>
      </c>
      <c r="L161" s="15">
        <f t="shared" si="16"/>
        <v>0</v>
      </c>
      <c r="M161" s="16">
        <f t="shared" si="17"/>
        <v>229.88317999999998</v>
      </c>
      <c r="N161" s="17">
        <f t="shared" si="18"/>
        <v>2.1800000000000002</v>
      </c>
      <c r="O161" s="17">
        <f t="shared" si="19"/>
        <v>43.6</v>
      </c>
      <c r="P161" s="18">
        <f t="shared" si="20"/>
        <v>4597.6635999999999</v>
      </c>
      <c r="R161" s="153" t="s">
        <v>172</v>
      </c>
    </row>
    <row r="162" spans="1:18">
      <c r="A162" s="54">
        <v>45604</v>
      </c>
      <c r="B162" s="10">
        <v>45607</v>
      </c>
      <c r="C162" s="11">
        <f>VLOOKUP(B:B,'Курс валют'!A:D,4,0)</f>
        <v>105.45099999999999</v>
      </c>
      <c r="D162" s="58">
        <v>794</v>
      </c>
      <c r="E162" s="62" t="s">
        <v>15</v>
      </c>
      <c r="F162" s="58">
        <v>8800</v>
      </c>
      <c r="G162" s="58">
        <v>8825</v>
      </c>
      <c r="H162" s="49">
        <v>4020</v>
      </c>
      <c r="I162" s="58">
        <f t="shared" si="14"/>
        <v>25</v>
      </c>
      <c r="J162" s="14">
        <f t="shared" si="15"/>
        <v>0.28409090909090912</v>
      </c>
      <c r="K162" s="56">
        <v>3.83</v>
      </c>
      <c r="L162" s="15">
        <f t="shared" si="16"/>
        <v>45.681818181818187</v>
      </c>
      <c r="M162" s="16">
        <f t="shared" si="17"/>
        <v>257.43465036363637</v>
      </c>
      <c r="N162" s="17">
        <f t="shared" si="18"/>
        <v>2.4412727272727275</v>
      </c>
      <c r="O162" s="17">
        <f t="shared" si="19"/>
        <v>21483.200000000001</v>
      </c>
      <c r="P162" s="18">
        <f t="shared" si="20"/>
        <v>2265424.9232000001</v>
      </c>
      <c r="R162" s="156" t="s">
        <v>2488</v>
      </c>
    </row>
    <row r="163" spans="1:18">
      <c r="A163" s="54">
        <v>45604</v>
      </c>
      <c r="B163" s="10">
        <v>45607</v>
      </c>
      <c r="C163" s="11">
        <f>VLOOKUP(B:B,'Курс валют'!A:D,4,0)</f>
        <v>105.45099999999999</v>
      </c>
      <c r="D163" s="58">
        <v>790</v>
      </c>
      <c r="E163" s="50" t="s">
        <v>65</v>
      </c>
      <c r="F163" s="58">
        <v>2400</v>
      </c>
      <c r="G163" s="58">
        <v>2427.1</v>
      </c>
      <c r="H163" s="56">
        <v>230</v>
      </c>
      <c r="I163" s="58">
        <f t="shared" si="14"/>
        <v>27.099999999999909</v>
      </c>
      <c r="J163" s="14">
        <f t="shared" si="15"/>
        <v>1.1291666666666629</v>
      </c>
      <c r="K163" s="56">
        <v>2.27</v>
      </c>
      <c r="L163" s="15">
        <f t="shared" si="16"/>
        <v>9.5833333333333339</v>
      </c>
      <c r="M163" s="16">
        <f t="shared" si="17"/>
        <v>208.65237866666666</v>
      </c>
      <c r="N163" s="17">
        <f t="shared" si="18"/>
        <v>1.9786666666666668</v>
      </c>
      <c r="O163" s="17">
        <f t="shared" si="19"/>
        <v>4748.8</v>
      </c>
      <c r="P163" s="18">
        <f t="shared" si="20"/>
        <v>500765.70879999996</v>
      </c>
      <c r="R163" s="155"/>
    </row>
    <row r="164" spans="1:18">
      <c r="A164" s="54">
        <v>45604</v>
      </c>
      <c r="B164" s="10">
        <v>45607</v>
      </c>
      <c r="C164" s="11">
        <f>VLOOKUP(B:B,'Курс валют'!A:D,4,0)</f>
        <v>105.45099999999999</v>
      </c>
      <c r="D164" s="58">
        <v>791</v>
      </c>
      <c r="E164" s="64" t="s">
        <v>50</v>
      </c>
      <c r="F164" s="58">
        <v>9600</v>
      </c>
      <c r="G164" s="58">
        <v>9658.7199999999993</v>
      </c>
      <c r="H164" s="56">
        <v>0</v>
      </c>
      <c r="I164" s="58">
        <f t="shared" si="14"/>
        <v>58.719999999999345</v>
      </c>
      <c r="J164" s="14">
        <f t="shared" si="15"/>
        <v>0.61166666666665981</v>
      </c>
      <c r="K164" s="56">
        <v>1.94</v>
      </c>
      <c r="L164" s="15">
        <f t="shared" si="16"/>
        <v>0</v>
      </c>
      <c r="M164" s="16">
        <f t="shared" si="17"/>
        <v>204.57494</v>
      </c>
      <c r="N164" s="17">
        <f t="shared" si="18"/>
        <v>1.94</v>
      </c>
      <c r="O164" s="17">
        <f t="shared" si="19"/>
        <v>18624</v>
      </c>
      <c r="P164" s="18">
        <f t="shared" si="20"/>
        <v>1963919.4239999999</v>
      </c>
      <c r="R164" s="153"/>
    </row>
    <row r="165" spans="1:18">
      <c r="A165" s="54">
        <v>45604</v>
      </c>
      <c r="B165" s="10">
        <v>45607</v>
      </c>
      <c r="C165" s="11">
        <f>VLOOKUP(B:B,'Курс валют'!A:D,4,0)</f>
        <v>105.45099999999999</v>
      </c>
      <c r="D165" s="58">
        <v>792</v>
      </c>
      <c r="E165" s="64" t="s">
        <v>68</v>
      </c>
      <c r="F165" s="58">
        <v>2400</v>
      </c>
      <c r="G165" s="58">
        <v>2412.4</v>
      </c>
      <c r="H165" s="56">
        <v>230</v>
      </c>
      <c r="I165" s="58">
        <f t="shared" si="14"/>
        <v>12.400000000000091</v>
      </c>
      <c r="J165" s="14">
        <f t="shared" si="15"/>
        <v>0.51666666666667049</v>
      </c>
      <c r="K165" s="56">
        <v>2.17</v>
      </c>
      <c r="L165" s="15">
        <f t="shared" si="16"/>
        <v>9.5833333333333339</v>
      </c>
      <c r="M165" s="16">
        <f t="shared" si="17"/>
        <v>198.10727866666664</v>
      </c>
      <c r="N165" s="17">
        <f t="shared" si="18"/>
        <v>1.8786666666666667</v>
      </c>
      <c r="O165" s="17">
        <f t="shared" si="19"/>
        <v>4508.8</v>
      </c>
      <c r="P165" s="18">
        <f t="shared" si="20"/>
        <v>475457.46879999997</v>
      </c>
      <c r="R165" s="155"/>
    </row>
    <row r="166" spans="1:18">
      <c r="A166" s="54">
        <v>45604</v>
      </c>
      <c r="B166" s="10">
        <v>45607</v>
      </c>
      <c r="C166" s="11">
        <f>VLOOKUP(B:B,'Курс валют'!A:D,4,0)</f>
        <v>105.45099999999999</v>
      </c>
      <c r="D166" s="58">
        <v>793</v>
      </c>
      <c r="E166" s="58" t="s">
        <v>69</v>
      </c>
      <c r="F166" s="58">
        <v>1640</v>
      </c>
      <c r="G166" s="58">
        <v>1667.4</v>
      </c>
      <c r="H166" s="56">
        <v>0</v>
      </c>
      <c r="I166" s="58">
        <f t="shared" si="14"/>
        <v>27.400000000000091</v>
      </c>
      <c r="J166" s="14">
        <f t="shared" si="15"/>
        <v>1.6707317073170789</v>
      </c>
      <c r="K166" s="56">
        <v>3.23</v>
      </c>
      <c r="L166" s="15">
        <f t="shared" si="16"/>
        <v>0</v>
      </c>
      <c r="M166" s="16">
        <f t="shared" si="17"/>
        <v>340.60672999999991</v>
      </c>
      <c r="N166" s="17">
        <f t="shared" si="18"/>
        <v>3.23</v>
      </c>
      <c r="O166" s="17">
        <f t="shared" si="19"/>
        <v>5297.2</v>
      </c>
      <c r="P166" s="18">
        <f t="shared" si="20"/>
        <v>558595.0371999999</v>
      </c>
      <c r="R166" s="153" t="s">
        <v>2489</v>
      </c>
    </row>
    <row r="167" spans="1:18">
      <c r="A167" s="54">
        <v>45604</v>
      </c>
      <c r="B167" s="10">
        <v>45607</v>
      </c>
      <c r="C167" s="11">
        <f>VLOOKUP(B:B,'Курс валют'!A:D,4,0)</f>
        <v>105.45099999999999</v>
      </c>
      <c r="D167" s="58">
        <v>795</v>
      </c>
      <c r="E167" s="50" t="s">
        <v>50</v>
      </c>
      <c r="F167" s="58">
        <v>14400</v>
      </c>
      <c r="G167" s="58">
        <v>14498.2</v>
      </c>
      <c r="H167" s="56">
        <v>0</v>
      </c>
      <c r="I167" s="58">
        <f t="shared" si="14"/>
        <v>98.200000000000728</v>
      </c>
      <c r="J167" s="14">
        <f t="shared" si="15"/>
        <v>0.68194444444444946</v>
      </c>
      <c r="K167" s="56">
        <v>1.94</v>
      </c>
      <c r="L167" s="15">
        <f t="shared" si="16"/>
        <v>0</v>
      </c>
      <c r="M167" s="16">
        <f t="shared" si="17"/>
        <v>204.57494</v>
      </c>
      <c r="N167" s="17">
        <f t="shared" si="18"/>
        <v>1.94</v>
      </c>
      <c r="O167" s="17">
        <f t="shared" si="19"/>
        <v>27936</v>
      </c>
      <c r="P167" s="18">
        <f t="shared" si="20"/>
        <v>2945879.1359999999</v>
      </c>
      <c r="R167" s="153"/>
    </row>
    <row r="168" spans="1:18">
      <c r="A168" s="54">
        <v>45604</v>
      </c>
      <c r="B168" s="10">
        <v>45607</v>
      </c>
      <c r="C168" s="11">
        <f>VLOOKUP(B:B,'Курс валют'!A:D,4,0)</f>
        <v>105.45099999999999</v>
      </c>
      <c r="D168" s="58">
        <v>796</v>
      </c>
      <c r="E168" s="50" t="s">
        <v>53</v>
      </c>
      <c r="F168" s="58">
        <v>800</v>
      </c>
      <c r="G168" s="58">
        <v>831.6</v>
      </c>
      <c r="H168" s="56">
        <v>0</v>
      </c>
      <c r="I168" s="58">
        <f t="shared" si="14"/>
        <v>31.600000000000023</v>
      </c>
      <c r="J168" s="14">
        <f t="shared" si="15"/>
        <v>3.9500000000000028</v>
      </c>
      <c r="K168" s="56">
        <v>3.25</v>
      </c>
      <c r="L168" s="15">
        <f t="shared" si="16"/>
        <v>0</v>
      </c>
      <c r="M168" s="16">
        <f t="shared" si="17"/>
        <v>342.71574999999996</v>
      </c>
      <c r="N168" s="17">
        <f t="shared" si="18"/>
        <v>3.25</v>
      </c>
      <c r="O168" s="17">
        <f t="shared" si="19"/>
        <v>2600</v>
      </c>
      <c r="P168" s="18">
        <f t="shared" si="20"/>
        <v>274172.59999999998</v>
      </c>
      <c r="R168" s="153" t="s">
        <v>2490</v>
      </c>
    </row>
    <row r="169" spans="1:18">
      <c r="A169" s="54">
        <v>45607</v>
      </c>
      <c r="B169" s="10">
        <v>45608</v>
      </c>
      <c r="C169" s="11">
        <f>VLOOKUP(B:B,'Курс валют'!A:D,4,0)</f>
        <v>104.8522</v>
      </c>
      <c r="D169" s="58">
        <v>797</v>
      </c>
      <c r="E169" s="62" t="s">
        <v>15</v>
      </c>
      <c r="F169" s="58">
        <v>7700</v>
      </c>
      <c r="G169" s="58">
        <v>7744</v>
      </c>
      <c r="H169" s="56">
        <v>3524</v>
      </c>
      <c r="I169" s="58">
        <f t="shared" si="14"/>
        <v>44</v>
      </c>
      <c r="J169" s="14">
        <f t="shared" si="15"/>
        <v>0.5714285714285714</v>
      </c>
      <c r="K169" s="56">
        <v>3.86</v>
      </c>
      <c r="L169" s="15">
        <f t="shared" si="16"/>
        <v>45.766233766233768</v>
      </c>
      <c r="M169" s="16">
        <f t="shared" si="17"/>
        <v>258.84930699844153</v>
      </c>
      <c r="N169" s="17">
        <f t="shared" si="18"/>
        <v>2.4687064935064935</v>
      </c>
      <c r="O169" s="17">
        <f t="shared" si="19"/>
        <v>19009.04</v>
      </c>
      <c r="P169" s="18">
        <f t="shared" si="20"/>
        <v>1993139.663888</v>
      </c>
      <c r="R169" s="153"/>
    </row>
    <row r="170" spans="1:18">
      <c r="A170" s="54">
        <v>45607</v>
      </c>
      <c r="B170" s="10">
        <v>45608</v>
      </c>
      <c r="C170" s="11">
        <f>VLOOKUP(B:B,'Курс валют'!A:D,4,0)</f>
        <v>104.8522</v>
      </c>
      <c r="D170" s="58">
        <v>798</v>
      </c>
      <c r="E170" s="64" t="s">
        <v>2424</v>
      </c>
      <c r="F170" s="63">
        <v>200</v>
      </c>
      <c r="G170" s="63">
        <v>200</v>
      </c>
      <c r="H170" s="49">
        <v>0</v>
      </c>
      <c r="I170" s="58">
        <f t="shared" si="14"/>
        <v>0</v>
      </c>
      <c r="J170" s="14">
        <f t="shared" si="15"/>
        <v>0</v>
      </c>
      <c r="K170" s="49">
        <v>3.64</v>
      </c>
      <c r="L170" s="15">
        <f t="shared" si="16"/>
        <v>0</v>
      </c>
      <c r="M170" s="16">
        <f t="shared" si="17"/>
        <v>381.66200800000001</v>
      </c>
      <c r="N170" s="17">
        <f t="shared" si="18"/>
        <v>3.64</v>
      </c>
      <c r="O170" s="17">
        <f t="shared" si="19"/>
        <v>728</v>
      </c>
      <c r="P170" s="18">
        <f t="shared" si="20"/>
        <v>76332.401599999997</v>
      </c>
      <c r="R170" s="153" t="s">
        <v>1267</v>
      </c>
    </row>
    <row r="171" spans="1:18">
      <c r="A171" s="54">
        <v>45608</v>
      </c>
      <c r="B171" s="10">
        <v>45608</v>
      </c>
      <c r="C171" s="11">
        <f>VLOOKUP(B:B,'Курс валют'!A:D,4,0)</f>
        <v>104.8522</v>
      </c>
      <c r="D171" s="58">
        <v>802</v>
      </c>
      <c r="E171" s="64" t="s">
        <v>2491</v>
      </c>
      <c r="F171" s="58">
        <v>11188.1</v>
      </c>
      <c r="G171" s="58">
        <v>11188.1</v>
      </c>
      <c r="H171" s="56">
        <v>0</v>
      </c>
      <c r="I171" s="58">
        <f t="shared" si="14"/>
        <v>0</v>
      </c>
      <c r="J171" s="14">
        <f t="shared" si="15"/>
        <v>0</v>
      </c>
      <c r="K171" s="56">
        <v>2.4900000000000002</v>
      </c>
      <c r="L171" s="15">
        <f t="shared" si="16"/>
        <v>0</v>
      </c>
      <c r="M171" s="16">
        <f t="shared" si="17"/>
        <v>261.08197799999999</v>
      </c>
      <c r="N171" s="17">
        <f t="shared" si="18"/>
        <v>2.4900000000000002</v>
      </c>
      <c r="O171" s="17">
        <f t="shared" si="19"/>
        <v>27858.369000000002</v>
      </c>
      <c r="P171" s="18">
        <f t="shared" si="20"/>
        <v>2921011.2780618002</v>
      </c>
      <c r="R171" s="153" t="s">
        <v>2492</v>
      </c>
    </row>
    <row r="172" spans="1:18">
      <c r="A172" s="54">
        <v>45608</v>
      </c>
      <c r="B172" s="10">
        <v>45609</v>
      </c>
      <c r="C172" s="11">
        <f>VLOOKUP(B:B,'Курс валют'!A:D,4,0)</f>
        <v>104.2533</v>
      </c>
      <c r="D172" s="58">
        <v>801</v>
      </c>
      <c r="E172" s="64" t="s">
        <v>72</v>
      </c>
      <c r="F172" s="58">
        <v>200</v>
      </c>
      <c r="G172" s="58">
        <v>205</v>
      </c>
      <c r="H172" s="56">
        <v>0</v>
      </c>
      <c r="I172" s="58">
        <f t="shared" si="14"/>
        <v>5</v>
      </c>
      <c r="J172" s="14">
        <f t="shared" si="15"/>
        <v>2.5</v>
      </c>
      <c r="K172" s="56">
        <v>3.14</v>
      </c>
      <c r="L172" s="15">
        <f t="shared" si="16"/>
        <v>0</v>
      </c>
      <c r="M172" s="16">
        <f t="shared" si="17"/>
        <v>327.35536200000001</v>
      </c>
      <c r="N172" s="17">
        <f t="shared" si="18"/>
        <v>3.14</v>
      </c>
      <c r="O172" s="17">
        <f t="shared" si="19"/>
        <v>628</v>
      </c>
      <c r="P172" s="18">
        <f t="shared" si="20"/>
        <v>65471.072399999997</v>
      </c>
      <c r="R172" s="153"/>
    </row>
    <row r="173" spans="1:18">
      <c r="A173" s="54">
        <v>45608</v>
      </c>
      <c r="B173" s="10">
        <v>45609</v>
      </c>
      <c r="C173" s="11">
        <f>VLOOKUP(B:B,'Курс валют'!A:D,4,0)</f>
        <v>104.2533</v>
      </c>
      <c r="D173" s="58">
        <v>800</v>
      </c>
      <c r="E173" s="62" t="s">
        <v>15</v>
      </c>
      <c r="F173" s="58">
        <v>7700</v>
      </c>
      <c r="G173" s="58">
        <v>7739</v>
      </c>
      <c r="H173" s="56">
        <v>3528</v>
      </c>
      <c r="I173" s="58">
        <f t="shared" si="14"/>
        <v>39</v>
      </c>
      <c r="J173" s="14">
        <f t="shared" si="15"/>
        <v>0.50649350649350644</v>
      </c>
      <c r="K173" s="56">
        <v>3.82</v>
      </c>
      <c r="L173" s="15">
        <f t="shared" si="16"/>
        <v>45.81818181818182</v>
      </c>
      <c r="M173" s="16">
        <f t="shared" si="17"/>
        <v>253.03602770181814</v>
      </c>
      <c r="N173" s="17">
        <f t="shared" si="18"/>
        <v>2.4271272727272724</v>
      </c>
      <c r="O173" s="17">
        <f t="shared" si="19"/>
        <v>18688.879999999997</v>
      </c>
      <c r="P173" s="18">
        <f t="shared" si="20"/>
        <v>1948377.4133039997</v>
      </c>
      <c r="R173" s="155"/>
    </row>
    <row r="174" spans="1:18">
      <c r="A174" s="54">
        <v>45609</v>
      </c>
      <c r="B174" s="10">
        <v>45610</v>
      </c>
      <c r="C174" s="11">
        <f>VLOOKUP(B:B,'Курс валют'!A:D,4,0)</f>
        <v>104.2901</v>
      </c>
      <c r="D174" s="58">
        <v>803</v>
      </c>
      <c r="E174" s="50" t="s">
        <v>58</v>
      </c>
      <c r="F174" s="58">
        <v>8800</v>
      </c>
      <c r="G174" s="58">
        <v>8842</v>
      </c>
      <c r="H174" s="56">
        <f>3669-104.5*8</f>
        <v>2833</v>
      </c>
      <c r="I174" s="58">
        <f t="shared" si="14"/>
        <v>42</v>
      </c>
      <c r="J174" s="14">
        <f t="shared" si="15"/>
        <v>0.47727272727272729</v>
      </c>
      <c r="K174" s="56">
        <v>3.57</v>
      </c>
      <c r="L174" s="15">
        <f t="shared" si="16"/>
        <v>32.19318181818182</v>
      </c>
      <c r="M174" s="16">
        <f t="shared" si="17"/>
        <v>270.24978040545454</v>
      </c>
      <c r="N174" s="17">
        <f t="shared" si="18"/>
        <v>2.5913272727272729</v>
      </c>
      <c r="O174" s="17">
        <f t="shared" si="19"/>
        <v>22803.68</v>
      </c>
      <c r="P174" s="18">
        <f t="shared" si="20"/>
        <v>2378198.0675679999</v>
      </c>
      <c r="R174" s="153"/>
    </row>
    <row r="175" spans="1:18">
      <c r="A175" s="54">
        <v>45610</v>
      </c>
      <c r="B175" s="10">
        <v>45611</v>
      </c>
      <c r="C175" s="11">
        <f>VLOOKUP(B:B,'Курс валют'!A:D,4,0)</f>
        <v>104.5016</v>
      </c>
      <c r="D175" s="58">
        <v>804</v>
      </c>
      <c r="E175" s="50" t="s">
        <v>58</v>
      </c>
      <c r="F175" s="58">
        <v>8800</v>
      </c>
      <c r="G175" s="58">
        <v>8832</v>
      </c>
      <c r="H175" s="56">
        <v>3660</v>
      </c>
      <c r="I175" s="58">
        <f t="shared" si="14"/>
        <v>32</v>
      </c>
      <c r="J175" s="14">
        <f t="shared" si="15"/>
        <v>0.36363636363636365</v>
      </c>
      <c r="K175" s="56">
        <v>3.81</v>
      </c>
      <c r="L175" s="15">
        <f t="shared" si="16"/>
        <v>41.590909090909086</v>
      </c>
      <c r="M175" s="16">
        <f t="shared" si="17"/>
        <v>266.02307301818178</v>
      </c>
      <c r="N175" s="17">
        <f t="shared" si="18"/>
        <v>2.5456363636363633</v>
      </c>
      <c r="O175" s="17">
        <f t="shared" si="19"/>
        <v>22401.599999999995</v>
      </c>
      <c r="P175" s="18">
        <f t="shared" si="20"/>
        <v>2341003.0425599995</v>
      </c>
      <c r="R175" s="153"/>
    </row>
    <row r="176" spans="1:18">
      <c r="A176" s="54">
        <v>45610</v>
      </c>
      <c r="B176" s="10">
        <v>45611</v>
      </c>
      <c r="C176" s="11">
        <f>VLOOKUP(B:B,'Курс валют'!A:D,4,0)</f>
        <v>104.5016</v>
      </c>
      <c r="D176" s="58">
        <v>805</v>
      </c>
      <c r="E176" s="50" t="s">
        <v>53</v>
      </c>
      <c r="F176" s="58">
        <v>2400</v>
      </c>
      <c r="G176" s="58">
        <v>2443.8000000000002</v>
      </c>
      <c r="H176" s="56">
        <v>0</v>
      </c>
      <c r="I176" s="58">
        <f t="shared" si="14"/>
        <v>43.800000000000182</v>
      </c>
      <c r="J176" s="14">
        <f t="shared" si="15"/>
        <v>1.8250000000000075</v>
      </c>
      <c r="K176" s="56">
        <v>3.19</v>
      </c>
      <c r="L176" s="15">
        <f t="shared" si="16"/>
        <v>0</v>
      </c>
      <c r="M176" s="16">
        <f t="shared" si="17"/>
        <v>333.36010399999998</v>
      </c>
      <c r="N176" s="17">
        <f t="shared" si="18"/>
        <v>3.19</v>
      </c>
      <c r="O176" s="17">
        <f t="shared" si="19"/>
        <v>7656</v>
      </c>
      <c r="P176" s="18">
        <f t="shared" si="20"/>
        <v>800064.24959999998</v>
      </c>
      <c r="R176" s="153"/>
    </row>
    <row r="177" spans="1:18">
      <c r="A177" s="54">
        <v>45611</v>
      </c>
      <c r="B177" s="10">
        <v>45614</v>
      </c>
      <c r="C177" s="11">
        <f>VLOOKUP(B:B,'Курс валют'!A:D,4,0)</f>
        <v>105.7072</v>
      </c>
      <c r="D177" s="58">
        <v>806</v>
      </c>
      <c r="E177" s="50" t="s">
        <v>58</v>
      </c>
      <c r="F177" s="58">
        <v>8800</v>
      </c>
      <c r="G177" s="58">
        <v>8824</v>
      </c>
      <c r="H177" s="56">
        <v>3659</v>
      </c>
      <c r="I177" s="58">
        <f t="shared" si="14"/>
        <v>24</v>
      </c>
      <c r="J177" s="14">
        <f t="shared" si="15"/>
        <v>0.27272727272727276</v>
      </c>
      <c r="K177" s="56">
        <v>3.79</v>
      </c>
      <c r="L177" s="15">
        <f t="shared" si="16"/>
        <v>41.579545454545453</v>
      </c>
      <c r="M177" s="16">
        <f t="shared" si="17"/>
        <v>267.0144652509091</v>
      </c>
      <c r="N177" s="17">
        <f t="shared" si="18"/>
        <v>2.5259818181818181</v>
      </c>
      <c r="O177" s="17">
        <f t="shared" si="19"/>
        <v>22228.639999999999</v>
      </c>
      <c r="P177" s="18">
        <f t="shared" si="20"/>
        <v>2349727.2942079999</v>
      </c>
      <c r="R177" s="155"/>
    </row>
    <row r="178" spans="1:18">
      <c r="A178" s="54">
        <v>45611</v>
      </c>
      <c r="B178" s="10">
        <v>45614</v>
      </c>
      <c r="C178" s="11">
        <f>VLOOKUP(B:B,'Курс валют'!A:D,4,0)</f>
        <v>105.7072</v>
      </c>
      <c r="D178" s="58">
        <v>807</v>
      </c>
      <c r="E178" s="50" t="s">
        <v>73</v>
      </c>
      <c r="F178" s="58">
        <v>60</v>
      </c>
      <c r="G178" s="58">
        <v>64.001999999999995</v>
      </c>
      <c r="H178" s="56">
        <v>0</v>
      </c>
      <c r="I178" s="58">
        <f t="shared" si="14"/>
        <v>4.0019999999999953</v>
      </c>
      <c r="J178" s="14">
        <f t="shared" si="15"/>
        <v>6.6699999999999928</v>
      </c>
      <c r="K178" s="56">
        <v>2.82</v>
      </c>
      <c r="L178" s="15">
        <f t="shared" si="16"/>
        <v>0</v>
      </c>
      <c r="M178" s="16">
        <f t="shared" si="17"/>
        <v>298.09430400000002</v>
      </c>
      <c r="N178" s="17">
        <f t="shared" si="18"/>
        <v>2.82</v>
      </c>
      <c r="O178" s="17">
        <f t="shared" si="19"/>
        <v>169.2</v>
      </c>
      <c r="P178" s="18">
        <f t="shared" si="20"/>
        <v>17885.658240000001</v>
      </c>
      <c r="R178" s="153"/>
    </row>
    <row r="179" spans="1:18">
      <c r="A179" s="54">
        <v>45611</v>
      </c>
      <c r="B179" s="10">
        <v>45614</v>
      </c>
      <c r="C179" s="11">
        <f>VLOOKUP(B:B,'Курс валют'!A:D,4,0)</f>
        <v>105.7072</v>
      </c>
      <c r="D179" s="58">
        <v>808</v>
      </c>
      <c r="E179" s="62" t="s">
        <v>15</v>
      </c>
      <c r="F179" s="58">
        <v>4400</v>
      </c>
      <c r="G179" s="58">
        <v>4445</v>
      </c>
      <c r="H179" s="56">
        <f>1935+80</f>
        <v>2015</v>
      </c>
      <c r="I179" s="58">
        <f t="shared" si="14"/>
        <v>45</v>
      </c>
      <c r="J179" s="14">
        <f t="shared" si="15"/>
        <v>1.0227272727272727</v>
      </c>
      <c r="K179" s="56">
        <v>3.85</v>
      </c>
      <c r="L179" s="15">
        <f t="shared" si="16"/>
        <v>45.795454545454547</v>
      </c>
      <c r="M179" s="16">
        <f t="shared" si="17"/>
        <v>259.80907810909093</v>
      </c>
      <c r="N179" s="17">
        <f t="shared" si="18"/>
        <v>2.4578181818181819</v>
      </c>
      <c r="O179" s="17">
        <f t="shared" si="19"/>
        <v>10814.4</v>
      </c>
      <c r="P179" s="18">
        <f t="shared" si="20"/>
        <v>1143159.94368</v>
      </c>
      <c r="R179" s="153" t="s">
        <v>2493</v>
      </c>
    </row>
    <row r="180" spans="1:18">
      <c r="A180" s="54">
        <v>45611</v>
      </c>
      <c r="B180" s="10">
        <v>45614</v>
      </c>
      <c r="C180" s="11">
        <f>VLOOKUP(B:B,'Курс валют'!A:D,4,0)</f>
        <v>105.7072</v>
      </c>
      <c r="D180" s="58">
        <v>809</v>
      </c>
      <c r="E180" s="62" t="s">
        <v>15</v>
      </c>
      <c r="F180" s="58">
        <v>4400</v>
      </c>
      <c r="G180" s="58">
        <v>4417</v>
      </c>
      <c r="H180" s="56">
        <f>1932+80</f>
        <v>2012</v>
      </c>
      <c r="I180" s="58">
        <f t="shared" si="14"/>
        <v>17</v>
      </c>
      <c r="J180" s="14">
        <f t="shared" si="15"/>
        <v>0.38636363636363635</v>
      </c>
      <c r="K180" s="56">
        <v>3.85</v>
      </c>
      <c r="L180" s="15">
        <f t="shared" si="16"/>
        <v>45.727272727272727</v>
      </c>
      <c r="M180" s="16">
        <f t="shared" si="17"/>
        <v>260.02818030545455</v>
      </c>
      <c r="N180" s="17">
        <f t="shared" si="18"/>
        <v>2.4598909090909093</v>
      </c>
      <c r="O180" s="17">
        <f t="shared" si="19"/>
        <v>10823.52</v>
      </c>
      <c r="P180" s="18">
        <f t="shared" si="20"/>
        <v>1144123.9933440001</v>
      </c>
      <c r="R180" s="153"/>
    </row>
    <row r="181" spans="1:18">
      <c r="A181" s="54">
        <v>45611</v>
      </c>
      <c r="B181" s="10">
        <v>45614</v>
      </c>
      <c r="C181" s="11">
        <f>VLOOKUP(B:B,'Курс валют'!A:D,4,0)</f>
        <v>105.7072</v>
      </c>
      <c r="D181" s="58">
        <v>810</v>
      </c>
      <c r="E181" s="62" t="s">
        <v>15</v>
      </c>
      <c r="F181" s="58">
        <v>8800</v>
      </c>
      <c r="G181" s="58">
        <v>8823</v>
      </c>
      <c r="H181" s="56">
        <f>3863+160</f>
        <v>4023</v>
      </c>
      <c r="I181" s="58">
        <f t="shared" si="14"/>
        <v>23</v>
      </c>
      <c r="J181" s="14">
        <f t="shared" si="15"/>
        <v>0.26136363636363635</v>
      </c>
      <c r="K181" s="56">
        <v>3.85</v>
      </c>
      <c r="L181" s="15">
        <f t="shared" si="16"/>
        <v>45.715909090909093</v>
      </c>
      <c r="M181" s="16">
        <f t="shared" si="17"/>
        <v>260.06469733818187</v>
      </c>
      <c r="N181" s="17">
        <f t="shared" si="18"/>
        <v>2.4602363636363638</v>
      </c>
      <c r="O181" s="17">
        <f t="shared" si="19"/>
        <v>21650.080000000002</v>
      </c>
      <c r="P181" s="18">
        <f t="shared" si="20"/>
        <v>2288569.3365760003</v>
      </c>
      <c r="R181" s="153"/>
    </row>
    <row r="182" spans="1:18">
      <c r="A182" s="54">
        <v>45611</v>
      </c>
      <c r="B182" s="10">
        <v>45614</v>
      </c>
      <c r="C182" s="11">
        <f>VLOOKUP(B:B,'Курс валют'!A:D,4,0)</f>
        <v>105.7072</v>
      </c>
      <c r="D182" s="58">
        <v>812</v>
      </c>
      <c r="E182" s="58" t="s">
        <v>74</v>
      </c>
      <c r="F182" s="58">
        <v>20</v>
      </c>
      <c r="G182" s="58">
        <v>26.009</v>
      </c>
      <c r="H182" s="56">
        <v>7</v>
      </c>
      <c r="I182" s="58">
        <f t="shared" si="14"/>
        <v>6.0090000000000003</v>
      </c>
      <c r="J182" s="14">
        <f t="shared" si="15"/>
        <v>30.044999999999998</v>
      </c>
      <c r="K182" s="56">
        <v>4.96</v>
      </c>
      <c r="L182" s="15">
        <f t="shared" si="16"/>
        <v>35</v>
      </c>
      <c r="M182" s="16">
        <f t="shared" si="17"/>
        <v>411.83525120000002</v>
      </c>
      <c r="N182" s="17">
        <f t="shared" si="18"/>
        <v>3.8959999999999999</v>
      </c>
      <c r="O182" s="17">
        <f t="shared" si="19"/>
        <v>77.92</v>
      </c>
      <c r="P182" s="18">
        <f t="shared" si="20"/>
        <v>8236.7050240000008</v>
      </c>
      <c r="R182" s="155"/>
    </row>
    <row r="183" spans="1:18">
      <c r="A183" s="54">
        <v>45614</v>
      </c>
      <c r="B183" s="10">
        <v>45615</v>
      </c>
      <c r="C183" s="11">
        <f>VLOOKUP(B:B,'Курс валют'!A:D,4,0)</f>
        <v>105.4606</v>
      </c>
      <c r="D183" s="58">
        <v>811</v>
      </c>
      <c r="E183" s="50" t="s">
        <v>559</v>
      </c>
      <c r="F183" s="58">
        <v>900</v>
      </c>
      <c r="G183" s="58">
        <v>937.01</v>
      </c>
      <c r="H183" s="56">
        <v>494.66</v>
      </c>
      <c r="I183" s="58">
        <f t="shared" si="14"/>
        <v>37.009999999999991</v>
      </c>
      <c r="J183" s="14">
        <f t="shared" si="15"/>
        <v>4.1122222222222211</v>
      </c>
      <c r="K183" s="56">
        <v>3.7</v>
      </c>
      <c r="L183" s="15">
        <f t="shared" si="16"/>
        <v>54.962222222222223</v>
      </c>
      <c r="M183" s="16">
        <f t="shared" si="17"/>
        <v>213.99521244017774</v>
      </c>
      <c r="N183" s="17">
        <f t="shared" si="18"/>
        <v>2.0291484444444441</v>
      </c>
      <c r="O183" s="17">
        <f t="shared" si="19"/>
        <v>1826.2335999999996</v>
      </c>
      <c r="P183" s="18">
        <f t="shared" si="20"/>
        <v>192595.69119615995</v>
      </c>
      <c r="R183" s="155" t="s">
        <v>2456</v>
      </c>
    </row>
    <row r="184" spans="1:18">
      <c r="A184" s="54">
        <v>45614</v>
      </c>
      <c r="B184" s="10">
        <v>45615</v>
      </c>
      <c r="C184" s="11">
        <f>VLOOKUP(B:B,'Курс валют'!A:D,4,0)</f>
        <v>105.4606</v>
      </c>
      <c r="D184" s="58">
        <v>813</v>
      </c>
      <c r="E184" s="62" t="s">
        <v>15</v>
      </c>
      <c r="F184" s="58">
        <v>8800</v>
      </c>
      <c r="G184" s="58">
        <v>8821</v>
      </c>
      <c r="H184" s="56">
        <v>4021</v>
      </c>
      <c r="I184" s="58">
        <f t="shared" si="14"/>
        <v>21</v>
      </c>
      <c r="J184" s="14">
        <f t="shared" si="15"/>
        <v>0.23863636363636365</v>
      </c>
      <c r="K184" s="56">
        <v>3.81</v>
      </c>
      <c r="L184" s="15">
        <f t="shared" si="16"/>
        <v>45.693181818181813</v>
      </c>
      <c r="M184" s="16">
        <f t="shared" si="17"/>
        <v>255.31244273818183</v>
      </c>
      <c r="N184" s="17">
        <f t="shared" si="18"/>
        <v>2.4209272727272726</v>
      </c>
      <c r="O184" s="17">
        <f t="shared" si="19"/>
        <v>21304.16</v>
      </c>
      <c r="P184" s="18">
        <f t="shared" si="20"/>
        <v>2246749.4960960001</v>
      </c>
      <c r="R184" s="155"/>
    </row>
    <row r="185" spans="1:18">
      <c r="A185" s="54">
        <v>45615</v>
      </c>
      <c r="B185" s="10">
        <v>45616</v>
      </c>
      <c r="C185" s="11">
        <f>VLOOKUP(B:B,'Курс валют'!A:D,4,0)</f>
        <v>105.7338</v>
      </c>
      <c r="D185" s="58">
        <v>814</v>
      </c>
      <c r="E185" s="50" t="s">
        <v>559</v>
      </c>
      <c r="F185" s="58">
        <v>900</v>
      </c>
      <c r="G185" s="58">
        <v>934.01</v>
      </c>
      <c r="H185" s="49">
        <v>495</v>
      </c>
      <c r="I185" s="58">
        <f t="shared" si="14"/>
        <v>34.009999999999991</v>
      </c>
      <c r="J185" s="14">
        <f t="shared" si="15"/>
        <v>3.7788888888888881</v>
      </c>
      <c r="K185" s="56">
        <v>3.71</v>
      </c>
      <c r="L185" s="15">
        <f t="shared" si="16"/>
        <v>55.000000000000007</v>
      </c>
      <c r="M185" s="16">
        <f t="shared" si="17"/>
        <v>215.48548440000005</v>
      </c>
      <c r="N185" s="17">
        <f t="shared" si="18"/>
        <v>2.0380000000000003</v>
      </c>
      <c r="O185" s="17">
        <f t="shared" si="19"/>
        <v>1834.2000000000003</v>
      </c>
      <c r="P185" s="18">
        <f t="shared" si="20"/>
        <v>193936.93596000003</v>
      </c>
      <c r="R185" s="153"/>
    </row>
    <row r="186" spans="1:18">
      <c r="A186" s="54">
        <v>45615</v>
      </c>
      <c r="B186" s="10">
        <v>45616</v>
      </c>
      <c r="C186" s="11">
        <f>VLOOKUP(B:B,'Курс валют'!A:D,4,0)</f>
        <v>105.7338</v>
      </c>
      <c r="D186" s="58">
        <v>815</v>
      </c>
      <c r="E186" s="50" t="s">
        <v>60</v>
      </c>
      <c r="F186" s="58">
        <v>900</v>
      </c>
      <c r="G186" s="58">
        <v>940</v>
      </c>
      <c r="H186" s="49">
        <v>365</v>
      </c>
      <c r="I186" s="58">
        <f t="shared" si="14"/>
        <v>40</v>
      </c>
      <c r="J186" s="14">
        <f t="shared" si="15"/>
        <v>4.4444444444444446</v>
      </c>
      <c r="K186" s="56">
        <v>3.18</v>
      </c>
      <c r="L186" s="15">
        <f t="shared" si="16"/>
        <v>40.555555555555557</v>
      </c>
      <c r="M186" s="16">
        <f t="shared" si="17"/>
        <v>205.87545679999999</v>
      </c>
      <c r="N186" s="17">
        <f t="shared" si="18"/>
        <v>1.9471111111111112</v>
      </c>
      <c r="O186" s="17">
        <f t="shared" si="19"/>
        <v>1752.4</v>
      </c>
      <c r="P186" s="18">
        <f t="shared" si="20"/>
        <v>185287.91112</v>
      </c>
      <c r="R186" s="155"/>
    </row>
    <row r="187" spans="1:18" ht="15.75" customHeight="1">
      <c r="A187" s="54">
        <v>45615</v>
      </c>
      <c r="B187" s="10">
        <v>45616</v>
      </c>
      <c r="C187" s="11">
        <f>VLOOKUP(B:B,'Курс валют'!A:D,4,0)</f>
        <v>105.7338</v>
      </c>
      <c r="D187" s="58">
        <v>816</v>
      </c>
      <c r="E187" s="62" t="s">
        <v>15</v>
      </c>
      <c r="F187" s="58">
        <v>8800</v>
      </c>
      <c r="G187" s="58">
        <v>8825</v>
      </c>
      <c r="H187" s="49">
        <v>4025</v>
      </c>
      <c r="I187" s="58">
        <f t="shared" si="14"/>
        <v>25</v>
      </c>
      <c r="J187" s="14">
        <f t="shared" si="15"/>
        <v>0.28409090909090912</v>
      </c>
      <c r="K187" s="56">
        <v>3.79</v>
      </c>
      <c r="L187" s="15">
        <f t="shared" si="16"/>
        <v>45.738636363636367</v>
      </c>
      <c r="M187" s="16">
        <f t="shared" si="17"/>
        <v>253.71305918181818</v>
      </c>
      <c r="N187" s="17">
        <f t="shared" si="18"/>
        <v>2.3995454545454544</v>
      </c>
      <c r="O187" s="17">
        <f t="shared" si="19"/>
        <v>21116</v>
      </c>
      <c r="P187" s="18">
        <f t="shared" si="20"/>
        <v>2232674.9208</v>
      </c>
      <c r="R187" s="157"/>
    </row>
    <row r="188" spans="1:18">
      <c r="A188" s="54">
        <v>45616</v>
      </c>
      <c r="B188" s="10">
        <v>45616</v>
      </c>
      <c r="C188" s="11">
        <f>VLOOKUP(B:B,'Курс валют'!A:D,4,0)</f>
        <v>105.7338</v>
      </c>
      <c r="D188" s="58">
        <v>817</v>
      </c>
      <c r="E188" s="50" t="s">
        <v>1092</v>
      </c>
      <c r="F188" s="58">
        <v>360</v>
      </c>
      <c r="G188" s="58">
        <v>360</v>
      </c>
      <c r="H188" s="49">
        <v>0</v>
      </c>
      <c r="I188" s="58">
        <f t="shared" si="14"/>
        <v>0</v>
      </c>
      <c r="J188" s="14">
        <f t="shared" si="15"/>
        <v>0</v>
      </c>
      <c r="K188" s="56">
        <v>2.69</v>
      </c>
      <c r="L188" s="15">
        <f t="shared" si="16"/>
        <v>0</v>
      </c>
      <c r="M188" s="16">
        <f t="shared" si="17"/>
        <v>284.423922</v>
      </c>
      <c r="N188" s="17">
        <f t="shared" si="18"/>
        <v>2.69</v>
      </c>
      <c r="O188" s="17">
        <f t="shared" si="19"/>
        <v>968.4</v>
      </c>
      <c r="P188" s="18">
        <f t="shared" si="20"/>
        <v>102392.61192</v>
      </c>
      <c r="R188" s="155" t="s">
        <v>1267</v>
      </c>
    </row>
    <row r="189" spans="1:18">
      <c r="A189" s="54">
        <v>45616</v>
      </c>
      <c r="B189" s="10">
        <v>45616</v>
      </c>
      <c r="C189" s="11">
        <f>VLOOKUP(B:B,'Курс валют'!A:D,4,0)</f>
        <v>105.7338</v>
      </c>
      <c r="D189" s="58">
        <v>818</v>
      </c>
      <c r="E189" s="50" t="s">
        <v>77</v>
      </c>
      <c r="F189" s="58">
        <v>75</v>
      </c>
      <c r="G189" s="58">
        <v>75</v>
      </c>
      <c r="H189" s="56">
        <v>0</v>
      </c>
      <c r="I189" s="58">
        <f t="shared" si="14"/>
        <v>0</v>
      </c>
      <c r="J189" s="14">
        <f t="shared" si="15"/>
        <v>0</v>
      </c>
      <c r="K189" s="56">
        <v>2.42</v>
      </c>
      <c r="L189" s="15">
        <f t="shared" si="16"/>
        <v>0</v>
      </c>
      <c r="M189" s="16">
        <f t="shared" si="17"/>
        <v>255.87579600000001</v>
      </c>
      <c r="N189" s="17">
        <f t="shared" si="18"/>
        <v>2.42</v>
      </c>
      <c r="O189" s="17">
        <f t="shared" si="19"/>
        <v>181.5</v>
      </c>
      <c r="P189" s="18">
        <f t="shared" si="20"/>
        <v>19190.684700000002</v>
      </c>
      <c r="R189" s="155" t="s">
        <v>2494</v>
      </c>
    </row>
    <row r="190" spans="1:18">
      <c r="A190" s="54">
        <v>45616</v>
      </c>
      <c r="B190" s="10">
        <v>45617</v>
      </c>
      <c r="C190" s="11">
        <f>VLOOKUP(B:B,'Курс валют'!A:D,4,0)</f>
        <v>105.809</v>
      </c>
      <c r="D190" s="58">
        <v>819</v>
      </c>
      <c r="E190" s="50" t="s">
        <v>58</v>
      </c>
      <c r="F190" s="58">
        <v>8800</v>
      </c>
      <c r="G190" s="58">
        <v>8830</v>
      </c>
      <c r="H190" s="56">
        <v>3660</v>
      </c>
      <c r="I190" s="58">
        <f t="shared" si="14"/>
        <v>30</v>
      </c>
      <c r="J190" s="14">
        <f t="shared" si="15"/>
        <v>0.34090909090909088</v>
      </c>
      <c r="K190" s="56">
        <v>3.62</v>
      </c>
      <c r="L190" s="15">
        <f t="shared" si="16"/>
        <v>41.590909090909086</v>
      </c>
      <c r="M190" s="16">
        <f t="shared" si="17"/>
        <v>249.24752799999996</v>
      </c>
      <c r="N190" s="17">
        <f t="shared" si="18"/>
        <v>2.3556363636363633</v>
      </c>
      <c r="O190" s="17">
        <f t="shared" si="19"/>
        <v>20729.599999999999</v>
      </c>
      <c r="P190" s="18">
        <f t="shared" si="20"/>
        <v>2193378.2463999996</v>
      </c>
      <c r="R190" s="155"/>
    </row>
    <row r="191" spans="1:18">
      <c r="A191" s="54">
        <v>45616</v>
      </c>
      <c r="B191" s="10">
        <v>45617</v>
      </c>
      <c r="C191" s="11">
        <f>VLOOKUP(B:B,'Курс валют'!A:D,4,0)</f>
        <v>105.809</v>
      </c>
      <c r="D191" s="58">
        <v>820</v>
      </c>
      <c r="E191" s="50" t="s">
        <v>60</v>
      </c>
      <c r="F191" s="58">
        <v>900</v>
      </c>
      <c r="G191" s="58">
        <v>933</v>
      </c>
      <c r="H191" s="56">
        <f>367</f>
        <v>367</v>
      </c>
      <c r="I191" s="58">
        <f t="shared" si="14"/>
        <v>33</v>
      </c>
      <c r="J191" s="14">
        <f t="shared" si="15"/>
        <v>3.6666666666666665</v>
      </c>
      <c r="K191" s="56">
        <v>3.14</v>
      </c>
      <c r="L191" s="15">
        <f t="shared" si="16"/>
        <v>40.777777777777779</v>
      </c>
      <c r="M191" s="16">
        <f t="shared" si="17"/>
        <v>201.07472097777779</v>
      </c>
      <c r="N191" s="17">
        <f t="shared" si="18"/>
        <v>1.9003555555555556</v>
      </c>
      <c r="O191" s="17">
        <f t="shared" si="19"/>
        <v>1710.32</v>
      </c>
      <c r="P191" s="18">
        <f t="shared" si="20"/>
        <v>180967.24888</v>
      </c>
      <c r="R191" s="153"/>
    </row>
    <row r="192" spans="1:18">
      <c r="A192" s="54">
        <v>45616</v>
      </c>
      <c r="B192" s="10">
        <v>45617</v>
      </c>
      <c r="C192" s="11">
        <f>VLOOKUP(B:B,'Курс валют'!A:D,4,0)</f>
        <v>105.809</v>
      </c>
      <c r="D192" s="58">
        <v>821</v>
      </c>
      <c r="E192" s="55" t="s">
        <v>60</v>
      </c>
      <c r="F192" s="58">
        <v>900</v>
      </c>
      <c r="G192" s="58">
        <v>938</v>
      </c>
      <c r="H192" s="56">
        <f>365</f>
        <v>365</v>
      </c>
      <c r="I192" s="58">
        <f t="shared" si="14"/>
        <v>38</v>
      </c>
      <c r="J192" s="14">
        <f t="shared" si="15"/>
        <v>4.2222222222222223</v>
      </c>
      <c r="K192" s="56">
        <v>3.14</v>
      </c>
      <c r="L192" s="15">
        <f t="shared" si="16"/>
        <v>40.555555555555557</v>
      </c>
      <c r="M192" s="16">
        <f t="shared" si="17"/>
        <v>201.78951955555556</v>
      </c>
      <c r="N192" s="17">
        <f t="shared" si="18"/>
        <v>1.9071111111111112</v>
      </c>
      <c r="O192" s="17">
        <f t="shared" si="19"/>
        <v>1716.4</v>
      </c>
      <c r="P192" s="18">
        <f t="shared" si="20"/>
        <v>181610.56760000001</v>
      </c>
      <c r="R192" s="155"/>
    </row>
    <row r="193" spans="1:18">
      <c r="A193" s="54">
        <v>45617</v>
      </c>
      <c r="B193" s="10">
        <v>45618</v>
      </c>
      <c r="C193" s="11">
        <f>VLOOKUP(B:B,'Курс валют'!A:D,4,0)</f>
        <v>106.0762</v>
      </c>
      <c r="D193" s="58">
        <v>822</v>
      </c>
      <c r="E193" s="55" t="s">
        <v>58</v>
      </c>
      <c r="F193" s="58">
        <v>8800</v>
      </c>
      <c r="G193" s="58">
        <v>8834</v>
      </c>
      <c r="H193" s="56">
        <v>3666</v>
      </c>
      <c r="I193" s="58">
        <f t="shared" si="14"/>
        <v>34</v>
      </c>
      <c r="J193" s="14">
        <f t="shared" si="15"/>
        <v>0.38636363636363635</v>
      </c>
      <c r="K193" s="56">
        <v>3.77</v>
      </c>
      <c r="L193" s="15">
        <f t="shared" si="16"/>
        <v>41.659090909090907</v>
      </c>
      <c r="M193" s="16">
        <f t="shared" si="17"/>
        <v>265.56851700363632</v>
      </c>
      <c r="N193" s="17">
        <f t="shared" si="18"/>
        <v>2.5035636363636362</v>
      </c>
      <c r="O193" s="17">
        <f t="shared" si="19"/>
        <v>22031.359999999997</v>
      </c>
      <c r="P193" s="18">
        <f t="shared" si="20"/>
        <v>2337002.9496319997</v>
      </c>
      <c r="R193" s="155"/>
    </row>
    <row r="194" spans="1:18">
      <c r="A194" s="54">
        <v>45618</v>
      </c>
      <c r="B194" s="10">
        <v>45621</v>
      </c>
      <c r="C194" s="11">
        <f>VLOOKUP(B:B,'Курс валют'!A:D,4,0)</f>
        <v>107.4252</v>
      </c>
      <c r="D194" s="58">
        <v>823</v>
      </c>
      <c r="E194" s="55" t="s">
        <v>60</v>
      </c>
      <c r="F194" s="58">
        <v>900</v>
      </c>
      <c r="G194" s="58">
        <v>933</v>
      </c>
      <c r="H194" s="56">
        <v>366</v>
      </c>
      <c r="I194" s="58">
        <f t="shared" si="14"/>
        <v>33</v>
      </c>
      <c r="J194" s="14">
        <f t="shared" si="15"/>
        <v>3.6666666666666665</v>
      </c>
      <c r="K194" s="56">
        <v>3.14</v>
      </c>
      <c r="L194" s="15">
        <f t="shared" si="16"/>
        <v>40.666666666666664</v>
      </c>
      <c r="M194" s="16">
        <f t="shared" si="17"/>
        <v>204.50893408000002</v>
      </c>
      <c r="N194" s="17">
        <f t="shared" si="18"/>
        <v>1.9037333333333333</v>
      </c>
      <c r="O194" s="17">
        <f t="shared" si="19"/>
        <v>1713.36</v>
      </c>
      <c r="P194" s="18">
        <f t="shared" si="20"/>
        <v>184058.040672</v>
      </c>
      <c r="R194" s="155"/>
    </row>
    <row r="195" spans="1:18">
      <c r="A195" s="54">
        <v>45618</v>
      </c>
      <c r="B195" s="10">
        <v>45621</v>
      </c>
      <c r="C195" s="11">
        <f>VLOOKUP(B:B,'Курс валют'!A:D,4,0)</f>
        <v>107.4252</v>
      </c>
      <c r="D195" s="58">
        <v>824</v>
      </c>
      <c r="E195" s="55" t="s">
        <v>60</v>
      </c>
      <c r="F195" s="58">
        <v>900</v>
      </c>
      <c r="G195" s="58">
        <v>929</v>
      </c>
      <c r="H195" s="56">
        <v>365</v>
      </c>
      <c r="I195" s="58">
        <f t="shared" si="14"/>
        <v>29</v>
      </c>
      <c r="J195" s="14">
        <f t="shared" si="15"/>
        <v>3.2222222222222223</v>
      </c>
      <c r="K195" s="56">
        <v>3.14</v>
      </c>
      <c r="L195" s="15">
        <f t="shared" si="16"/>
        <v>40.555555555555557</v>
      </c>
      <c r="M195" s="16">
        <f t="shared" si="17"/>
        <v>204.87179253333335</v>
      </c>
      <c r="N195" s="17">
        <f t="shared" si="18"/>
        <v>1.9071111111111112</v>
      </c>
      <c r="O195" s="17">
        <f t="shared" si="19"/>
        <v>1716.4</v>
      </c>
      <c r="P195" s="18">
        <f t="shared" si="20"/>
        <v>184384.61328000002</v>
      </c>
      <c r="R195" s="155"/>
    </row>
    <row r="196" spans="1:18">
      <c r="A196" s="54">
        <v>45618</v>
      </c>
      <c r="B196" s="10">
        <v>45621</v>
      </c>
      <c r="C196" s="11">
        <f>VLOOKUP(B:B,'Курс валют'!A:D,4,0)</f>
        <v>107.4252</v>
      </c>
      <c r="D196" s="58">
        <v>826</v>
      </c>
      <c r="E196" s="55" t="s">
        <v>60</v>
      </c>
      <c r="F196" s="58">
        <v>900</v>
      </c>
      <c r="G196" s="58">
        <v>936</v>
      </c>
      <c r="H196" s="56">
        <v>365</v>
      </c>
      <c r="I196" s="58">
        <f t="shared" si="14"/>
        <v>36</v>
      </c>
      <c r="J196" s="14">
        <f t="shared" si="15"/>
        <v>4</v>
      </c>
      <c r="K196" s="56">
        <v>3.14</v>
      </c>
      <c r="L196" s="15">
        <f t="shared" si="16"/>
        <v>40.555555555555557</v>
      </c>
      <c r="M196" s="16">
        <f t="shared" si="17"/>
        <v>204.87179253333335</v>
      </c>
      <c r="N196" s="17">
        <f t="shared" si="18"/>
        <v>1.9071111111111112</v>
      </c>
      <c r="O196" s="17">
        <f t="shared" si="19"/>
        <v>1716.4</v>
      </c>
      <c r="P196" s="18">
        <f t="shared" si="20"/>
        <v>184384.61328000002</v>
      </c>
      <c r="R196" s="153"/>
    </row>
    <row r="197" spans="1:18" ht="12.75">
      <c r="A197" s="54">
        <v>45618</v>
      </c>
      <c r="B197" s="10">
        <v>45621</v>
      </c>
      <c r="C197" s="11">
        <f>VLOOKUP(B:B,'Курс валют'!A:D,4,0)</f>
        <v>107.4252</v>
      </c>
      <c r="D197" s="58">
        <v>825</v>
      </c>
      <c r="E197" s="55" t="s">
        <v>68</v>
      </c>
      <c r="F197" s="58">
        <v>12000</v>
      </c>
      <c r="G197" s="58">
        <v>12018</v>
      </c>
      <c r="H197" s="56">
        <v>1145</v>
      </c>
      <c r="I197" s="58">
        <f t="shared" si="14"/>
        <v>18</v>
      </c>
      <c r="J197" s="14">
        <f t="shared" si="15"/>
        <v>0.15</v>
      </c>
      <c r="K197" s="140">
        <v>2.19</v>
      </c>
      <c r="L197" s="15">
        <f t="shared" si="16"/>
        <v>9.5416666666666661</v>
      </c>
      <c r="M197" s="16">
        <f t="shared" si="17"/>
        <v>204.10071832000003</v>
      </c>
      <c r="N197" s="17">
        <f t="shared" si="18"/>
        <v>1.8999333333333335</v>
      </c>
      <c r="O197" s="17">
        <f t="shared" si="19"/>
        <v>22799.200000000001</v>
      </c>
      <c r="P197" s="18">
        <f t="shared" si="20"/>
        <v>2449208.6198400003</v>
      </c>
      <c r="R197" s="153"/>
    </row>
    <row r="198" spans="1:18" ht="12.75">
      <c r="A198" s="54">
        <v>45618</v>
      </c>
      <c r="B198" s="10">
        <v>45621</v>
      </c>
      <c r="C198" s="11">
        <f>VLOOKUP(B:B,'Курс валют'!A:D,4,0)</f>
        <v>107.4252</v>
      </c>
      <c r="D198" s="58">
        <v>827</v>
      </c>
      <c r="E198" s="55" t="s">
        <v>56</v>
      </c>
      <c r="F198" s="58">
        <v>1000</v>
      </c>
      <c r="G198" s="58">
        <v>1062.5</v>
      </c>
      <c r="H198" s="56">
        <v>0</v>
      </c>
      <c r="I198" s="58">
        <f t="shared" si="14"/>
        <v>62.5</v>
      </c>
      <c r="J198" s="14">
        <f t="shared" si="15"/>
        <v>6.25</v>
      </c>
      <c r="K198" s="56">
        <v>3.03</v>
      </c>
      <c r="L198" s="15">
        <f t="shared" si="16"/>
        <v>0</v>
      </c>
      <c r="M198" s="16">
        <f t="shared" si="17"/>
        <v>325.498356</v>
      </c>
      <c r="N198" s="17">
        <f t="shared" si="18"/>
        <v>3.03</v>
      </c>
      <c r="O198" s="17">
        <f t="shared" si="19"/>
        <v>3030</v>
      </c>
      <c r="P198" s="18">
        <f t="shared" si="20"/>
        <v>325498.35600000003</v>
      </c>
      <c r="R198" s="153"/>
    </row>
    <row r="199" spans="1:18" ht="12.75">
      <c r="A199" s="54">
        <v>45618</v>
      </c>
      <c r="B199" s="10">
        <v>45621</v>
      </c>
      <c r="C199" s="11">
        <f>VLOOKUP(B:B,'Курс валют'!A:D,4,0)</f>
        <v>107.4252</v>
      </c>
      <c r="D199" s="58">
        <v>828</v>
      </c>
      <c r="E199" s="62" t="s">
        <v>15</v>
      </c>
      <c r="F199" s="58">
        <v>2200</v>
      </c>
      <c r="G199" s="58">
        <v>2218</v>
      </c>
      <c r="H199" s="56">
        <f>972+41</f>
        <v>1013</v>
      </c>
      <c r="I199" s="58">
        <f t="shared" si="14"/>
        <v>18</v>
      </c>
      <c r="J199" s="14">
        <f t="shared" si="15"/>
        <v>0.81818181818181823</v>
      </c>
      <c r="K199" s="56">
        <v>3.78</v>
      </c>
      <c r="L199" s="15">
        <f t="shared" si="16"/>
        <v>46.045454545454547</v>
      </c>
      <c r="M199" s="16">
        <f t="shared" si="17"/>
        <v>255.69541422545456</v>
      </c>
      <c r="N199" s="17">
        <f t="shared" si="18"/>
        <v>2.3802181818181816</v>
      </c>
      <c r="O199" s="17">
        <f t="shared" si="19"/>
        <v>5236.4799999999996</v>
      </c>
      <c r="P199" s="18">
        <f t="shared" si="20"/>
        <v>562529.91129600001</v>
      </c>
      <c r="R199" s="153"/>
    </row>
    <row r="200" spans="1:18" ht="12.75">
      <c r="A200" s="54">
        <v>45618</v>
      </c>
      <c r="B200" s="10">
        <v>45621</v>
      </c>
      <c r="C200" s="11">
        <f>VLOOKUP(B:B,'Курс валют'!A:D,4,0)</f>
        <v>107.4252</v>
      </c>
      <c r="D200" s="58">
        <v>829</v>
      </c>
      <c r="E200" s="62" t="s">
        <v>15</v>
      </c>
      <c r="F200" s="58">
        <v>8800</v>
      </c>
      <c r="G200" s="58">
        <v>8824</v>
      </c>
      <c r="H200" s="56">
        <f>3860+164</f>
        <v>4024</v>
      </c>
      <c r="I200" s="58">
        <f t="shared" si="14"/>
        <v>24</v>
      </c>
      <c r="J200" s="14">
        <f t="shared" si="15"/>
        <v>0.27272727272727276</v>
      </c>
      <c r="K200" s="56">
        <v>3.78</v>
      </c>
      <c r="L200" s="15">
        <f t="shared" si="16"/>
        <v>45.727272727272727</v>
      </c>
      <c r="M200" s="16">
        <f t="shared" si="17"/>
        <v>256.73450888727274</v>
      </c>
      <c r="N200" s="17">
        <f t="shared" si="18"/>
        <v>2.3898909090909091</v>
      </c>
      <c r="O200" s="17">
        <f t="shared" si="19"/>
        <v>21031.040000000001</v>
      </c>
      <c r="P200" s="18">
        <f t="shared" si="20"/>
        <v>2259263.678208</v>
      </c>
      <c r="R200" s="153"/>
    </row>
    <row r="201" spans="1:18" ht="12.75">
      <c r="A201" s="54">
        <v>45618</v>
      </c>
      <c r="B201" s="10">
        <v>45621</v>
      </c>
      <c r="C201" s="11">
        <f>VLOOKUP(B:B,'Курс валют'!A:D,4,0)</f>
        <v>107.4252</v>
      </c>
      <c r="D201" s="58">
        <v>830</v>
      </c>
      <c r="E201" s="55" t="s">
        <v>56</v>
      </c>
      <c r="F201" s="58">
        <v>1000</v>
      </c>
      <c r="G201" s="58">
        <v>1055.5</v>
      </c>
      <c r="H201" s="56">
        <v>0</v>
      </c>
      <c r="I201" s="58">
        <f t="shared" si="14"/>
        <v>55.5</v>
      </c>
      <c r="J201" s="14">
        <f t="shared" si="15"/>
        <v>5.55</v>
      </c>
      <c r="K201" s="56">
        <v>3.03</v>
      </c>
      <c r="L201" s="15">
        <f t="shared" si="16"/>
        <v>0</v>
      </c>
      <c r="M201" s="16">
        <f t="shared" si="17"/>
        <v>325.498356</v>
      </c>
      <c r="N201" s="17">
        <f t="shared" si="18"/>
        <v>3.03</v>
      </c>
      <c r="O201" s="17">
        <f t="shared" si="19"/>
        <v>3030</v>
      </c>
      <c r="P201" s="18">
        <f t="shared" si="20"/>
        <v>325498.35600000003</v>
      </c>
      <c r="R201" s="153"/>
    </row>
    <row r="202" spans="1:18" ht="12.75">
      <c r="A202" s="54">
        <v>45618</v>
      </c>
      <c r="B202" s="10">
        <v>45621</v>
      </c>
      <c r="C202" s="11">
        <f>VLOOKUP(B:B,'Курс валют'!A:D,4,0)</f>
        <v>107.4252</v>
      </c>
      <c r="D202" s="58">
        <v>832</v>
      </c>
      <c r="E202" s="62" t="s">
        <v>15</v>
      </c>
      <c r="F202" s="58">
        <v>8800</v>
      </c>
      <c r="G202" s="58">
        <v>8829</v>
      </c>
      <c r="H202" s="56">
        <f>3865+164</f>
        <v>4029</v>
      </c>
      <c r="I202" s="58">
        <f t="shared" si="14"/>
        <v>29</v>
      </c>
      <c r="J202" s="14">
        <f t="shared" si="15"/>
        <v>0.32954545454545453</v>
      </c>
      <c r="K202" s="56">
        <v>3.78</v>
      </c>
      <c r="L202" s="15">
        <f t="shared" si="16"/>
        <v>45.784090909090907</v>
      </c>
      <c r="M202" s="16">
        <f t="shared" si="17"/>
        <v>256.54895626909092</v>
      </c>
      <c r="N202" s="17">
        <f t="shared" si="18"/>
        <v>2.3881636363636365</v>
      </c>
      <c r="O202" s="17">
        <f t="shared" si="19"/>
        <v>21015.84</v>
      </c>
      <c r="P202" s="18">
        <f t="shared" si="20"/>
        <v>2257630.8151680003</v>
      </c>
      <c r="R202" s="153"/>
    </row>
    <row r="203" spans="1:18" ht="12.75">
      <c r="A203" s="54">
        <v>45618</v>
      </c>
      <c r="B203" s="10">
        <v>45621</v>
      </c>
      <c r="C203" s="11">
        <f>VLOOKUP(B:B,'Курс валют'!A:D,4,0)</f>
        <v>107.4252</v>
      </c>
      <c r="D203" s="58">
        <v>837</v>
      </c>
      <c r="E203" s="55" t="s">
        <v>2113</v>
      </c>
      <c r="F203" s="58">
        <v>400</v>
      </c>
      <c r="G203" s="58">
        <v>400</v>
      </c>
      <c r="H203" s="56">
        <v>0</v>
      </c>
      <c r="I203" s="58">
        <f t="shared" si="14"/>
        <v>0</v>
      </c>
      <c r="J203" s="14">
        <f t="shared" si="15"/>
        <v>0</v>
      </c>
      <c r="K203" s="56">
        <v>3.03</v>
      </c>
      <c r="L203" s="15">
        <f t="shared" si="16"/>
        <v>0</v>
      </c>
      <c r="M203" s="16">
        <f t="shared" si="17"/>
        <v>325.498356</v>
      </c>
      <c r="N203" s="17">
        <f t="shared" si="18"/>
        <v>3.03</v>
      </c>
      <c r="O203" s="17">
        <f t="shared" si="19"/>
        <v>1212</v>
      </c>
      <c r="P203" s="18">
        <f t="shared" si="20"/>
        <v>130199.34240000001</v>
      </c>
      <c r="R203" s="153" t="s">
        <v>2495</v>
      </c>
    </row>
    <row r="204" spans="1:18" ht="12.75">
      <c r="A204" s="54">
        <v>45618</v>
      </c>
      <c r="B204" s="10">
        <v>45621</v>
      </c>
      <c r="C204" s="11">
        <f>VLOOKUP(B:B,'Курс валют'!A:D,4,0)</f>
        <v>107.4252</v>
      </c>
      <c r="D204" s="58">
        <v>833</v>
      </c>
      <c r="E204" s="55" t="s">
        <v>79</v>
      </c>
      <c r="F204" s="58">
        <v>1020</v>
      </c>
      <c r="G204" s="58">
        <v>1055.5</v>
      </c>
      <c r="H204" s="56">
        <v>0</v>
      </c>
      <c r="I204" s="58">
        <f t="shared" si="14"/>
        <v>35.5</v>
      </c>
      <c r="J204" s="14">
        <f t="shared" si="15"/>
        <v>3.4803921568627452</v>
      </c>
      <c r="K204" s="56">
        <v>3.08</v>
      </c>
      <c r="L204" s="15">
        <f t="shared" si="16"/>
        <v>0</v>
      </c>
      <c r="M204" s="16">
        <f t="shared" si="17"/>
        <v>330.86961600000001</v>
      </c>
      <c r="N204" s="17">
        <f t="shared" si="18"/>
        <v>3.08</v>
      </c>
      <c r="O204" s="17">
        <f t="shared" si="19"/>
        <v>3141.6</v>
      </c>
      <c r="P204" s="18">
        <f t="shared" si="20"/>
        <v>337487.00832000002</v>
      </c>
      <c r="R204" s="153"/>
    </row>
    <row r="205" spans="1:18" ht="12.75">
      <c r="A205" s="54">
        <v>45621</v>
      </c>
      <c r="B205" s="10">
        <v>45622</v>
      </c>
      <c r="C205" s="11">
        <f>VLOOKUP(B:B,'Курс валют'!A:D,4,0)</f>
        <v>108.87050000000001</v>
      </c>
      <c r="D205" s="58">
        <v>835</v>
      </c>
      <c r="E205" s="62" t="s">
        <v>15</v>
      </c>
      <c r="F205" s="58">
        <v>6600</v>
      </c>
      <c r="G205" s="58">
        <v>6637</v>
      </c>
      <c r="H205" s="56">
        <v>3027</v>
      </c>
      <c r="I205" s="58">
        <f t="shared" si="14"/>
        <v>37</v>
      </c>
      <c r="J205" s="14">
        <f t="shared" si="15"/>
        <v>0.56060606060606055</v>
      </c>
      <c r="K205" s="56">
        <v>3.8</v>
      </c>
      <c r="L205" s="15">
        <f t="shared" si="16"/>
        <v>45.86363636363636</v>
      </c>
      <c r="M205" s="16">
        <f t="shared" si="17"/>
        <v>261.91471050909092</v>
      </c>
      <c r="N205" s="17">
        <f t="shared" si="18"/>
        <v>2.4057454545454546</v>
      </c>
      <c r="O205" s="17">
        <f t="shared" si="19"/>
        <v>15877.92</v>
      </c>
      <c r="P205" s="18">
        <f t="shared" si="20"/>
        <v>1728637.0893600001</v>
      </c>
      <c r="R205" s="153"/>
    </row>
    <row r="206" spans="1:18" ht="12.75">
      <c r="A206" s="54">
        <v>45622</v>
      </c>
      <c r="B206" s="10">
        <v>45623</v>
      </c>
      <c r="C206" s="11">
        <f>VLOOKUP(B:B,'Курс валют'!A:D,4,0)</f>
        <v>110.4943</v>
      </c>
      <c r="D206" s="58">
        <v>834</v>
      </c>
      <c r="E206" s="55" t="s">
        <v>60</v>
      </c>
      <c r="F206" s="58">
        <v>900</v>
      </c>
      <c r="G206" s="58">
        <v>938</v>
      </c>
      <c r="H206" s="56">
        <v>363</v>
      </c>
      <c r="I206" s="58">
        <f t="shared" si="14"/>
        <v>38</v>
      </c>
      <c r="J206" s="14">
        <f t="shared" si="15"/>
        <v>4.2222222222222223</v>
      </c>
      <c r="K206" s="56">
        <v>3.15</v>
      </c>
      <c r="L206" s="15">
        <f t="shared" si="16"/>
        <v>40.333333333333329</v>
      </c>
      <c r="M206" s="16">
        <f t="shared" si="17"/>
        <v>212.57630062666667</v>
      </c>
      <c r="N206" s="17">
        <f t="shared" si="18"/>
        <v>1.9238666666666666</v>
      </c>
      <c r="O206" s="17">
        <f t="shared" si="19"/>
        <v>1731.48</v>
      </c>
      <c r="P206" s="18">
        <f t="shared" si="20"/>
        <v>191318.670564</v>
      </c>
      <c r="R206" s="153"/>
    </row>
    <row r="207" spans="1:18" ht="12.75">
      <c r="A207" s="54">
        <v>45622</v>
      </c>
      <c r="B207" s="10">
        <v>45623</v>
      </c>
      <c r="C207" s="11">
        <f>VLOOKUP(B:B,'Курс валют'!A:D,4,0)</f>
        <v>110.4943</v>
      </c>
      <c r="D207" s="58">
        <v>838</v>
      </c>
      <c r="E207" s="62" t="s">
        <v>15</v>
      </c>
      <c r="F207" s="58">
        <v>2200</v>
      </c>
      <c r="G207" s="58">
        <v>2215</v>
      </c>
      <c r="H207" s="56">
        <f>967+40</f>
        <v>1007</v>
      </c>
      <c r="I207" s="58">
        <f t="shared" si="14"/>
        <v>15</v>
      </c>
      <c r="J207" s="14">
        <f t="shared" si="15"/>
        <v>0.68181818181818177</v>
      </c>
      <c r="K207" s="56">
        <v>3.7</v>
      </c>
      <c r="L207" s="15">
        <f t="shared" si="16"/>
        <v>45.772727272727273</v>
      </c>
      <c r="M207" s="16">
        <f t="shared" si="17"/>
        <v>255.07709604363629</v>
      </c>
      <c r="N207" s="17">
        <f t="shared" si="18"/>
        <v>2.3085090909090904</v>
      </c>
      <c r="O207" s="17">
        <f t="shared" si="19"/>
        <v>5078.7199999999984</v>
      </c>
      <c r="P207" s="18">
        <f t="shared" si="20"/>
        <v>561169.61129599984</v>
      </c>
      <c r="R207" s="153"/>
    </row>
    <row r="208" spans="1:18" ht="12.75">
      <c r="A208" s="131">
        <v>45622</v>
      </c>
      <c r="B208" s="10">
        <v>45623</v>
      </c>
      <c r="C208" s="11">
        <f>VLOOKUP(B:B,'Курс валют'!A:D,4,0)</f>
        <v>110.4943</v>
      </c>
      <c r="D208" s="58">
        <v>839</v>
      </c>
      <c r="E208" s="62" t="s">
        <v>15</v>
      </c>
      <c r="F208" s="58">
        <v>6600</v>
      </c>
      <c r="G208" s="58">
        <v>6650</v>
      </c>
      <c r="H208" s="56">
        <f>2900+120</f>
        <v>3020</v>
      </c>
      <c r="I208" s="58">
        <f t="shared" si="14"/>
        <v>50</v>
      </c>
      <c r="J208" s="14">
        <f t="shared" si="15"/>
        <v>0.75757575757575757</v>
      </c>
      <c r="K208" s="56">
        <v>3.7</v>
      </c>
      <c r="L208" s="15">
        <f t="shared" si="16"/>
        <v>45.757575757575758</v>
      </c>
      <c r="M208" s="16">
        <f t="shared" si="17"/>
        <v>255.12799038787878</v>
      </c>
      <c r="N208" s="17">
        <f t="shared" si="18"/>
        <v>2.3089696969696969</v>
      </c>
      <c r="O208" s="17">
        <f t="shared" si="19"/>
        <v>15239.199999999999</v>
      </c>
      <c r="P208" s="18">
        <f t="shared" si="20"/>
        <v>1683844.7365599999</v>
      </c>
      <c r="R208" s="153" t="s">
        <v>2496</v>
      </c>
    </row>
    <row r="209" spans="1:27" ht="12.75">
      <c r="A209" s="131">
        <v>45623</v>
      </c>
      <c r="B209" s="10">
        <v>45623</v>
      </c>
      <c r="C209" s="11">
        <f>VLOOKUP(B:B,'Курс валют'!A:D,4,0)</f>
        <v>110.4943</v>
      </c>
      <c r="D209" s="58" t="s">
        <v>2497</v>
      </c>
      <c r="E209" s="58" t="s">
        <v>80</v>
      </c>
      <c r="F209" s="58">
        <v>20</v>
      </c>
      <c r="G209" s="58">
        <v>22.006</v>
      </c>
      <c r="H209" s="56">
        <v>0</v>
      </c>
      <c r="I209" s="58">
        <f t="shared" si="14"/>
        <v>2.0060000000000002</v>
      </c>
      <c r="J209" s="14">
        <f t="shared" si="15"/>
        <v>10.030000000000001</v>
      </c>
      <c r="K209" s="56">
        <v>3.37</v>
      </c>
      <c r="L209" s="15">
        <f t="shared" si="16"/>
        <v>0</v>
      </c>
      <c r="M209" s="16">
        <f t="shared" si="17"/>
        <v>372.36579100000006</v>
      </c>
      <c r="N209" s="17">
        <f t="shared" si="18"/>
        <v>3.37</v>
      </c>
      <c r="O209" s="17">
        <f t="shared" si="19"/>
        <v>67.400000000000006</v>
      </c>
      <c r="P209" s="18">
        <f t="shared" si="20"/>
        <v>7447.3158200000007</v>
      </c>
      <c r="R209" s="153"/>
    </row>
    <row r="210" spans="1:27" ht="12.75">
      <c r="A210" s="131">
        <v>45623</v>
      </c>
      <c r="B210" s="10">
        <v>45624</v>
      </c>
      <c r="C210" s="11">
        <f>VLOOKUP(B:B,'Курс валют'!A:D,4,0)</f>
        <v>113.0947</v>
      </c>
      <c r="D210" s="58">
        <v>844</v>
      </c>
      <c r="E210" s="55" t="s">
        <v>81</v>
      </c>
      <c r="F210" s="58">
        <v>20</v>
      </c>
      <c r="G210" s="58">
        <v>22.06</v>
      </c>
      <c r="H210" s="56">
        <v>0</v>
      </c>
      <c r="I210" s="58">
        <f t="shared" si="14"/>
        <v>2.0599999999999987</v>
      </c>
      <c r="J210" s="14">
        <f t="shared" si="15"/>
        <v>10.299999999999994</v>
      </c>
      <c r="K210" s="56">
        <v>2.59</v>
      </c>
      <c r="L210" s="15">
        <f t="shared" si="16"/>
        <v>0</v>
      </c>
      <c r="M210" s="16">
        <f t="shared" si="17"/>
        <v>292.91527299999996</v>
      </c>
      <c r="N210" s="17">
        <f t="shared" si="18"/>
        <v>2.59</v>
      </c>
      <c r="O210" s="17">
        <f t="shared" si="19"/>
        <v>51.8</v>
      </c>
      <c r="P210" s="18">
        <f t="shared" si="20"/>
        <v>5858.3054599999996</v>
      </c>
      <c r="R210" s="153"/>
    </row>
    <row r="211" spans="1:27" ht="12.75">
      <c r="A211" s="131">
        <v>45623</v>
      </c>
      <c r="B211" s="10">
        <v>45624</v>
      </c>
      <c r="C211" s="11">
        <f>VLOOKUP(B:B,'Курс валют'!A:D,4,0)</f>
        <v>113.0947</v>
      </c>
      <c r="D211" s="58" t="s">
        <v>2498</v>
      </c>
      <c r="E211" s="55" t="s">
        <v>82</v>
      </c>
      <c r="F211" s="58">
        <v>1800</v>
      </c>
      <c r="G211" s="58">
        <v>1800</v>
      </c>
      <c r="H211" s="56">
        <v>0</v>
      </c>
      <c r="I211" s="58">
        <f t="shared" si="14"/>
        <v>0</v>
      </c>
      <c r="J211" s="14">
        <f t="shared" si="15"/>
        <v>0</v>
      </c>
      <c r="K211" s="56">
        <v>3.21</v>
      </c>
      <c r="L211" s="15">
        <f t="shared" si="16"/>
        <v>0</v>
      </c>
      <c r="M211" s="16">
        <f t="shared" si="17"/>
        <v>363.03398700000002</v>
      </c>
      <c r="N211" s="17">
        <f t="shared" si="18"/>
        <v>3.21</v>
      </c>
      <c r="O211" s="17">
        <f t="shared" si="19"/>
        <v>5778</v>
      </c>
      <c r="P211" s="18">
        <f t="shared" si="20"/>
        <v>653461.17660000001</v>
      </c>
      <c r="R211" s="153" t="s">
        <v>2430</v>
      </c>
    </row>
    <row r="212" spans="1:27" ht="12.75">
      <c r="A212" s="131">
        <v>45623</v>
      </c>
      <c r="B212" s="10">
        <v>45624</v>
      </c>
      <c r="C212" s="11">
        <f>VLOOKUP(B:B,'Курс валют'!A:D,4,0)</f>
        <v>113.0947</v>
      </c>
      <c r="D212" s="58">
        <v>836</v>
      </c>
      <c r="E212" s="55" t="s">
        <v>60</v>
      </c>
      <c r="F212" s="58">
        <v>900</v>
      </c>
      <c r="G212" s="58">
        <v>939</v>
      </c>
      <c r="H212" s="56">
        <f>365</f>
        <v>365</v>
      </c>
      <c r="I212" s="58">
        <f t="shared" si="14"/>
        <v>39</v>
      </c>
      <c r="J212" s="14">
        <f t="shared" si="15"/>
        <v>4.3333333333333339</v>
      </c>
      <c r="K212" s="56">
        <v>3.15</v>
      </c>
      <c r="L212" s="15">
        <f t="shared" si="16"/>
        <v>40.555555555555557</v>
      </c>
      <c r="M212" s="16">
        <f t="shared" si="17"/>
        <v>216.81510597777779</v>
      </c>
      <c r="N212" s="17">
        <f t="shared" si="18"/>
        <v>1.9171111111111112</v>
      </c>
      <c r="O212" s="17">
        <f t="shared" si="19"/>
        <v>1725.4</v>
      </c>
      <c r="P212" s="18">
        <f t="shared" si="20"/>
        <v>195133.59538000001</v>
      </c>
      <c r="R212" s="153"/>
    </row>
    <row r="213" spans="1:27" ht="12.75">
      <c r="A213" s="131">
        <v>45623</v>
      </c>
      <c r="B213" s="10">
        <v>45624</v>
      </c>
      <c r="C213" s="11">
        <f>VLOOKUP(B:B,'Курс валют'!A:D,4,0)</f>
        <v>113.0947</v>
      </c>
      <c r="D213" s="58">
        <v>840</v>
      </c>
      <c r="E213" s="55" t="s">
        <v>50</v>
      </c>
      <c r="F213" s="58">
        <v>1600</v>
      </c>
      <c r="G213" s="58">
        <v>1618.12</v>
      </c>
      <c r="H213" s="56">
        <v>0</v>
      </c>
      <c r="I213" s="58">
        <f t="shared" si="14"/>
        <v>18.119999999999891</v>
      </c>
      <c r="J213" s="14">
        <f t="shared" si="15"/>
        <v>1.1324999999999932</v>
      </c>
      <c r="K213" s="140">
        <v>2.0299999999999998</v>
      </c>
      <c r="L213" s="15">
        <f t="shared" si="16"/>
        <v>0</v>
      </c>
      <c r="M213" s="16">
        <f t="shared" si="17"/>
        <v>229.58224099999995</v>
      </c>
      <c r="N213" s="17">
        <f t="shared" si="18"/>
        <v>2.0299999999999998</v>
      </c>
      <c r="O213" s="17">
        <f t="shared" si="19"/>
        <v>3247.9999999999995</v>
      </c>
      <c r="P213" s="18">
        <f t="shared" si="20"/>
        <v>367331.58559999993</v>
      </c>
      <c r="R213" s="153"/>
    </row>
    <row r="214" spans="1:27" ht="12.75">
      <c r="A214" s="131">
        <v>45623</v>
      </c>
      <c r="B214" s="10">
        <v>45624</v>
      </c>
      <c r="C214" s="11">
        <f>VLOOKUP(B:B,'Курс валют'!A:D,4,0)</f>
        <v>113.0947</v>
      </c>
      <c r="D214" s="58">
        <v>841</v>
      </c>
      <c r="E214" s="50" t="s">
        <v>66</v>
      </c>
      <c r="F214" s="58">
        <v>6400</v>
      </c>
      <c r="G214" s="58">
        <v>6430</v>
      </c>
      <c r="H214" s="56">
        <v>612</v>
      </c>
      <c r="I214" s="58">
        <f t="shared" si="14"/>
        <v>30</v>
      </c>
      <c r="J214" s="14">
        <f t="shared" si="15"/>
        <v>0.46875</v>
      </c>
      <c r="K214" s="140">
        <v>2.25</v>
      </c>
      <c r="L214" s="15">
        <f t="shared" si="16"/>
        <v>9.5625</v>
      </c>
      <c r="M214" s="16">
        <f t="shared" si="17"/>
        <v>221.58644571000002</v>
      </c>
      <c r="N214" s="17">
        <f t="shared" si="18"/>
        <v>1.9593</v>
      </c>
      <c r="O214" s="17">
        <f t="shared" si="19"/>
        <v>12539.52</v>
      </c>
      <c r="P214" s="18">
        <f t="shared" si="20"/>
        <v>1418153.252544</v>
      </c>
      <c r="R214" s="153"/>
    </row>
    <row r="215" spans="1:27" ht="12.75">
      <c r="A215" s="132">
        <v>45623</v>
      </c>
      <c r="B215" s="10">
        <v>45624</v>
      </c>
      <c r="C215" s="11">
        <f>VLOOKUP(B:B,'Курс валют'!A:D,4,0)</f>
        <v>113.0947</v>
      </c>
      <c r="D215" s="58">
        <v>843</v>
      </c>
      <c r="E215" s="55" t="s">
        <v>60</v>
      </c>
      <c r="F215" s="58">
        <v>900</v>
      </c>
      <c r="G215" s="58">
        <v>941</v>
      </c>
      <c r="H215" s="56">
        <f>365</f>
        <v>365</v>
      </c>
      <c r="I215" s="58">
        <f t="shared" si="14"/>
        <v>41</v>
      </c>
      <c r="J215" s="14">
        <f t="shared" si="15"/>
        <v>4.5555555555555554</v>
      </c>
      <c r="K215" s="56">
        <v>3.15</v>
      </c>
      <c r="L215" s="15">
        <f t="shared" si="16"/>
        <v>40.555555555555557</v>
      </c>
      <c r="M215" s="16">
        <f t="shared" si="17"/>
        <v>216.81510597777779</v>
      </c>
      <c r="N215" s="17">
        <f t="shared" si="18"/>
        <v>1.9171111111111112</v>
      </c>
      <c r="O215" s="17">
        <f t="shared" si="19"/>
        <v>1725.4</v>
      </c>
      <c r="P215" s="18">
        <f t="shared" si="20"/>
        <v>195133.59538000001</v>
      </c>
      <c r="R215" s="153"/>
    </row>
    <row r="216" spans="1:27" ht="12.75">
      <c r="A216" s="132">
        <v>45624</v>
      </c>
      <c r="B216" s="10">
        <v>45625</v>
      </c>
      <c r="C216" s="11">
        <f>VLOOKUP(B:B,'Курс валют'!A:D,4,0)</f>
        <v>116.14100000000001</v>
      </c>
      <c r="D216" s="58">
        <v>846</v>
      </c>
      <c r="E216" s="50" t="s">
        <v>58</v>
      </c>
      <c r="F216" s="58">
        <v>8800</v>
      </c>
      <c r="G216" s="58">
        <v>8833</v>
      </c>
      <c r="H216" s="56">
        <v>3664</v>
      </c>
      <c r="I216" s="58">
        <f t="shared" si="14"/>
        <v>33</v>
      </c>
      <c r="J216" s="14">
        <f t="shared" si="15"/>
        <v>0.375</v>
      </c>
      <c r="K216" s="56">
        <v>3.77</v>
      </c>
      <c r="L216" s="15">
        <f t="shared" si="16"/>
        <v>41.63636363636364</v>
      </c>
      <c r="M216" s="16">
        <f t="shared" si="17"/>
        <v>290.84662716363636</v>
      </c>
      <c r="N216" s="17">
        <f t="shared" si="18"/>
        <v>2.5042545454545455</v>
      </c>
      <c r="O216" s="17">
        <f t="shared" si="19"/>
        <v>22037.439999999999</v>
      </c>
      <c r="P216" s="18">
        <f t="shared" si="20"/>
        <v>2559450.31904</v>
      </c>
      <c r="R216" s="153"/>
    </row>
    <row r="217" spans="1:27" ht="12.75">
      <c r="A217" s="132">
        <v>45621</v>
      </c>
      <c r="B217" s="10">
        <v>45621</v>
      </c>
      <c r="C217" s="11">
        <f>VLOOKUP(B:B,'Курс валют'!A:D,4,0)</f>
        <v>107.4252</v>
      </c>
      <c r="D217" s="58" t="s">
        <v>2499</v>
      </c>
      <c r="E217" s="50" t="s">
        <v>70</v>
      </c>
      <c r="F217" s="58">
        <v>20</v>
      </c>
      <c r="G217" s="58">
        <v>20</v>
      </c>
      <c r="H217" s="56">
        <v>0</v>
      </c>
      <c r="I217" s="58">
        <f t="shared" si="14"/>
        <v>0</v>
      </c>
      <c r="J217" s="14">
        <f t="shared" si="15"/>
        <v>0</v>
      </c>
      <c r="K217" s="56">
        <v>4.25</v>
      </c>
      <c r="L217" s="15">
        <f t="shared" si="16"/>
        <v>0</v>
      </c>
      <c r="M217" s="16">
        <f t="shared" si="17"/>
        <v>456.55709999999999</v>
      </c>
      <c r="N217" s="17">
        <f t="shared" si="18"/>
        <v>4.25</v>
      </c>
      <c r="O217" s="17">
        <f t="shared" si="19"/>
        <v>85</v>
      </c>
      <c r="P217" s="18">
        <f t="shared" si="20"/>
        <v>9131.1419999999998</v>
      </c>
      <c r="R217" s="153" t="s">
        <v>172</v>
      </c>
    </row>
    <row r="218" spans="1:27">
      <c r="A218" s="10">
        <v>45625</v>
      </c>
      <c r="B218" s="10">
        <v>45628</v>
      </c>
      <c r="C218" s="11">
        <f>VLOOKUP(B:B,'Курс валют'!A:D,4,0)</f>
        <v>114.31489999999999</v>
      </c>
      <c r="D218" s="11">
        <v>842</v>
      </c>
      <c r="E218" s="135" t="s">
        <v>60</v>
      </c>
      <c r="F218" s="11">
        <v>900</v>
      </c>
      <c r="G218" s="11">
        <v>928</v>
      </c>
      <c r="H218" s="56">
        <v>365</v>
      </c>
      <c r="I218" s="58">
        <f t="shared" ref="I218:I286" si="21">G218-F218</f>
        <v>28</v>
      </c>
      <c r="J218" s="14">
        <f t="shared" ref="J218:J286" si="22">I218/F218*100</f>
        <v>3.1111111111111112</v>
      </c>
      <c r="K218" s="46">
        <v>3.13</v>
      </c>
      <c r="L218" s="15">
        <f t="shared" ref="L218:L286" si="23">H218/F218*100</f>
        <v>40.555555555555557</v>
      </c>
      <c r="M218" s="16">
        <f t="shared" ref="M218:M286" si="24">P218/F218</f>
        <v>216.86806695555558</v>
      </c>
      <c r="N218" s="17">
        <f t="shared" ref="N218:N286" si="25">(F218*K218-H218*3.04)/F218</f>
        <v>1.8971111111111112</v>
      </c>
      <c r="O218" s="17">
        <f t="shared" ref="O218:O286" si="26">N218*F218</f>
        <v>1707.4</v>
      </c>
      <c r="P218" s="18">
        <f t="shared" ref="P218:P286" si="27">O218*C218</f>
        <v>195181.26026000001</v>
      </c>
      <c r="R218" s="66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>
      <c r="A219" s="10">
        <v>45625</v>
      </c>
      <c r="B219" s="10">
        <v>45628</v>
      </c>
      <c r="C219" s="11">
        <f>VLOOKUP(B:B,'Курс валют'!A:D,4,0)</f>
        <v>114.31489999999999</v>
      </c>
      <c r="D219" s="58">
        <v>847</v>
      </c>
      <c r="E219" s="50" t="s">
        <v>60</v>
      </c>
      <c r="F219" s="58">
        <v>900</v>
      </c>
      <c r="G219" s="58">
        <v>931</v>
      </c>
      <c r="H219" s="56">
        <v>365</v>
      </c>
      <c r="I219" s="58">
        <f t="shared" si="21"/>
        <v>31</v>
      </c>
      <c r="J219" s="14">
        <f t="shared" si="22"/>
        <v>3.4444444444444446</v>
      </c>
      <c r="K219" s="56">
        <v>3.13</v>
      </c>
      <c r="L219" s="15">
        <f t="shared" si="23"/>
        <v>40.555555555555557</v>
      </c>
      <c r="M219" s="16">
        <f t="shared" si="24"/>
        <v>216.86806695555558</v>
      </c>
      <c r="N219" s="17">
        <f t="shared" si="25"/>
        <v>1.8971111111111112</v>
      </c>
      <c r="O219" s="17">
        <f t="shared" si="26"/>
        <v>1707.4</v>
      </c>
      <c r="P219" s="18">
        <f t="shared" si="27"/>
        <v>195181.26026000001</v>
      </c>
      <c r="R219" s="66"/>
      <c r="S219" s="133"/>
      <c r="T219" s="20"/>
      <c r="U219" s="20"/>
      <c r="V219" s="20"/>
      <c r="W219" s="20"/>
      <c r="X219" s="20"/>
      <c r="Y219" s="20"/>
      <c r="Z219" s="20"/>
      <c r="AA219" s="20"/>
    </row>
    <row r="220" spans="1:27">
      <c r="A220" s="54">
        <v>45625</v>
      </c>
      <c r="B220" s="10">
        <v>45628</v>
      </c>
      <c r="C220" s="11">
        <f>VLOOKUP(B:B,'Курс валют'!A:D,4,0)</f>
        <v>114.31489999999999</v>
      </c>
      <c r="D220" s="58">
        <v>848</v>
      </c>
      <c r="E220" s="50" t="s">
        <v>58</v>
      </c>
      <c r="F220" s="58">
        <v>6600</v>
      </c>
      <c r="G220" s="58">
        <v>6624</v>
      </c>
      <c r="H220" s="56">
        <v>2744</v>
      </c>
      <c r="I220" s="58">
        <f t="shared" si="21"/>
        <v>24</v>
      </c>
      <c r="J220" s="14">
        <f t="shared" si="22"/>
        <v>0.36363636363636365</v>
      </c>
      <c r="K220" s="56">
        <v>3.78</v>
      </c>
      <c r="L220" s="15">
        <f t="shared" si="23"/>
        <v>41.575757575757578</v>
      </c>
      <c r="M220" s="16">
        <f t="shared" si="24"/>
        <v>287.62737348121209</v>
      </c>
      <c r="N220" s="17">
        <f t="shared" si="25"/>
        <v>2.5160969696969695</v>
      </c>
      <c r="O220" s="17">
        <f t="shared" si="26"/>
        <v>16606.239999999998</v>
      </c>
      <c r="P220" s="18">
        <f t="shared" si="27"/>
        <v>1898340.6649759996</v>
      </c>
      <c r="R220" s="66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>
      <c r="A221" s="54">
        <v>45625</v>
      </c>
      <c r="B221" s="10">
        <v>45628</v>
      </c>
      <c r="C221" s="11">
        <f>VLOOKUP(B:B,'Курс валют'!A:D,4,0)</f>
        <v>114.31489999999999</v>
      </c>
      <c r="D221" s="58">
        <v>850</v>
      </c>
      <c r="E221" s="50" t="s">
        <v>58</v>
      </c>
      <c r="F221" s="58">
        <v>8800</v>
      </c>
      <c r="G221" s="58">
        <v>8828</v>
      </c>
      <c r="H221" s="56">
        <v>3658</v>
      </c>
      <c r="I221" s="58">
        <f t="shared" si="21"/>
        <v>28</v>
      </c>
      <c r="J221" s="14">
        <f t="shared" si="22"/>
        <v>0.31818181818181818</v>
      </c>
      <c r="K221" s="56">
        <v>3.78</v>
      </c>
      <c r="L221" s="15">
        <f t="shared" si="23"/>
        <v>41.56818181818182</v>
      </c>
      <c r="M221" s="16">
        <f t="shared" si="24"/>
        <v>287.6537005490909</v>
      </c>
      <c r="N221" s="17">
        <f t="shared" si="25"/>
        <v>2.5163272727272727</v>
      </c>
      <c r="O221" s="17">
        <f t="shared" si="26"/>
        <v>22143.68</v>
      </c>
      <c r="P221" s="18">
        <f t="shared" si="27"/>
        <v>2531352.5648320001</v>
      </c>
      <c r="R221" s="66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>
      <c r="A222" s="54">
        <v>45625</v>
      </c>
      <c r="B222" s="10">
        <v>45628</v>
      </c>
      <c r="C222" s="11">
        <f>VLOOKUP(B:B,'Курс валют'!A:D,4,0)</f>
        <v>114.31489999999999</v>
      </c>
      <c r="D222" s="58">
        <v>852</v>
      </c>
      <c r="E222" s="50" t="s">
        <v>15</v>
      </c>
      <c r="F222" s="58">
        <v>8800</v>
      </c>
      <c r="G222" s="58">
        <v>8821</v>
      </c>
      <c r="H222" s="56">
        <v>4021</v>
      </c>
      <c r="I222" s="58">
        <f t="shared" si="21"/>
        <v>21</v>
      </c>
      <c r="J222" s="14">
        <f t="shared" si="22"/>
        <v>0.23863636363636365</v>
      </c>
      <c r="K222" s="56">
        <v>3.88</v>
      </c>
      <c r="L222" s="15">
        <f t="shared" si="23"/>
        <v>45.693181818181813</v>
      </c>
      <c r="M222" s="16">
        <f t="shared" si="24"/>
        <v>284.75010208909089</v>
      </c>
      <c r="N222" s="17">
        <f t="shared" si="25"/>
        <v>2.4909272727272729</v>
      </c>
      <c r="O222" s="17">
        <f t="shared" si="26"/>
        <v>21920.16</v>
      </c>
      <c r="P222" s="18">
        <f t="shared" si="27"/>
        <v>2505800.8983839997</v>
      </c>
      <c r="R222" s="66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>
      <c r="A223" s="54">
        <v>45628</v>
      </c>
      <c r="B223" s="10">
        <v>45629</v>
      </c>
      <c r="C223" s="11">
        <f>VLOOKUP(B:B,'Курс валют'!A:D,4,0)</f>
        <v>112.8019</v>
      </c>
      <c r="D223" s="58">
        <v>853</v>
      </c>
      <c r="E223" s="64" t="s">
        <v>64</v>
      </c>
      <c r="F223" s="58">
        <v>900</v>
      </c>
      <c r="G223" s="58">
        <v>941.09</v>
      </c>
      <c r="H223" s="56">
        <v>0</v>
      </c>
      <c r="I223" s="58">
        <f t="shared" si="21"/>
        <v>41.090000000000032</v>
      </c>
      <c r="J223" s="14">
        <f t="shared" si="22"/>
        <v>4.5655555555555587</v>
      </c>
      <c r="K223" s="56">
        <v>2.2400000000000002</v>
      </c>
      <c r="L223" s="15">
        <f t="shared" si="23"/>
        <v>0</v>
      </c>
      <c r="M223" s="16">
        <f t="shared" si="24"/>
        <v>252.67625600000002</v>
      </c>
      <c r="N223" s="17">
        <f t="shared" si="25"/>
        <v>2.2400000000000002</v>
      </c>
      <c r="O223" s="17">
        <f t="shared" si="26"/>
        <v>2016.0000000000002</v>
      </c>
      <c r="P223" s="18">
        <f t="shared" si="27"/>
        <v>227408.63040000002</v>
      </c>
      <c r="R223" s="66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>
      <c r="A224" s="54">
        <v>45628</v>
      </c>
      <c r="B224" s="10">
        <v>45629</v>
      </c>
      <c r="C224" s="11">
        <f>VLOOKUP(B:B,'Курс валют'!A:D,4,0)</f>
        <v>112.8019</v>
      </c>
      <c r="D224" s="58">
        <v>854</v>
      </c>
      <c r="E224" s="64" t="s">
        <v>15</v>
      </c>
      <c r="F224" s="58">
        <v>8800</v>
      </c>
      <c r="G224" s="58">
        <v>8829</v>
      </c>
      <c r="H224" s="56">
        <v>4024</v>
      </c>
      <c r="I224" s="58">
        <f t="shared" si="21"/>
        <v>29</v>
      </c>
      <c r="J224" s="14">
        <f t="shared" si="22"/>
        <v>0.32954545454545453</v>
      </c>
      <c r="K224" s="56">
        <v>3.88</v>
      </c>
      <c r="L224" s="15">
        <f t="shared" si="23"/>
        <v>45.727272727272727</v>
      </c>
      <c r="M224" s="16">
        <f t="shared" si="24"/>
        <v>280.86442533818183</v>
      </c>
      <c r="N224" s="17">
        <f t="shared" si="25"/>
        <v>2.4898909090909092</v>
      </c>
      <c r="O224" s="17">
        <f t="shared" si="26"/>
        <v>21911.040000000001</v>
      </c>
      <c r="P224" s="18">
        <f t="shared" si="27"/>
        <v>2471606.9429760003</v>
      </c>
      <c r="R224" s="66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>
      <c r="A225" s="136">
        <v>45623</v>
      </c>
      <c r="B225" s="73">
        <v>45624</v>
      </c>
      <c r="C225" s="11">
        <f>VLOOKUP(B:B,'Курс валют'!A:D,4,0)</f>
        <v>113.0947</v>
      </c>
      <c r="D225" s="58">
        <v>851</v>
      </c>
      <c r="E225" s="64" t="s">
        <v>79</v>
      </c>
      <c r="F225" s="58">
        <v>1036</v>
      </c>
      <c r="G225" s="58">
        <v>1069.5</v>
      </c>
      <c r="H225" s="56">
        <v>0</v>
      </c>
      <c r="I225" s="58">
        <f t="shared" si="21"/>
        <v>33.5</v>
      </c>
      <c r="J225" s="14">
        <f t="shared" si="22"/>
        <v>3.2335907335907335</v>
      </c>
      <c r="K225" s="56">
        <v>2.48</v>
      </c>
      <c r="L225" s="15">
        <f t="shared" si="23"/>
        <v>0</v>
      </c>
      <c r="M225" s="16">
        <f t="shared" si="24"/>
        <v>280.47485600000005</v>
      </c>
      <c r="N225" s="17">
        <f t="shared" si="25"/>
        <v>2.48</v>
      </c>
      <c r="O225" s="17">
        <f t="shared" si="26"/>
        <v>2569.2800000000002</v>
      </c>
      <c r="P225" s="18">
        <f t="shared" si="27"/>
        <v>290571.95081600006</v>
      </c>
      <c r="R225" s="66" t="s">
        <v>2480</v>
      </c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>
      <c r="A226" s="54">
        <v>45629</v>
      </c>
      <c r="B226" s="10">
        <v>45630</v>
      </c>
      <c r="C226" s="11">
        <f>VLOOKUP(B:B,'Курс валют'!A:D,4,0)</f>
        <v>112.02</v>
      </c>
      <c r="D226" s="58">
        <v>849</v>
      </c>
      <c r="E226" s="64" t="s">
        <v>2454</v>
      </c>
      <c r="F226" s="58">
        <v>1000</v>
      </c>
      <c r="G226" s="58">
        <v>1065.5</v>
      </c>
      <c r="H226" s="56">
        <v>0</v>
      </c>
      <c r="I226" s="58">
        <f t="shared" si="21"/>
        <v>65.5</v>
      </c>
      <c r="J226" s="14">
        <f t="shared" si="22"/>
        <v>6.5500000000000007</v>
      </c>
      <c r="K226" s="56">
        <v>3.05</v>
      </c>
      <c r="L226" s="15">
        <f t="shared" si="23"/>
        <v>0</v>
      </c>
      <c r="M226" s="16">
        <f t="shared" si="24"/>
        <v>341.661</v>
      </c>
      <c r="N226" s="17">
        <f t="shared" si="25"/>
        <v>3.05</v>
      </c>
      <c r="O226" s="17">
        <f t="shared" si="26"/>
        <v>3050</v>
      </c>
      <c r="P226" s="18">
        <f t="shared" si="27"/>
        <v>341661</v>
      </c>
      <c r="R226" s="66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>
      <c r="A227" s="54">
        <v>45629</v>
      </c>
      <c r="B227" s="10">
        <v>45630</v>
      </c>
      <c r="C227" s="11">
        <f>VLOOKUP(B:B,'Курс валют'!A:D,4,0)</f>
        <v>112.02</v>
      </c>
      <c r="D227" s="58">
        <v>855</v>
      </c>
      <c r="E227" s="64" t="s">
        <v>64</v>
      </c>
      <c r="F227" s="58">
        <v>900</v>
      </c>
      <c r="G227" s="58">
        <v>938.09</v>
      </c>
      <c r="H227" s="56">
        <v>0</v>
      </c>
      <c r="I227" s="58">
        <f t="shared" si="21"/>
        <v>38.090000000000032</v>
      </c>
      <c r="J227" s="14">
        <f t="shared" si="22"/>
        <v>4.2322222222222265</v>
      </c>
      <c r="K227" s="56">
        <v>2.2200000000000002</v>
      </c>
      <c r="L227" s="15">
        <f t="shared" si="23"/>
        <v>0</v>
      </c>
      <c r="M227" s="16">
        <f t="shared" si="24"/>
        <v>248.68440000000001</v>
      </c>
      <c r="N227" s="17">
        <f t="shared" si="25"/>
        <v>2.2200000000000002</v>
      </c>
      <c r="O227" s="17">
        <f t="shared" si="26"/>
        <v>1998.0000000000002</v>
      </c>
      <c r="P227" s="18">
        <f t="shared" si="27"/>
        <v>223815.96000000002</v>
      </c>
      <c r="R227" s="66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>
      <c r="A228" s="54">
        <v>45629</v>
      </c>
      <c r="B228" s="10">
        <v>45630</v>
      </c>
      <c r="C228" s="11">
        <f>VLOOKUP(B:B,'Курс валют'!A:D,4,0)</f>
        <v>112.02</v>
      </c>
      <c r="D228" s="58">
        <v>856</v>
      </c>
      <c r="E228" s="64" t="s">
        <v>15</v>
      </c>
      <c r="F228" s="58">
        <v>4400</v>
      </c>
      <c r="G228" s="58">
        <v>4425</v>
      </c>
      <c r="H228" s="56">
        <v>2015</v>
      </c>
      <c r="I228" s="58">
        <f t="shared" si="21"/>
        <v>25</v>
      </c>
      <c r="J228" s="14">
        <f t="shared" si="22"/>
        <v>0.56818181818181823</v>
      </c>
      <c r="K228" s="56">
        <v>3.89</v>
      </c>
      <c r="L228" s="15">
        <f t="shared" si="23"/>
        <v>45.795454545454547</v>
      </c>
      <c r="M228" s="16">
        <f t="shared" si="24"/>
        <v>279.80559272727271</v>
      </c>
      <c r="N228" s="17">
        <f t="shared" si="25"/>
        <v>2.4978181818181819</v>
      </c>
      <c r="O228" s="17">
        <f t="shared" si="26"/>
        <v>10990.4</v>
      </c>
      <c r="P228" s="18">
        <f t="shared" si="27"/>
        <v>1231144.608</v>
      </c>
      <c r="R228" s="66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>
      <c r="A229" s="54">
        <v>45629</v>
      </c>
      <c r="B229" s="10">
        <v>45630</v>
      </c>
      <c r="C229" s="11">
        <f>VLOOKUP(B:B,'Курс валют'!A:D,4,0)</f>
        <v>112.02</v>
      </c>
      <c r="D229" s="58">
        <v>858</v>
      </c>
      <c r="E229" s="58" t="s">
        <v>83</v>
      </c>
      <c r="F229" s="58">
        <v>220</v>
      </c>
      <c r="G229" s="58">
        <v>225</v>
      </c>
      <c r="H229" s="56">
        <v>75</v>
      </c>
      <c r="I229" s="58">
        <f t="shared" si="21"/>
        <v>5</v>
      </c>
      <c r="J229" s="14">
        <f t="shared" si="22"/>
        <v>2.2727272727272729</v>
      </c>
      <c r="K229" s="56">
        <v>3.81</v>
      </c>
      <c r="L229" s="15">
        <f t="shared" si="23"/>
        <v>34.090909090909086</v>
      </c>
      <c r="M229" s="16">
        <f t="shared" si="24"/>
        <v>310.70274545454549</v>
      </c>
      <c r="N229" s="17">
        <f t="shared" si="25"/>
        <v>2.7736363636363639</v>
      </c>
      <c r="O229" s="17">
        <f t="shared" si="26"/>
        <v>610.20000000000005</v>
      </c>
      <c r="P229" s="18">
        <f t="shared" si="27"/>
        <v>68354.604000000007</v>
      </c>
      <c r="R229" s="65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>
      <c r="A230" s="54">
        <v>45630</v>
      </c>
      <c r="B230" s="10">
        <v>45631</v>
      </c>
      <c r="C230" s="11">
        <f>VLOOKUP(B:B,'Курс валют'!A:D,4,0)</f>
        <v>110.2041</v>
      </c>
      <c r="D230" s="58">
        <v>857</v>
      </c>
      <c r="E230" s="50" t="s">
        <v>65</v>
      </c>
      <c r="F230" s="58">
        <v>16000</v>
      </c>
      <c r="G230" s="58">
        <v>16080</v>
      </c>
      <c r="H230" s="56">
        <v>1527</v>
      </c>
      <c r="I230" s="58">
        <f t="shared" si="21"/>
        <v>80</v>
      </c>
      <c r="J230" s="14">
        <f t="shared" si="22"/>
        <v>0.5</v>
      </c>
      <c r="K230" s="56">
        <v>2.2999999999999998</v>
      </c>
      <c r="L230" s="15">
        <f t="shared" si="23"/>
        <v>9.5437499999999993</v>
      </c>
      <c r="M230" s="16">
        <f t="shared" si="24"/>
        <v>221.49591446700001</v>
      </c>
      <c r="N230" s="17">
        <f t="shared" si="25"/>
        <v>2.0098699999999998</v>
      </c>
      <c r="O230" s="17">
        <f t="shared" si="26"/>
        <v>32157.919999999998</v>
      </c>
      <c r="P230" s="18">
        <f t="shared" si="27"/>
        <v>3543934.6314719999</v>
      </c>
      <c r="R230" s="66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>
      <c r="A231" s="54">
        <v>45630</v>
      </c>
      <c r="B231" s="10">
        <v>45631</v>
      </c>
      <c r="C231" s="11">
        <f>VLOOKUP(B:B,'Курс валют'!A:D,4,0)</f>
        <v>110.2041</v>
      </c>
      <c r="D231" s="58">
        <v>859</v>
      </c>
      <c r="E231" s="50" t="s">
        <v>64</v>
      </c>
      <c r="F231" s="58">
        <v>900</v>
      </c>
      <c r="G231" s="58">
        <v>937.09</v>
      </c>
      <c r="H231" s="56">
        <v>0</v>
      </c>
      <c r="I231" s="58">
        <f t="shared" si="21"/>
        <v>37.090000000000032</v>
      </c>
      <c r="J231" s="14">
        <f t="shared" si="22"/>
        <v>4.1211111111111149</v>
      </c>
      <c r="K231" s="56">
        <v>2.2200000000000002</v>
      </c>
      <c r="L231" s="15">
        <f t="shared" si="23"/>
        <v>0</v>
      </c>
      <c r="M231" s="16">
        <f t="shared" si="24"/>
        <v>244.65310200000002</v>
      </c>
      <c r="N231" s="17">
        <f t="shared" si="25"/>
        <v>2.2200000000000002</v>
      </c>
      <c r="O231" s="17">
        <f t="shared" si="26"/>
        <v>1998.0000000000002</v>
      </c>
      <c r="P231" s="18">
        <f t="shared" si="27"/>
        <v>220187.79180000001</v>
      </c>
      <c r="R231" s="65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>
      <c r="A232" s="54">
        <v>45631</v>
      </c>
      <c r="B232" s="10">
        <v>45632</v>
      </c>
      <c r="C232" s="11">
        <f>VLOOKUP(B:B,'Курс валют'!A:D,4,0)</f>
        <v>109.78019999999999</v>
      </c>
      <c r="D232" s="58">
        <v>861</v>
      </c>
      <c r="E232" s="50" t="s">
        <v>15</v>
      </c>
      <c r="F232" s="58">
        <v>8800</v>
      </c>
      <c r="G232" s="58">
        <v>8833</v>
      </c>
      <c r="H232" s="56">
        <v>4033</v>
      </c>
      <c r="I232" s="58">
        <f t="shared" si="21"/>
        <v>33</v>
      </c>
      <c r="J232" s="14">
        <f t="shared" si="22"/>
        <v>0.375</v>
      </c>
      <c r="K232" s="56">
        <v>3.9</v>
      </c>
      <c r="L232" s="15">
        <f t="shared" si="23"/>
        <v>45.829545454545453</v>
      </c>
      <c r="M232" s="16">
        <f t="shared" si="24"/>
        <v>275.19500935636358</v>
      </c>
      <c r="N232" s="17">
        <f t="shared" si="25"/>
        <v>2.506781818181818</v>
      </c>
      <c r="O232" s="17">
        <f t="shared" si="26"/>
        <v>22059.679999999997</v>
      </c>
      <c r="P232" s="18">
        <f t="shared" si="27"/>
        <v>2421716.0823359997</v>
      </c>
      <c r="R232" s="65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>
      <c r="A233" s="54">
        <v>45632</v>
      </c>
      <c r="B233" s="10">
        <v>45635</v>
      </c>
      <c r="C233" s="11">
        <f>VLOOKUP(B:B,'Курс валют'!A:D,4,0)</f>
        <v>106.304</v>
      </c>
      <c r="D233" s="58">
        <v>863</v>
      </c>
      <c r="E233" s="50" t="s">
        <v>15</v>
      </c>
      <c r="F233" s="58">
        <v>8800</v>
      </c>
      <c r="G233" s="58">
        <v>8823</v>
      </c>
      <c r="H233" s="56">
        <v>4023</v>
      </c>
      <c r="I233" s="58">
        <f t="shared" si="21"/>
        <v>23</v>
      </c>
      <c r="J233" s="14">
        <f t="shared" si="22"/>
        <v>0.26136363636363635</v>
      </c>
      <c r="K233" s="56">
        <v>3.92</v>
      </c>
      <c r="L233" s="15">
        <f t="shared" si="23"/>
        <v>45.715909090909093</v>
      </c>
      <c r="M233" s="16">
        <f t="shared" si="24"/>
        <v>268.97424639999997</v>
      </c>
      <c r="N233" s="17">
        <f t="shared" si="25"/>
        <v>2.5302363636363636</v>
      </c>
      <c r="O233" s="17">
        <f t="shared" si="26"/>
        <v>22266.079999999998</v>
      </c>
      <c r="P233" s="18">
        <f t="shared" si="27"/>
        <v>2366973.3683199999</v>
      </c>
      <c r="R233" s="66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>
      <c r="A234" s="54">
        <v>45632</v>
      </c>
      <c r="B234" s="10">
        <v>45635</v>
      </c>
      <c r="C234" s="11">
        <f>VLOOKUP(B:B,'Курс валют'!A:D,4,0)</f>
        <v>106.304</v>
      </c>
      <c r="D234" s="58">
        <v>860</v>
      </c>
      <c r="E234" s="50" t="s">
        <v>84</v>
      </c>
      <c r="F234" s="58">
        <v>900</v>
      </c>
      <c r="G234" s="58">
        <v>933.20299999999997</v>
      </c>
      <c r="H234" s="49">
        <v>0</v>
      </c>
      <c r="I234" s="58">
        <f t="shared" si="21"/>
        <v>33.202999999999975</v>
      </c>
      <c r="J234" s="14">
        <f t="shared" si="22"/>
        <v>3.6892222222222193</v>
      </c>
      <c r="K234" s="56">
        <v>2.1800000000000002</v>
      </c>
      <c r="L234" s="15">
        <f t="shared" si="23"/>
        <v>0</v>
      </c>
      <c r="M234" s="16">
        <f t="shared" si="24"/>
        <v>231.74272000000005</v>
      </c>
      <c r="N234" s="17">
        <f t="shared" si="25"/>
        <v>2.1800000000000002</v>
      </c>
      <c r="O234" s="17">
        <f t="shared" si="26"/>
        <v>1962.0000000000002</v>
      </c>
      <c r="P234" s="18">
        <f t="shared" si="27"/>
        <v>208568.44800000003</v>
      </c>
      <c r="R234" s="65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>
      <c r="A235" s="54">
        <v>45632</v>
      </c>
      <c r="B235" s="10">
        <v>45635</v>
      </c>
      <c r="C235" s="11">
        <f>VLOOKUP(B:B,'Курс валют'!A:D,4,0)</f>
        <v>106.304</v>
      </c>
      <c r="D235" s="58">
        <v>862</v>
      </c>
      <c r="E235" s="50" t="s">
        <v>66</v>
      </c>
      <c r="F235" s="58">
        <v>16000</v>
      </c>
      <c r="G235" s="58">
        <v>16029</v>
      </c>
      <c r="H235" s="56">
        <v>1517</v>
      </c>
      <c r="I235" s="58">
        <f t="shared" si="21"/>
        <v>29</v>
      </c>
      <c r="J235" s="14">
        <f t="shared" si="22"/>
        <v>0.18125000000000002</v>
      </c>
      <c r="K235" s="56">
        <v>2.27</v>
      </c>
      <c r="L235" s="15">
        <f t="shared" si="23"/>
        <v>9.4812499999999993</v>
      </c>
      <c r="M235" s="16">
        <f t="shared" si="24"/>
        <v>210.67007808</v>
      </c>
      <c r="N235" s="17">
        <f t="shared" si="25"/>
        <v>1.98177</v>
      </c>
      <c r="O235" s="17">
        <f t="shared" si="26"/>
        <v>31708.32</v>
      </c>
      <c r="P235" s="18">
        <f t="shared" si="27"/>
        <v>3370721.2492800001</v>
      </c>
      <c r="R235" s="65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>
      <c r="A236" s="54">
        <v>45632</v>
      </c>
      <c r="B236" s="10">
        <v>45635</v>
      </c>
      <c r="C236" s="11">
        <f>VLOOKUP(B:B,'Курс валют'!A:D,4,0)</f>
        <v>106.304</v>
      </c>
      <c r="D236" s="58">
        <v>864</v>
      </c>
      <c r="E236" s="50" t="s">
        <v>66</v>
      </c>
      <c r="F236" s="58">
        <v>8000</v>
      </c>
      <c r="G236" s="58">
        <v>8017</v>
      </c>
      <c r="H236" s="56">
        <v>760</v>
      </c>
      <c r="I236" s="58">
        <f t="shared" si="21"/>
        <v>17</v>
      </c>
      <c r="J236" s="14">
        <f t="shared" si="22"/>
        <v>0.21250000000000002</v>
      </c>
      <c r="K236" s="56">
        <v>2.27</v>
      </c>
      <c r="L236" s="15">
        <f t="shared" si="23"/>
        <v>9.5</v>
      </c>
      <c r="M236" s="16">
        <f t="shared" si="24"/>
        <v>210.60948480000002</v>
      </c>
      <c r="N236" s="17">
        <f t="shared" si="25"/>
        <v>1.9812000000000001</v>
      </c>
      <c r="O236" s="17">
        <f t="shared" si="26"/>
        <v>15849.6</v>
      </c>
      <c r="P236" s="18">
        <f t="shared" si="27"/>
        <v>1684875.8784</v>
      </c>
      <c r="R236" s="66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>
      <c r="A237" s="54">
        <v>45632</v>
      </c>
      <c r="B237" s="10">
        <v>45635</v>
      </c>
      <c r="C237" s="11">
        <f>VLOOKUP(B:B,'Курс валют'!A:D,4,0)</f>
        <v>106.304</v>
      </c>
      <c r="D237" s="58">
        <v>865</v>
      </c>
      <c r="E237" s="64" t="s">
        <v>68</v>
      </c>
      <c r="F237" s="58">
        <v>8000</v>
      </c>
      <c r="G237" s="58">
        <v>8024</v>
      </c>
      <c r="H237" s="56">
        <v>760</v>
      </c>
      <c r="I237" s="58">
        <f t="shared" si="21"/>
        <v>24</v>
      </c>
      <c r="J237" s="14">
        <f t="shared" si="22"/>
        <v>0.3</v>
      </c>
      <c r="K237" s="56">
        <v>2.31</v>
      </c>
      <c r="L237" s="15">
        <f t="shared" si="23"/>
        <v>9.5</v>
      </c>
      <c r="M237" s="16">
        <f t="shared" si="24"/>
        <v>214.86164479999999</v>
      </c>
      <c r="N237" s="17">
        <f t="shared" si="25"/>
        <v>2.0211999999999999</v>
      </c>
      <c r="O237" s="17">
        <f t="shared" si="26"/>
        <v>16169.599999999999</v>
      </c>
      <c r="P237" s="18">
        <f t="shared" si="27"/>
        <v>1718893.1583999998</v>
      </c>
      <c r="R237" s="65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>
      <c r="A238" s="54">
        <v>45635</v>
      </c>
      <c r="B238" s="10">
        <v>45636</v>
      </c>
      <c r="C238" s="11">
        <f>VLOOKUP(B:B,'Курс валют'!A:D,4,0)</f>
        <v>105.0996</v>
      </c>
      <c r="D238" s="58">
        <v>866</v>
      </c>
      <c r="E238" s="64" t="s">
        <v>15</v>
      </c>
      <c r="F238" s="58">
        <v>8800</v>
      </c>
      <c r="G238" s="58">
        <v>8823</v>
      </c>
      <c r="H238" s="56">
        <v>4023</v>
      </c>
      <c r="I238" s="58">
        <f t="shared" si="21"/>
        <v>23</v>
      </c>
      <c r="J238" s="14">
        <f t="shared" si="22"/>
        <v>0.26136363636363635</v>
      </c>
      <c r="K238" s="56">
        <v>3.89</v>
      </c>
      <c r="L238" s="15">
        <f t="shared" si="23"/>
        <v>45.715909090909093</v>
      </c>
      <c r="M238" s="16">
        <f t="shared" si="24"/>
        <v>262.77384172363634</v>
      </c>
      <c r="N238" s="17">
        <f t="shared" si="25"/>
        <v>2.5002363636363638</v>
      </c>
      <c r="O238" s="17">
        <f t="shared" si="26"/>
        <v>22002.080000000002</v>
      </c>
      <c r="P238" s="18">
        <f t="shared" si="27"/>
        <v>2312409.8071679999</v>
      </c>
      <c r="R238" s="66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>
      <c r="A239" s="54">
        <v>45606</v>
      </c>
      <c r="B239" s="10">
        <v>45637</v>
      </c>
      <c r="C239" s="11">
        <f>VLOOKUP(B:B,'Курс валют'!A:D,4,0)</f>
        <v>106.2024</v>
      </c>
      <c r="D239" s="58">
        <v>867</v>
      </c>
      <c r="E239" s="50" t="s">
        <v>2113</v>
      </c>
      <c r="F239" s="58">
        <v>1000</v>
      </c>
      <c r="G239" s="58">
        <v>1045.3</v>
      </c>
      <c r="H239" s="56">
        <v>0</v>
      </c>
      <c r="I239" s="58">
        <f t="shared" si="21"/>
        <v>45.299999999999955</v>
      </c>
      <c r="J239" s="14">
        <f t="shared" si="22"/>
        <v>4.5299999999999949</v>
      </c>
      <c r="K239" s="56">
        <v>2.36</v>
      </c>
      <c r="L239" s="15">
        <f t="shared" si="23"/>
        <v>0</v>
      </c>
      <c r="M239" s="16">
        <f t="shared" si="24"/>
        <v>250.637664</v>
      </c>
      <c r="N239" s="17">
        <f t="shared" si="25"/>
        <v>2.36</v>
      </c>
      <c r="O239" s="17">
        <f t="shared" si="26"/>
        <v>2360</v>
      </c>
      <c r="P239" s="18">
        <f t="shared" si="27"/>
        <v>250637.66399999999</v>
      </c>
      <c r="R239" s="66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>
      <c r="A240" s="54">
        <v>45606</v>
      </c>
      <c r="B240" s="10">
        <v>45637</v>
      </c>
      <c r="C240" s="11">
        <f>VLOOKUP(B:B,'Курс валют'!A:D,4,0)</f>
        <v>106.2024</v>
      </c>
      <c r="D240" s="58">
        <v>868</v>
      </c>
      <c r="E240" s="50" t="s">
        <v>15</v>
      </c>
      <c r="F240" s="58">
        <v>8800</v>
      </c>
      <c r="G240" s="58">
        <v>8845</v>
      </c>
      <c r="H240" s="56">
        <v>4020</v>
      </c>
      <c r="I240" s="58">
        <f t="shared" si="21"/>
        <v>45</v>
      </c>
      <c r="J240" s="14">
        <f t="shared" si="22"/>
        <v>0.51136363636363635</v>
      </c>
      <c r="K240" s="56">
        <v>3.64</v>
      </c>
      <c r="L240" s="15">
        <f t="shared" si="23"/>
        <v>45.681818181818187</v>
      </c>
      <c r="M240" s="16">
        <f t="shared" si="24"/>
        <v>239.09056669090913</v>
      </c>
      <c r="N240" s="17">
        <f t="shared" si="25"/>
        <v>2.2512727272727275</v>
      </c>
      <c r="O240" s="17">
        <f t="shared" si="26"/>
        <v>19811.2</v>
      </c>
      <c r="P240" s="18">
        <f t="shared" si="27"/>
        <v>2103996.9868800002</v>
      </c>
      <c r="R240" s="66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>
      <c r="A241" s="54">
        <v>45637</v>
      </c>
      <c r="B241" s="10">
        <v>45638</v>
      </c>
      <c r="C241" s="11">
        <f>VLOOKUP(B:B,'Курс валют'!A:D,4,0)</f>
        <v>108.55880000000001</v>
      </c>
      <c r="D241" s="58">
        <v>870</v>
      </c>
      <c r="E241" s="50" t="s">
        <v>85</v>
      </c>
      <c r="F241" s="58">
        <v>7568.4</v>
      </c>
      <c r="G241" s="58">
        <v>7568.4</v>
      </c>
      <c r="H241" s="56">
        <v>0</v>
      </c>
      <c r="I241" s="58">
        <f t="shared" si="21"/>
        <v>0</v>
      </c>
      <c r="J241" s="14">
        <f t="shared" si="22"/>
        <v>0</v>
      </c>
      <c r="K241" s="56">
        <v>2.4900000000000002</v>
      </c>
      <c r="L241" s="15">
        <f t="shared" si="23"/>
        <v>0</v>
      </c>
      <c r="M241" s="16">
        <f t="shared" si="24"/>
        <v>270.31141200000002</v>
      </c>
      <c r="N241" s="17">
        <f t="shared" si="25"/>
        <v>2.4899999999999998</v>
      </c>
      <c r="O241" s="17">
        <f t="shared" si="26"/>
        <v>18845.315999999999</v>
      </c>
      <c r="P241" s="18">
        <f t="shared" si="27"/>
        <v>2045824.8905807999</v>
      </c>
      <c r="R241" s="66" t="s">
        <v>2469</v>
      </c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>
      <c r="A242" s="54">
        <v>45637</v>
      </c>
      <c r="B242" s="10">
        <v>45638</v>
      </c>
      <c r="C242" s="11">
        <f>VLOOKUP(B:B,'Курс валют'!A:D,4,0)</f>
        <v>108.55880000000001</v>
      </c>
      <c r="D242" s="58">
        <v>869</v>
      </c>
      <c r="E242" s="50" t="s">
        <v>2113</v>
      </c>
      <c r="F242" s="58">
        <v>1000</v>
      </c>
      <c r="G242" s="58">
        <v>1047.3</v>
      </c>
      <c r="H242" s="56">
        <v>0</v>
      </c>
      <c r="I242" s="58">
        <f t="shared" si="21"/>
        <v>47.299999999999955</v>
      </c>
      <c r="J242" s="14">
        <f t="shared" si="22"/>
        <v>4.7299999999999951</v>
      </c>
      <c r="K242" s="56">
        <v>2.3199999999999998</v>
      </c>
      <c r="L242" s="15">
        <f t="shared" si="23"/>
        <v>0</v>
      </c>
      <c r="M242" s="16">
        <f t="shared" si="24"/>
        <v>251.856416</v>
      </c>
      <c r="N242" s="17">
        <f t="shared" si="25"/>
        <v>2.3199999999999998</v>
      </c>
      <c r="O242" s="17">
        <f t="shared" si="26"/>
        <v>2320</v>
      </c>
      <c r="P242" s="18">
        <f t="shared" si="27"/>
        <v>251856.416</v>
      </c>
      <c r="R242" s="66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>
      <c r="A243" s="54">
        <v>45637</v>
      </c>
      <c r="B243" s="10">
        <v>45638</v>
      </c>
      <c r="C243" s="11">
        <f>VLOOKUP(B:B,'Курс валют'!A:D,4,0)</f>
        <v>108.55880000000001</v>
      </c>
      <c r="D243" s="58">
        <v>871</v>
      </c>
      <c r="E243" s="50" t="s">
        <v>15</v>
      </c>
      <c r="F243" s="58">
        <v>8800</v>
      </c>
      <c r="G243" s="58">
        <v>8842</v>
      </c>
      <c r="H243" s="56">
        <v>4017</v>
      </c>
      <c r="I243" s="58">
        <f t="shared" si="21"/>
        <v>42</v>
      </c>
      <c r="J243" s="14">
        <f t="shared" si="22"/>
        <v>0.47727272727272729</v>
      </c>
      <c r="K243" s="56">
        <v>3.64</v>
      </c>
      <c r="L243" s="15">
        <f t="shared" si="23"/>
        <v>45.647727272727273</v>
      </c>
      <c r="M243" s="16">
        <f t="shared" si="24"/>
        <v>244.50797213818186</v>
      </c>
      <c r="N243" s="17">
        <f t="shared" si="25"/>
        <v>2.2523090909090908</v>
      </c>
      <c r="O243" s="17">
        <f t="shared" si="26"/>
        <v>19820.32</v>
      </c>
      <c r="P243" s="18">
        <f t="shared" si="27"/>
        <v>2151670.1548160003</v>
      </c>
      <c r="R243" s="66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>
      <c r="A244" s="54">
        <v>45637</v>
      </c>
      <c r="B244" s="10">
        <v>45638</v>
      </c>
      <c r="C244" s="11">
        <f>VLOOKUP(B:B,'Курс валют'!A:D,4,0)</f>
        <v>108.55880000000001</v>
      </c>
      <c r="D244" s="58">
        <v>872</v>
      </c>
      <c r="E244" s="64" t="s">
        <v>2113</v>
      </c>
      <c r="F244" s="63">
        <v>1000</v>
      </c>
      <c r="G244" s="63">
        <v>1045.2</v>
      </c>
      <c r="H244" s="49">
        <v>0</v>
      </c>
      <c r="I244" s="58">
        <f t="shared" si="21"/>
        <v>45.200000000000045</v>
      </c>
      <c r="J244" s="14">
        <f t="shared" si="22"/>
        <v>4.5200000000000049</v>
      </c>
      <c r="K244" s="49">
        <v>2.3199999999999998</v>
      </c>
      <c r="L244" s="15">
        <f t="shared" si="23"/>
        <v>0</v>
      </c>
      <c r="M244" s="16">
        <f t="shared" si="24"/>
        <v>251.856416</v>
      </c>
      <c r="N244" s="17">
        <f t="shared" si="25"/>
        <v>2.3199999999999998</v>
      </c>
      <c r="O244" s="17">
        <f t="shared" si="26"/>
        <v>2320</v>
      </c>
      <c r="P244" s="18">
        <f t="shared" si="27"/>
        <v>251856.416</v>
      </c>
      <c r="R244" s="66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>
      <c r="A245" s="54">
        <v>45638</v>
      </c>
      <c r="B245" s="10">
        <v>45639</v>
      </c>
      <c r="C245" s="11">
        <f>VLOOKUP(B:B,'Курс валют'!A:D,4,0)</f>
        <v>110.4804</v>
      </c>
      <c r="D245" s="58">
        <v>873</v>
      </c>
      <c r="E245" s="64" t="s">
        <v>15</v>
      </c>
      <c r="F245" s="58">
        <v>6600</v>
      </c>
      <c r="G245" s="58">
        <v>6645</v>
      </c>
      <c r="H245" s="56">
        <v>3029</v>
      </c>
      <c r="I245" s="58">
        <f t="shared" si="21"/>
        <v>45</v>
      </c>
      <c r="J245" s="14">
        <f t="shared" si="22"/>
        <v>0.68181818181818177</v>
      </c>
      <c r="K245" s="56">
        <v>3.65</v>
      </c>
      <c r="L245" s="15">
        <f t="shared" si="23"/>
        <v>45.893939393939391</v>
      </c>
      <c r="M245" s="16">
        <f t="shared" si="24"/>
        <v>249.11388423272729</v>
      </c>
      <c r="N245" s="17">
        <f t="shared" si="25"/>
        <v>2.2548242424242426</v>
      </c>
      <c r="O245" s="17">
        <f t="shared" si="26"/>
        <v>14881.840000000002</v>
      </c>
      <c r="P245" s="18">
        <f t="shared" si="27"/>
        <v>1644151.6359360002</v>
      </c>
      <c r="R245" s="66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>
      <c r="A246" s="54">
        <v>45638</v>
      </c>
      <c r="B246" s="10">
        <v>45639</v>
      </c>
      <c r="C246" s="11">
        <f>VLOOKUP(B:B,'Курс валют'!A:D,4,0)</f>
        <v>110.4804</v>
      </c>
      <c r="D246" s="58">
        <v>875</v>
      </c>
      <c r="E246" s="64" t="s">
        <v>68</v>
      </c>
      <c r="F246" s="58">
        <v>800</v>
      </c>
      <c r="G246" s="57">
        <v>802</v>
      </c>
      <c r="H246" s="56">
        <v>75</v>
      </c>
      <c r="I246" s="58">
        <f t="shared" si="21"/>
        <v>2</v>
      </c>
      <c r="J246" s="14">
        <f t="shared" si="22"/>
        <v>0.25</v>
      </c>
      <c r="K246" s="56">
        <v>2.2999999999999998</v>
      </c>
      <c r="L246" s="15">
        <f t="shared" si="23"/>
        <v>9.375</v>
      </c>
      <c r="M246" s="16">
        <f t="shared" si="24"/>
        <v>222.61800599999998</v>
      </c>
      <c r="N246" s="17">
        <f t="shared" si="25"/>
        <v>2.0149999999999997</v>
      </c>
      <c r="O246" s="17">
        <f t="shared" si="26"/>
        <v>1611.9999999999998</v>
      </c>
      <c r="P246" s="18">
        <f t="shared" si="27"/>
        <v>178094.40479999999</v>
      </c>
      <c r="R246" s="66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>
      <c r="A247" s="54">
        <v>45637</v>
      </c>
      <c r="B247" s="10">
        <v>45638</v>
      </c>
      <c r="C247" s="11">
        <f>VLOOKUP(B:B,'Курс валют'!A:D,4,0)</f>
        <v>108.55880000000001</v>
      </c>
      <c r="D247" s="58">
        <v>874</v>
      </c>
      <c r="E247" s="50" t="s">
        <v>2113</v>
      </c>
      <c r="F247" s="58">
        <v>1000</v>
      </c>
      <c r="G247" s="57">
        <v>1042.3</v>
      </c>
      <c r="H247" s="56">
        <v>0</v>
      </c>
      <c r="I247" s="58">
        <f t="shared" si="21"/>
        <v>42.299999999999955</v>
      </c>
      <c r="J247" s="14">
        <f t="shared" si="22"/>
        <v>4.229999999999996</v>
      </c>
      <c r="K247" s="56">
        <v>2.36</v>
      </c>
      <c r="L247" s="15">
        <f t="shared" si="23"/>
        <v>0</v>
      </c>
      <c r="M247" s="16">
        <f t="shared" si="24"/>
        <v>256.19876800000003</v>
      </c>
      <c r="N247" s="17">
        <f t="shared" si="25"/>
        <v>2.36</v>
      </c>
      <c r="O247" s="17">
        <f t="shared" si="26"/>
        <v>2360</v>
      </c>
      <c r="P247" s="18">
        <f t="shared" si="27"/>
        <v>256198.76800000001</v>
      </c>
      <c r="R247" s="65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>
      <c r="A248" s="54">
        <v>45638</v>
      </c>
      <c r="B248" s="10">
        <v>45639</v>
      </c>
      <c r="C248" s="11">
        <f>VLOOKUP(B:B,'Курс валют'!A:D,4,0)</f>
        <v>110.4804</v>
      </c>
      <c r="D248" s="58">
        <v>876</v>
      </c>
      <c r="E248" s="50" t="s">
        <v>15</v>
      </c>
      <c r="F248" s="58">
        <v>8800</v>
      </c>
      <c r="G248" s="57">
        <v>8844</v>
      </c>
      <c r="H248" s="56">
        <v>4025</v>
      </c>
      <c r="I248" s="58">
        <f t="shared" si="21"/>
        <v>44</v>
      </c>
      <c r="J248" s="14">
        <f t="shared" si="22"/>
        <v>0.5</v>
      </c>
      <c r="K248" s="56">
        <v>3.64</v>
      </c>
      <c r="L248" s="15">
        <f t="shared" si="23"/>
        <v>45.738636363636367</v>
      </c>
      <c r="M248" s="16">
        <f t="shared" si="24"/>
        <v>248.53068163636362</v>
      </c>
      <c r="N248" s="17">
        <f t="shared" si="25"/>
        <v>2.2495454545454545</v>
      </c>
      <c r="O248" s="17">
        <f t="shared" si="26"/>
        <v>19796</v>
      </c>
      <c r="P248" s="18">
        <f t="shared" si="27"/>
        <v>2187069.9983999999</v>
      </c>
      <c r="R248" s="65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>
      <c r="A249" s="54">
        <v>45638</v>
      </c>
      <c r="B249" s="10">
        <v>45639</v>
      </c>
      <c r="C249" s="11">
        <f>VLOOKUP(B:B,'Курс валют'!A:D,4,0)</f>
        <v>110.4804</v>
      </c>
      <c r="D249" s="58">
        <v>877</v>
      </c>
      <c r="E249" s="50" t="s">
        <v>2113</v>
      </c>
      <c r="F249" s="58">
        <v>1000</v>
      </c>
      <c r="G249" s="57">
        <v>1044.3</v>
      </c>
      <c r="H249" s="56">
        <v>0</v>
      </c>
      <c r="I249" s="58">
        <f t="shared" si="21"/>
        <v>44.299999999999955</v>
      </c>
      <c r="J249" s="14">
        <f t="shared" si="22"/>
        <v>4.4299999999999962</v>
      </c>
      <c r="K249" s="56">
        <v>2.4</v>
      </c>
      <c r="L249" s="15">
        <f t="shared" si="23"/>
        <v>0</v>
      </c>
      <c r="M249" s="16">
        <f t="shared" si="24"/>
        <v>265.15296000000001</v>
      </c>
      <c r="N249" s="17">
        <f t="shared" si="25"/>
        <v>2.4</v>
      </c>
      <c r="O249" s="17">
        <f t="shared" si="26"/>
        <v>2400</v>
      </c>
      <c r="P249" s="18">
        <f t="shared" si="27"/>
        <v>265152.96000000002</v>
      </c>
      <c r="R249" s="65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>
      <c r="A250" s="54">
        <v>45639</v>
      </c>
      <c r="B250" s="10">
        <v>45640</v>
      </c>
      <c r="C250" s="11">
        <f>VLOOKUP(B:B,'Курс валют'!A:D,4,0)</f>
        <v>109.01260000000001</v>
      </c>
      <c r="D250" s="58">
        <v>879</v>
      </c>
      <c r="E250" s="50" t="s">
        <v>84</v>
      </c>
      <c r="F250" s="58">
        <v>900</v>
      </c>
      <c r="G250" s="57">
        <v>944.20299999999997</v>
      </c>
      <c r="H250" s="56">
        <v>0</v>
      </c>
      <c r="I250" s="58">
        <f t="shared" si="21"/>
        <v>44.202999999999975</v>
      </c>
      <c r="J250" s="14">
        <f t="shared" si="22"/>
        <v>4.9114444444444416</v>
      </c>
      <c r="K250" s="56">
        <v>2.2200000000000002</v>
      </c>
      <c r="L250" s="15">
        <f t="shared" si="23"/>
        <v>0</v>
      </c>
      <c r="M250" s="16">
        <f t="shared" si="24"/>
        <v>242.00797200000005</v>
      </c>
      <c r="N250" s="17">
        <f t="shared" si="25"/>
        <v>2.2200000000000002</v>
      </c>
      <c r="O250" s="17">
        <f t="shared" si="26"/>
        <v>1998.0000000000002</v>
      </c>
      <c r="P250" s="18">
        <f t="shared" si="27"/>
        <v>217807.17480000004</v>
      </c>
      <c r="R250" s="65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>
      <c r="A251" s="54">
        <v>45639</v>
      </c>
      <c r="B251" s="10">
        <v>45640</v>
      </c>
      <c r="C251" s="11">
        <f>VLOOKUP(B:B,'Курс валют'!A:D,4,0)</f>
        <v>109.01260000000001</v>
      </c>
      <c r="D251" s="58">
        <v>880</v>
      </c>
      <c r="E251" s="50" t="s">
        <v>84</v>
      </c>
      <c r="F251" s="58">
        <v>900</v>
      </c>
      <c r="G251" s="57">
        <v>939.20299999999997</v>
      </c>
      <c r="H251" s="56">
        <v>0</v>
      </c>
      <c r="I251" s="58">
        <f t="shared" si="21"/>
        <v>39.202999999999975</v>
      </c>
      <c r="J251" s="14">
        <f t="shared" si="22"/>
        <v>4.3558888888888863</v>
      </c>
      <c r="K251" s="56">
        <v>2.2200000000000002</v>
      </c>
      <c r="L251" s="15">
        <f t="shared" si="23"/>
        <v>0</v>
      </c>
      <c r="M251" s="16">
        <f t="shared" si="24"/>
        <v>242.00797200000005</v>
      </c>
      <c r="N251" s="17">
        <f t="shared" si="25"/>
        <v>2.2200000000000002</v>
      </c>
      <c r="O251" s="17">
        <f t="shared" si="26"/>
        <v>1998.0000000000002</v>
      </c>
      <c r="P251" s="18">
        <f t="shared" si="27"/>
        <v>217807.17480000004</v>
      </c>
      <c r="R251" s="66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>
      <c r="A252" s="137">
        <v>45639</v>
      </c>
      <c r="B252" s="67">
        <v>45640</v>
      </c>
      <c r="C252" s="138">
        <f>VLOOKUP(B:B,'Курс валют'!A:D,4,0)</f>
        <v>109.01260000000001</v>
      </c>
      <c r="D252" s="47">
        <v>878</v>
      </c>
      <c r="E252" s="139" t="s">
        <v>15</v>
      </c>
      <c r="F252" s="47">
        <v>3300</v>
      </c>
      <c r="G252" s="47">
        <v>3320</v>
      </c>
      <c r="H252" s="140">
        <f>1450+60</f>
        <v>1510</v>
      </c>
      <c r="I252" s="47">
        <f t="shared" si="21"/>
        <v>20</v>
      </c>
      <c r="J252" s="127">
        <f t="shared" si="22"/>
        <v>0.60606060606060608</v>
      </c>
      <c r="K252" s="140">
        <v>3.62</v>
      </c>
      <c r="L252" s="141">
        <f t="shared" si="23"/>
        <v>45.757575757575758</v>
      </c>
      <c r="M252" s="142">
        <f t="shared" si="24"/>
        <v>242.98578198787882</v>
      </c>
      <c r="N252" s="143">
        <f t="shared" si="25"/>
        <v>2.2289696969696973</v>
      </c>
      <c r="O252" s="143">
        <f t="shared" si="26"/>
        <v>7355.6000000000013</v>
      </c>
      <c r="P252" s="144">
        <f t="shared" si="27"/>
        <v>801853.08056000015</v>
      </c>
      <c r="R252" s="147"/>
      <c r="S252" s="146"/>
      <c r="T252" s="146"/>
      <c r="U252" s="146"/>
      <c r="V252" s="146"/>
      <c r="W252" s="146"/>
      <c r="X252" s="146"/>
      <c r="Y252" s="146"/>
      <c r="Z252" s="146"/>
      <c r="AA252" s="146"/>
    </row>
    <row r="253" spans="1:27">
      <c r="A253" s="137">
        <v>45639</v>
      </c>
      <c r="B253" s="67">
        <v>45640</v>
      </c>
      <c r="C253" s="138">
        <f>VLOOKUP(B:B,'Курс валют'!A:D,4,0)</f>
        <v>109.01260000000001</v>
      </c>
      <c r="D253" s="47">
        <v>878</v>
      </c>
      <c r="E253" s="139" t="s">
        <v>15</v>
      </c>
      <c r="F253" s="47">
        <v>5500</v>
      </c>
      <c r="G253" s="47">
        <v>5532</v>
      </c>
      <c r="H253" s="140">
        <f>2420+99</f>
        <v>2519</v>
      </c>
      <c r="I253" s="47">
        <f t="shared" si="21"/>
        <v>32</v>
      </c>
      <c r="J253" s="127">
        <f t="shared" si="22"/>
        <v>0.58181818181818179</v>
      </c>
      <c r="K253" s="140">
        <v>3.62</v>
      </c>
      <c r="L253" s="141">
        <f t="shared" si="23"/>
        <v>45.800000000000004</v>
      </c>
      <c r="M253" s="142">
        <f t="shared" si="24"/>
        <v>242.84518876800001</v>
      </c>
      <c r="N253" s="143">
        <f t="shared" si="25"/>
        <v>2.2276799999999999</v>
      </c>
      <c r="O253" s="143">
        <f t="shared" si="26"/>
        <v>12252.24</v>
      </c>
      <c r="P253" s="144">
        <f t="shared" si="27"/>
        <v>1335648.538224</v>
      </c>
      <c r="R253" s="147"/>
      <c r="S253" s="146"/>
      <c r="T253" s="146"/>
      <c r="U253" s="146"/>
      <c r="V253" s="146"/>
      <c r="W253" s="146"/>
      <c r="X253" s="146"/>
      <c r="Y253" s="146"/>
      <c r="Z253" s="146"/>
      <c r="AA253" s="146"/>
    </row>
    <row r="254" spans="1:27">
      <c r="A254" s="54">
        <v>45640</v>
      </c>
      <c r="B254" s="10">
        <v>45641</v>
      </c>
      <c r="C254" s="11">
        <f>VLOOKUP(B:B,'Курс валют'!A:D,4,0)</f>
        <v>109.01260000000001</v>
      </c>
      <c r="D254" s="58">
        <v>882</v>
      </c>
      <c r="E254" s="50" t="s">
        <v>84</v>
      </c>
      <c r="F254" s="58">
        <v>900</v>
      </c>
      <c r="G254" s="57">
        <v>937.20299999999997</v>
      </c>
      <c r="H254" s="56">
        <v>0</v>
      </c>
      <c r="I254" s="58">
        <f t="shared" si="21"/>
        <v>37.202999999999975</v>
      </c>
      <c r="J254" s="14">
        <f t="shared" si="22"/>
        <v>4.1336666666666639</v>
      </c>
      <c r="K254" s="56">
        <v>2.2200000000000002</v>
      </c>
      <c r="L254" s="15">
        <f t="shared" si="23"/>
        <v>0</v>
      </c>
      <c r="M254" s="16">
        <f t="shared" si="24"/>
        <v>242.00797200000005</v>
      </c>
      <c r="N254" s="17">
        <f t="shared" si="25"/>
        <v>2.2200000000000002</v>
      </c>
      <c r="O254" s="17">
        <f t="shared" si="26"/>
        <v>1998.0000000000002</v>
      </c>
      <c r="P254" s="18">
        <f t="shared" si="27"/>
        <v>217807.17480000004</v>
      </c>
      <c r="R254" s="65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>
      <c r="A255" s="54">
        <v>45640</v>
      </c>
      <c r="B255" s="10">
        <v>45641</v>
      </c>
      <c r="C255" s="11">
        <f>VLOOKUP(B:B,'Курс валют'!A:D,4,0)</f>
        <v>109.01260000000001</v>
      </c>
      <c r="D255" s="58">
        <v>883</v>
      </c>
      <c r="E255" s="50" t="s">
        <v>84</v>
      </c>
      <c r="F255" s="58">
        <v>900</v>
      </c>
      <c r="G255" s="57">
        <v>943.20299999999997</v>
      </c>
      <c r="H255" s="56">
        <v>0</v>
      </c>
      <c r="I255" s="58">
        <f t="shared" si="21"/>
        <v>43.202999999999975</v>
      </c>
      <c r="J255" s="14">
        <f t="shared" si="22"/>
        <v>4.8003333333333309</v>
      </c>
      <c r="K255" s="56">
        <v>2.2200000000000002</v>
      </c>
      <c r="L255" s="15">
        <f t="shared" si="23"/>
        <v>0</v>
      </c>
      <c r="M255" s="16">
        <f t="shared" si="24"/>
        <v>242.00797200000005</v>
      </c>
      <c r="N255" s="17">
        <f t="shared" si="25"/>
        <v>2.2200000000000002</v>
      </c>
      <c r="O255" s="17">
        <f t="shared" si="26"/>
        <v>1998.0000000000002</v>
      </c>
      <c r="P255" s="18">
        <f t="shared" si="27"/>
        <v>217807.17480000004</v>
      </c>
      <c r="R255" s="66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>
      <c r="A256" s="137">
        <v>45640</v>
      </c>
      <c r="B256" s="67">
        <v>45641</v>
      </c>
      <c r="C256" s="138">
        <f>VLOOKUP(B:B,'Курс валют'!A:D,4,0)</f>
        <v>109.01260000000001</v>
      </c>
      <c r="D256" s="47">
        <v>881</v>
      </c>
      <c r="E256" s="139" t="s">
        <v>15</v>
      </c>
      <c r="F256" s="47">
        <v>8800</v>
      </c>
      <c r="G256" s="47">
        <v>8830</v>
      </c>
      <c r="H256" s="140">
        <v>4020</v>
      </c>
      <c r="I256" s="47">
        <f t="shared" si="21"/>
        <v>30</v>
      </c>
      <c r="J256" s="127">
        <f t="shared" si="22"/>
        <v>0.34090909090909088</v>
      </c>
      <c r="K256" s="140">
        <v>2.5499999999999998</v>
      </c>
      <c r="L256" s="141">
        <f t="shared" si="23"/>
        <v>45.681818181818187</v>
      </c>
      <c r="M256" s="142">
        <f t="shared" si="24"/>
        <v>126.59335930909094</v>
      </c>
      <c r="N256" s="143">
        <f t="shared" si="25"/>
        <v>1.1612727272727275</v>
      </c>
      <c r="O256" s="143">
        <f t="shared" si="26"/>
        <v>10219.200000000001</v>
      </c>
      <c r="P256" s="144">
        <f t="shared" si="27"/>
        <v>1114021.5619200002</v>
      </c>
      <c r="R256" s="147"/>
      <c r="S256" s="146"/>
      <c r="T256" s="146"/>
      <c r="U256" s="146"/>
      <c r="V256" s="146"/>
      <c r="W256" s="146"/>
      <c r="X256" s="146"/>
      <c r="Y256" s="146"/>
      <c r="Z256" s="146"/>
      <c r="AA256" s="146"/>
    </row>
    <row r="257" spans="1:27">
      <c r="A257" s="54">
        <v>45641</v>
      </c>
      <c r="B257" s="10">
        <v>45642</v>
      </c>
      <c r="C257" s="11">
        <f>VLOOKUP(B:B,'Курс валют'!A:D,4,0)</f>
        <v>109.01260000000001</v>
      </c>
      <c r="D257" s="58">
        <v>884</v>
      </c>
      <c r="E257" s="50" t="s">
        <v>2113</v>
      </c>
      <c r="F257" s="58">
        <v>2000</v>
      </c>
      <c r="G257" s="57">
        <v>2000</v>
      </c>
      <c r="H257" s="56">
        <v>0</v>
      </c>
      <c r="I257" s="58">
        <f t="shared" si="21"/>
        <v>0</v>
      </c>
      <c r="J257" s="14">
        <f t="shared" si="22"/>
        <v>0</v>
      </c>
      <c r="K257" s="56">
        <v>2.56</v>
      </c>
      <c r="L257" s="15">
        <f t="shared" si="23"/>
        <v>0</v>
      </c>
      <c r="M257" s="16">
        <f t="shared" si="24"/>
        <v>279.07225599999998</v>
      </c>
      <c r="N257" s="17">
        <f t="shared" si="25"/>
        <v>2.56</v>
      </c>
      <c r="O257" s="17">
        <f t="shared" si="26"/>
        <v>5120</v>
      </c>
      <c r="P257" s="18">
        <f t="shared" si="27"/>
        <v>558144.51199999999</v>
      </c>
      <c r="R257" s="66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>
      <c r="A258" s="54">
        <v>45641</v>
      </c>
      <c r="B258" s="10">
        <v>45642</v>
      </c>
      <c r="C258" s="11">
        <f>VLOOKUP(B:B,'Курс валют'!A:D,4,0)</f>
        <v>109.01260000000001</v>
      </c>
      <c r="D258" s="58">
        <v>885</v>
      </c>
      <c r="E258" s="50" t="s">
        <v>204</v>
      </c>
      <c r="F258" s="58">
        <v>220</v>
      </c>
      <c r="G258" s="57">
        <v>220</v>
      </c>
      <c r="H258" s="56">
        <v>0</v>
      </c>
      <c r="I258" s="58">
        <f t="shared" si="21"/>
        <v>0</v>
      </c>
      <c r="J258" s="14">
        <f t="shared" si="22"/>
        <v>0</v>
      </c>
      <c r="K258" s="56">
        <v>4.0999999999999996</v>
      </c>
      <c r="L258" s="15">
        <f t="shared" si="23"/>
        <v>0</v>
      </c>
      <c r="M258" s="16">
        <f t="shared" si="24"/>
        <v>446.95166</v>
      </c>
      <c r="N258" s="17">
        <f t="shared" si="25"/>
        <v>4.0999999999999996</v>
      </c>
      <c r="O258" s="17">
        <f t="shared" si="26"/>
        <v>901.99999999999989</v>
      </c>
      <c r="P258" s="18">
        <f t="shared" si="27"/>
        <v>98329.3652</v>
      </c>
      <c r="R258" s="66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>
      <c r="A259" s="54">
        <v>45641</v>
      </c>
      <c r="B259" s="10">
        <v>45642</v>
      </c>
      <c r="C259" s="11">
        <f>VLOOKUP(B:B,'Курс валют'!A:D,4,0)</f>
        <v>109.01260000000001</v>
      </c>
      <c r="D259" s="58">
        <v>886</v>
      </c>
      <c r="E259" s="50" t="s">
        <v>87</v>
      </c>
      <c r="F259" s="58">
        <v>198</v>
      </c>
      <c r="G259" s="57">
        <v>200</v>
      </c>
      <c r="H259" s="56">
        <v>0</v>
      </c>
      <c r="I259" s="58">
        <f t="shared" si="21"/>
        <v>2</v>
      </c>
      <c r="J259" s="14">
        <f t="shared" si="22"/>
        <v>1.0101010101010102</v>
      </c>
      <c r="K259" s="56">
        <v>2.2999999999999998</v>
      </c>
      <c r="L259" s="15">
        <f t="shared" si="23"/>
        <v>0</v>
      </c>
      <c r="M259" s="16">
        <f t="shared" si="24"/>
        <v>250.72898000000001</v>
      </c>
      <c r="N259" s="17">
        <f t="shared" si="25"/>
        <v>2.2999999999999998</v>
      </c>
      <c r="O259" s="17">
        <f t="shared" si="26"/>
        <v>455.4</v>
      </c>
      <c r="P259" s="18">
        <f t="shared" si="27"/>
        <v>49644.338040000002</v>
      </c>
      <c r="R259" s="65" t="s">
        <v>2481</v>
      </c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>
      <c r="A260" s="54">
        <v>45641</v>
      </c>
      <c r="B260" s="10">
        <v>45642</v>
      </c>
      <c r="C260" s="11">
        <f>VLOOKUP(B:B,'Курс валют'!A:D,4,0)</f>
        <v>109.01260000000001</v>
      </c>
      <c r="D260" s="58">
        <v>887</v>
      </c>
      <c r="E260" s="50" t="s">
        <v>68</v>
      </c>
      <c r="F260" s="58">
        <v>4000</v>
      </c>
      <c r="G260" s="57">
        <v>4015</v>
      </c>
      <c r="H260" s="56">
        <v>376</v>
      </c>
      <c r="I260" s="58">
        <f t="shared" si="21"/>
        <v>15</v>
      </c>
      <c r="J260" s="14">
        <f t="shared" si="22"/>
        <v>0.375</v>
      </c>
      <c r="K260" s="56">
        <v>2.2999999999999998</v>
      </c>
      <c r="L260" s="15">
        <f t="shared" si="23"/>
        <v>9.4</v>
      </c>
      <c r="M260" s="16">
        <f t="shared" si="24"/>
        <v>219.57753942400001</v>
      </c>
      <c r="N260" s="17">
        <f t="shared" si="25"/>
        <v>2.01424</v>
      </c>
      <c r="O260" s="17">
        <f t="shared" si="26"/>
        <v>8056.96</v>
      </c>
      <c r="P260" s="18">
        <f t="shared" si="27"/>
        <v>878310.15769600007</v>
      </c>
      <c r="R260" s="65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>
      <c r="A261" s="54">
        <v>45641</v>
      </c>
      <c r="B261" s="10">
        <v>45642</v>
      </c>
      <c r="C261" s="11">
        <f>VLOOKUP(B:B,'Курс валют'!A:D,4,0)</f>
        <v>109.01260000000001</v>
      </c>
      <c r="D261" s="58">
        <v>888</v>
      </c>
      <c r="E261" s="50" t="s">
        <v>84</v>
      </c>
      <c r="F261" s="58">
        <v>900</v>
      </c>
      <c r="G261" s="57">
        <v>952.20299999999997</v>
      </c>
      <c r="H261" s="56">
        <v>0</v>
      </c>
      <c r="I261" s="58">
        <f t="shared" si="21"/>
        <v>52.202999999999975</v>
      </c>
      <c r="J261" s="14">
        <f t="shared" si="22"/>
        <v>5.80033333333333</v>
      </c>
      <c r="K261" s="56">
        <v>2.1800000000000002</v>
      </c>
      <c r="L261" s="15">
        <f t="shared" si="23"/>
        <v>0</v>
      </c>
      <c r="M261" s="16">
        <f t="shared" si="24"/>
        <v>237.64746800000003</v>
      </c>
      <c r="N261" s="17">
        <f t="shared" si="25"/>
        <v>2.1800000000000002</v>
      </c>
      <c r="O261" s="17">
        <f t="shared" si="26"/>
        <v>1962.0000000000002</v>
      </c>
      <c r="P261" s="18">
        <f t="shared" si="27"/>
        <v>213882.72120000003</v>
      </c>
      <c r="R261" s="65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>
      <c r="A262" s="54">
        <v>45641</v>
      </c>
      <c r="B262" s="10">
        <v>45642</v>
      </c>
      <c r="C262" s="11">
        <f>VLOOKUP(B:B,'Курс валют'!A:D,4,0)</f>
        <v>109.01260000000001</v>
      </c>
      <c r="D262" s="58">
        <v>889</v>
      </c>
      <c r="E262" s="50" t="s">
        <v>84</v>
      </c>
      <c r="F262" s="58">
        <v>900</v>
      </c>
      <c r="G262" s="57">
        <v>935.20299999999997</v>
      </c>
      <c r="H262" s="49">
        <v>0</v>
      </c>
      <c r="I262" s="58">
        <f t="shared" si="21"/>
        <v>35.202999999999975</v>
      </c>
      <c r="J262" s="14">
        <f t="shared" si="22"/>
        <v>3.9114444444444416</v>
      </c>
      <c r="K262" s="56">
        <v>2.1800000000000002</v>
      </c>
      <c r="L262" s="15">
        <f t="shared" si="23"/>
        <v>0</v>
      </c>
      <c r="M262" s="16">
        <f t="shared" si="24"/>
        <v>237.64746800000003</v>
      </c>
      <c r="N262" s="17">
        <f t="shared" si="25"/>
        <v>2.1800000000000002</v>
      </c>
      <c r="O262" s="17">
        <f t="shared" si="26"/>
        <v>1962.0000000000002</v>
      </c>
      <c r="P262" s="18">
        <f t="shared" si="27"/>
        <v>213882.72120000003</v>
      </c>
      <c r="R262" s="66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>
      <c r="A263" s="54">
        <v>45642</v>
      </c>
      <c r="B263" s="10">
        <v>45643</v>
      </c>
      <c r="C263" s="11">
        <f>VLOOKUP(B:B,'Курс валют'!A:D,4,0)</f>
        <v>108.7016</v>
      </c>
      <c r="D263" s="58">
        <v>890</v>
      </c>
      <c r="E263" s="50" t="s">
        <v>68</v>
      </c>
      <c r="F263" s="58">
        <v>8000</v>
      </c>
      <c r="G263" s="57">
        <v>8027</v>
      </c>
      <c r="H263" s="49">
        <v>764</v>
      </c>
      <c r="I263" s="58">
        <f t="shared" si="21"/>
        <v>27</v>
      </c>
      <c r="J263" s="14">
        <f t="shared" si="22"/>
        <v>0.33750000000000002</v>
      </c>
      <c r="K263" s="56">
        <v>2.2999999999999998</v>
      </c>
      <c r="L263" s="15">
        <f t="shared" si="23"/>
        <v>9.5500000000000007</v>
      </c>
      <c r="M263" s="16">
        <f t="shared" si="24"/>
        <v>218.45543148799996</v>
      </c>
      <c r="N263" s="17">
        <f t="shared" si="25"/>
        <v>2.0096799999999999</v>
      </c>
      <c r="O263" s="17">
        <f t="shared" si="26"/>
        <v>16077.439999999999</v>
      </c>
      <c r="P263" s="18">
        <f t="shared" si="27"/>
        <v>1747643.4519039998</v>
      </c>
      <c r="R263" s="65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5.75" customHeight="1">
      <c r="A264" s="54">
        <v>45644</v>
      </c>
      <c r="B264" s="10">
        <v>45645</v>
      </c>
      <c r="C264" s="11">
        <f>VLOOKUP(B:B,'Курс валют'!A:D,4,0)</f>
        <v>108.50830000000001</v>
      </c>
      <c r="D264" s="58">
        <v>891</v>
      </c>
      <c r="E264" s="50" t="s">
        <v>84</v>
      </c>
      <c r="F264" s="58">
        <v>900</v>
      </c>
      <c r="G264" s="57">
        <v>940.20299999999997</v>
      </c>
      <c r="H264" s="49">
        <v>0</v>
      </c>
      <c r="I264" s="58">
        <f t="shared" si="21"/>
        <v>40.202999999999975</v>
      </c>
      <c r="J264" s="14">
        <f t="shared" si="22"/>
        <v>4.466999999999997</v>
      </c>
      <c r="K264" s="56">
        <v>2.12</v>
      </c>
      <c r="L264" s="15">
        <f t="shared" si="23"/>
        <v>0</v>
      </c>
      <c r="M264" s="16">
        <f t="shared" si="24"/>
        <v>230.03759600000001</v>
      </c>
      <c r="N264" s="17">
        <f t="shared" si="25"/>
        <v>2.12</v>
      </c>
      <c r="O264" s="17">
        <f t="shared" si="26"/>
        <v>1908</v>
      </c>
      <c r="P264" s="18">
        <f t="shared" si="27"/>
        <v>207033.8364</v>
      </c>
      <c r="R264" s="134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>
      <c r="A265" s="54">
        <v>45644</v>
      </c>
      <c r="B265" s="10">
        <v>45645</v>
      </c>
      <c r="C265" s="11">
        <f>VLOOKUP(B:B,'Курс валют'!A:D,4,0)</f>
        <v>108.50830000000001</v>
      </c>
      <c r="D265" s="58">
        <v>892</v>
      </c>
      <c r="E265" s="50" t="s">
        <v>66</v>
      </c>
      <c r="F265" s="58">
        <v>16000</v>
      </c>
      <c r="G265" s="57">
        <v>16025</v>
      </c>
      <c r="H265" s="49">
        <v>1523</v>
      </c>
      <c r="I265" s="58">
        <f t="shared" si="21"/>
        <v>25</v>
      </c>
      <c r="J265" s="14">
        <f t="shared" si="22"/>
        <v>0.15625</v>
      </c>
      <c r="K265" s="56">
        <v>2.2999999999999998</v>
      </c>
      <c r="L265" s="15">
        <f t="shared" si="23"/>
        <v>9.5187499999999989</v>
      </c>
      <c r="M265" s="16">
        <f t="shared" si="24"/>
        <v>218.17004322900002</v>
      </c>
      <c r="N265" s="17">
        <f t="shared" si="25"/>
        <v>2.0106299999999999</v>
      </c>
      <c r="O265" s="17">
        <f t="shared" si="26"/>
        <v>32170.079999999998</v>
      </c>
      <c r="P265" s="18">
        <f t="shared" si="27"/>
        <v>3490720.691664</v>
      </c>
      <c r="R265" s="65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>
      <c r="A266" s="54">
        <v>45645</v>
      </c>
      <c r="B266" s="10">
        <v>45646</v>
      </c>
      <c r="C266" s="11">
        <f>VLOOKUP(B:B,'Курс валют'!A:D,4,0)</f>
        <v>107.9576</v>
      </c>
      <c r="D266" s="58">
        <v>893</v>
      </c>
      <c r="E266" s="50" t="s">
        <v>66</v>
      </c>
      <c r="F266" s="58">
        <v>8000</v>
      </c>
      <c r="G266" s="57">
        <v>8020</v>
      </c>
      <c r="H266" s="56">
        <v>759</v>
      </c>
      <c r="I266" s="58">
        <f t="shared" si="21"/>
        <v>20</v>
      </c>
      <c r="J266" s="14">
        <f t="shared" si="22"/>
        <v>0.25</v>
      </c>
      <c r="K266" s="56">
        <v>2.2999999999999998</v>
      </c>
      <c r="L266" s="15">
        <f t="shared" si="23"/>
        <v>9.4875000000000007</v>
      </c>
      <c r="M266" s="16">
        <f t="shared" si="24"/>
        <v>217.16534900799999</v>
      </c>
      <c r="N266" s="17">
        <f t="shared" si="25"/>
        <v>2.0115799999999999</v>
      </c>
      <c r="O266" s="17">
        <f t="shared" si="26"/>
        <v>16092.64</v>
      </c>
      <c r="P266" s="18">
        <f t="shared" si="27"/>
        <v>1737322.7920639999</v>
      </c>
      <c r="R266" s="65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>
      <c r="A267" s="54">
        <v>45646</v>
      </c>
      <c r="B267" s="10">
        <v>45649</v>
      </c>
      <c r="C267" s="11">
        <f>VLOOKUP(B:B,'Курс валют'!A:D,4,0)</f>
        <v>106.5444</v>
      </c>
      <c r="D267" s="58">
        <v>894</v>
      </c>
      <c r="E267" s="50" t="s">
        <v>65</v>
      </c>
      <c r="F267" s="58">
        <v>8000</v>
      </c>
      <c r="G267" s="57">
        <v>8030</v>
      </c>
      <c r="H267" s="56">
        <v>763</v>
      </c>
      <c r="I267" s="58">
        <f t="shared" si="21"/>
        <v>30</v>
      </c>
      <c r="J267" s="14">
        <f t="shared" si="22"/>
        <v>0.375</v>
      </c>
      <c r="K267" s="56">
        <v>2.38</v>
      </c>
      <c r="L267" s="15">
        <f t="shared" si="23"/>
        <v>9.5374999999999996</v>
      </c>
      <c r="M267" s="16">
        <f t="shared" si="24"/>
        <v>222.68418866399998</v>
      </c>
      <c r="N267" s="17">
        <f t="shared" si="25"/>
        <v>2.0900599999999998</v>
      </c>
      <c r="O267" s="17">
        <f t="shared" si="26"/>
        <v>16720.48</v>
      </c>
      <c r="P267" s="18">
        <f t="shared" si="27"/>
        <v>1781473.5093119999</v>
      </c>
      <c r="R267" s="65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>
      <c r="A268" s="137">
        <v>45646</v>
      </c>
      <c r="B268" s="67">
        <v>45649</v>
      </c>
      <c r="C268" s="138">
        <f>VLOOKUP(B:B,'Курс валют'!A:D,4,0)</f>
        <v>106.5444</v>
      </c>
      <c r="D268" s="47">
        <v>895</v>
      </c>
      <c r="E268" s="139" t="s">
        <v>15</v>
      </c>
      <c r="F268" s="47">
        <v>8800</v>
      </c>
      <c r="G268" s="47">
        <v>8828</v>
      </c>
      <c r="H268" s="140">
        <v>4028</v>
      </c>
      <c r="I268" s="47">
        <f t="shared" si="21"/>
        <v>28</v>
      </c>
      <c r="J268" s="127">
        <f t="shared" si="22"/>
        <v>0.31818181818181818</v>
      </c>
      <c r="K268" s="140">
        <v>3.15</v>
      </c>
      <c r="L268" s="141">
        <f t="shared" si="23"/>
        <v>45.772727272727273</v>
      </c>
      <c r="M268" s="142">
        <f t="shared" si="24"/>
        <v>187.35929598545451</v>
      </c>
      <c r="N268" s="143">
        <f t="shared" si="25"/>
        <v>1.7585090909090908</v>
      </c>
      <c r="O268" s="143">
        <f t="shared" si="26"/>
        <v>15474.88</v>
      </c>
      <c r="P268" s="144">
        <f t="shared" si="27"/>
        <v>1648761.8046719998</v>
      </c>
      <c r="R268" s="147"/>
      <c r="S268" s="146"/>
      <c r="T268" s="146"/>
      <c r="U268" s="146"/>
      <c r="V268" s="146"/>
      <c r="W268" s="146"/>
      <c r="X268" s="146"/>
      <c r="Y268" s="146"/>
      <c r="Z268" s="146"/>
      <c r="AA268" s="146"/>
    </row>
    <row r="269" spans="1:27" ht="12.75">
      <c r="A269" s="54">
        <v>45646</v>
      </c>
      <c r="B269" s="10">
        <v>45649</v>
      </c>
      <c r="C269" s="11">
        <f>VLOOKUP(B:B,'Курс валют'!A:D,4,0)</f>
        <v>106.5444</v>
      </c>
      <c r="D269" s="58">
        <v>896</v>
      </c>
      <c r="E269" s="55" t="s">
        <v>58</v>
      </c>
      <c r="F269" s="58">
        <v>8800</v>
      </c>
      <c r="G269" s="57">
        <v>8827</v>
      </c>
      <c r="H269" s="56">
        <v>3662</v>
      </c>
      <c r="I269" s="58">
        <f t="shared" si="21"/>
        <v>27</v>
      </c>
      <c r="J269" s="14">
        <f t="shared" si="22"/>
        <v>0.30681818181818182</v>
      </c>
      <c r="K269" s="56">
        <v>3.23</v>
      </c>
      <c r="L269" s="15">
        <f t="shared" si="23"/>
        <v>41.613636363636367</v>
      </c>
      <c r="M269" s="16">
        <f t="shared" si="24"/>
        <v>209.35393448727271</v>
      </c>
      <c r="N269" s="17">
        <f t="shared" si="25"/>
        <v>1.9649454545454546</v>
      </c>
      <c r="O269" s="17">
        <f t="shared" si="26"/>
        <v>17291.52</v>
      </c>
      <c r="P269" s="18">
        <f t="shared" si="27"/>
        <v>1842314.6234879999</v>
      </c>
      <c r="R269" s="65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>
      <c r="A270" s="54">
        <v>45649</v>
      </c>
      <c r="B270" s="10">
        <v>45650</v>
      </c>
      <c r="C270" s="11">
        <f>VLOOKUP(B:B,'Курс валют'!A:D,4,0)</f>
        <v>105.2512</v>
      </c>
      <c r="D270" s="58">
        <v>899</v>
      </c>
      <c r="E270" s="55" t="s">
        <v>88</v>
      </c>
      <c r="F270" s="58">
        <v>220</v>
      </c>
      <c r="G270" s="58">
        <v>232.08500000000001</v>
      </c>
      <c r="H270" s="56">
        <v>60</v>
      </c>
      <c r="I270" s="58">
        <f t="shared" si="21"/>
        <v>12.085000000000008</v>
      </c>
      <c r="J270" s="14">
        <f t="shared" si="22"/>
        <v>5.4931818181818217</v>
      </c>
      <c r="K270" s="56">
        <v>2.9</v>
      </c>
      <c r="L270" s="15">
        <f t="shared" si="23"/>
        <v>27.27272727272727</v>
      </c>
      <c r="M270" s="16">
        <f t="shared" si="24"/>
        <v>217.96566690909088</v>
      </c>
      <c r="N270" s="17">
        <f t="shared" si="25"/>
        <v>2.0709090909090908</v>
      </c>
      <c r="O270" s="17">
        <f t="shared" si="26"/>
        <v>455.59999999999997</v>
      </c>
      <c r="P270" s="18">
        <f t="shared" si="27"/>
        <v>47952.446719999993</v>
      </c>
      <c r="R270" s="65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>
      <c r="A271" s="54">
        <v>45649</v>
      </c>
      <c r="B271" s="10">
        <v>45650</v>
      </c>
      <c r="C271" s="11">
        <f>VLOOKUP(B:B,'Курс валют'!A:D,4,0)</f>
        <v>105.2512</v>
      </c>
      <c r="D271" s="58">
        <v>900</v>
      </c>
      <c r="E271" s="55" t="s">
        <v>2026</v>
      </c>
      <c r="F271" s="58">
        <v>600</v>
      </c>
      <c r="G271" s="58">
        <v>600</v>
      </c>
      <c r="H271" s="56">
        <v>0</v>
      </c>
      <c r="I271" s="58">
        <f t="shared" si="21"/>
        <v>0</v>
      </c>
      <c r="J271" s="14">
        <f t="shared" si="22"/>
        <v>0</v>
      </c>
      <c r="K271" s="56">
        <v>2.5</v>
      </c>
      <c r="L271" s="15">
        <f t="shared" si="23"/>
        <v>0</v>
      </c>
      <c r="M271" s="16">
        <f t="shared" si="24"/>
        <v>263.12799999999999</v>
      </c>
      <c r="N271" s="17">
        <f t="shared" si="25"/>
        <v>2.5</v>
      </c>
      <c r="O271" s="17">
        <f t="shared" si="26"/>
        <v>1500</v>
      </c>
      <c r="P271" s="18">
        <f t="shared" si="27"/>
        <v>157876.79999999999</v>
      </c>
      <c r="R271" s="65" t="s">
        <v>1267</v>
      </c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>
      <c r="A272" s="54">
        <v>45649</v>
      </c>
      <c r="B272" s="10">
        <v>45651</v>
      </c>
      <c r="C272" s="11">
        <f>VLOOKUP(B:B,'Курс валют'!A:D,4,0)</f>
        <v>104.23099999999999</v>
      </c>
      <c r="D272" s="58">
        <v>897</v>
      </c>
      <c r="E272" s="55" t="s">
        <v>2454</v>
      </c>
      <c r="F272" s="58">
        <v>1000</v>
      </c>
      <c r="G272" s="58">
        <v>1052.5</v>
      </c>
      <c r="H272" s="56">
        <v>0</v>
      </c>
      <c r="I272" s="58">
        <f t="shared" si="21"/>
        <v>52.5</v>
      </c>
      <c r="J272" s="14">
        <f t="shared" si="22"/>
        <v>5.25</v>
      </c>
      <c r="K272" s="56">
        <v>2.4500000000000002</v>
      </c>
      <c r="L272" s="15">
        <f t="shared" si="23"/>
        <v>0</v>
      </c>
      <c r="M272" s="16">
        <f t="shared" si="24"/>
        <v>255.36594999999997</v>
      </c>
      <c r="N272" s="17">
        <f t="shared" si="25"/>
        <v>2.4500000000000002</v>
      </c>
      <c r="O272" s="17">
        <f t="shared" si="26"/>
        <v>2450</v>
      </c>
      <c r="P272" s="18">
        <f t="shared" si="27"/>
        <v>255365.94999999998</v>
      </c>
      <c r="R272" s="65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>
      <c r="A273" s="54">
        <v>45649</v>
      </c>
      <c r="B273" s="10">
        <v>45651</v>
      </c>
      <c r="C273" s="11">
        <f>VLOOKUP(B:B,'Курс валют'!A:D,4,0)</f>
        <v>104.23099999999999</v>
      </c>
      <c r="D273" s="58">
        <v>831</v>
      </c>
      <c r="E273" s="55" t="s">
        <v>60</v>
      </c>
      <c r="F273" s="58">
        <v>900</v>
      </c>
      <c r="G273" s="58">
        <v>932</v>
      </c>
      <c r="H273" s="56">
        <v>0</v>
      </c>
      <c r="I273" s="58">
        <f t="shared" si="21"/>
        <v>32</v>
      </c>
      <c r="J273" s="14">
        <f t="shared" si="22"/>
        <v>3.5555555555555554</v>
      </c>
      <c r="K273" s="56">
        <v>2.02</v>
      </c>
      <c r="L273" s="15">
        <f t="shared" si="23"/>
        <v>0</v>
      </c>
      <c r="M273" s="16">
        <f t="shared" si="24"/>
        <v>210.54661999999999</v>
      </c>
      <c r="N273" s="148">
        <f t="shared" si="25"/>
        <v>2.02</v>
      </c>
      <c r="O273" s="17">
        <f t="shared" si="26"/>
        <v>1818</v>
      </c>
      <c r="P273" s="18">
        <f t="shared" si="27"/>
        <v>189491.95799999998</v>
      </c>
      <c r="R273" s="66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>
      <c r="A274" s="54">
        <v>45651</v>
      </c>
      <c r="B274" s="10">
        <v>45652</v>
      </c>
      <c r="C274" s="11">
        <f>VLOOKUP(B:B,'Курс валют'!A:D,4,0)</f>
        <v>103.94159999999999</v>
      </c>
      <c r="D274" s="58">
        <v>902</v>
      </c>
      <c r="E274" s="55" t="s">
        <v>90</v>
      </c>
      <c r="F274" s="58">
        <v>220</v>
      </c>
      <c r="G274" s="58">
        <v>230</v>
      </c>
      <c r="H274" s="56">
        <v>67</v>
      </c>
      <c r="I274" s="58">
        <f t="shared" si="21"/>
        <v>10</v>
      </c>
      <c r="J274" s="14">
        <f t="shared" si="22"/>
        <v>4.5454545454545459</v>
      </c>
      <c r="K274" s="56">
        <v>3.65</v>
      </c>
      <c r="L274" s="15">
        <f t="shared" si="23"/>
        <v>30.454545454545457</v>
      </c>
      <c r="M274" s="16">
        <f t="shared" si="24"/>
        <v>283.1558168727272</v>
      </c>
      <c r="N274" s="17">
        <f t="shared" si="25"/>
        <v>2.724181818181818</v>
      </c>
      <c r="O274" s="17">
        <f t="shared" si="26"/>
        <v>599.31999999999994</v>
      </c>
      <c r="P274" s="18">
        <f t="shared" si="27"/>
        <v>62294.279711999989</v>
      </c>
      <c r="R274" s="66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>
      <c r="A275" s="54">
        <v>45652</v>
      </c>
      <c r="B275" s="10">
        <v>45652</v>
      </c>
      <c r="C275" s="11">
        <f>VLOOKUP(B:B,'Курс валют'!A:D,4,0)</f>
        <v>103.94159999999999</v>
      </c>
      <c r="D275" s="58">
        <v>901</v>
      </c>
      <c r="E275" s="55" t="s">
        <v>1065</v>
      </c>
      <c r="F275" s="58">
        <v>80</v>
      </c>
      <c r="G275" s="58">
        <v>85.27</v>
      </c>
      <c r="H275" s="56">
        <v>0</v>
      </c>
      <c r="I275" s="58">
        <f t="shared" si="21"/>
        <v>5.269999999999996</v>
      </c>
      <c r="J275" s="14">
        <f t="shared" si="22"/>
        <v>6.587499999999995</v>
      </c>
      <c r="K275" s="56">
        <v>1.34</v>
      </c>
      <c r="L275" s="15">
        <f t="shared" si="23"/>
        <v>0</v>
      </c>
      <c r="M275" s="16">
        <f t="shared" si="24"/>
        <v>139.281744</v>
      </c>
      <c r="N275" s="17">
        <f t="shared" si="25"/>
        <v>1.34</v>
      </c>
      <c r="O275" s="17">
        <f t="shared" si="26"/>
        <v>107.2</v>
      </c>
      <c r="P275" s="18">
        <f t="shared" si="27"/>
        <v>11142.53952</v>
      </c>
      <c r="R275" s="66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>
      <c r="A276" s="137">
        <v>45652</v>
      </c>
      <c r="B276" s="67">
        <v>45653</v>
      </c>
      <c r="C276" s="138">
        <f>VLOOKUP(B:B,'Курс валют'!A:D,4,0)</f>
        <v>103.2997</v>
      </c>
      <c r="D276" s="47">
        <v>905</v>
      </c>
      <c r="E276" s="149" t="s">
        <v>15</v>
      </c>
      <c r="F276" s="47">
        <v>8800</v>
      </c>
      <c r="G276" s="47">
        <v>8825</v>
      </c>
      <c r="H276" s="140">
        <v>4025</v>
      </c>
      <c r="I276" s="47">
        <f t="shared" si="21"/>
        <v>25</v>
      </c>
      <c r="J276" s="127">
        <f t="shared" si="22"/>
        <v>0.28409090909090912</v>
      </c>
      <c r="K276" s="140">
        <v>2.65</v>
      </c>
      <c r="L276" s="141">
        <f t="shared" si="23"/>
        <v>45.738636363636367</v>
      </c>
      <c r="M276" s="142">
        <f t="shared" si="24"/>
        <v>130.11066759090912</v>
      </c>
      <c r="N276" s="143">
        <f t="shared" si="25"/>
        <v>1.2595454545454545</v>
      </c>
      <c r="O276" s="143">
        <f t="shared" si="26"/>
        <v>11084</v>
      </c>
      <c r="P276" s="144">
        <f t="shared" si="27"/>
        <v>1144973.8748000001</v>
      </c>
      <c r="R276" s="147"/>
      <c r="S276" s="146"/>
      <c r="T276" s="146"/>
      <c r="U276" s="146"/>
      <c r="V276" s="146"/>
      <c r="W276" s="146"/>
      <c r="X276" s="146"/>
      <c r="Y276" s="146"/>
      <c r="Z276" s="146"/>
      <c r="AA276" s="146"/>
    </row>
    <row r="277" spans="1:27" ht="12.75">
      <c r="A277" s="54">
        <v>45652</v>
      </c>
      <c r="B277" s="10">
        <v>45653</v>
      </c>
      <c r="C277" s="11">
        <f>VLOOKUP(B:B,'Курс валют'!A:D,4,0)</f>
        <v>103.2997</v>
      </c>
      <c r="D277" s="58">
        <v>906</v>
      </c>
      <c r="E277" s="55" t="s">
        <v>92</v>
      </c>
      <c r="F277" s="58">
        <v>200</v>
      </c>
      <c r="G277" s="58">
        <v>200</v>
      </c>
      <c r="H277" s="56">
        <v>0</v>
      </c>
      <c r="I277" s="58">
        <f t="shared" si="21"/>
        <v>0</v>
      </c>
      <c r="J277" s="14">
        <f t="shared" si="22"/>
        <v>0</v>
      </c>
      <c r="K277" s="56">
        <v>2.12</v>
      </c>
      <c r="L277" s="15">
        <f t="shared" si="23"/>
        <v>0</v>
      </c>
      <c r="M277" s="16">
        <f t="shared" si="24"/>
        <v>218.995364</v>
      </c>
      <c r="N277" s="17">
        <f t="shared" si="25"/>
        <v>2.12</v>
      </c>
      <c r="O277" s="17">
        <f t="shared" si="26"/>
        <v>424</v>
      </c>
      <c r="P277" s="18">
        <f t="shared" si="27"/>
        <v>43799.072800000002</v>
      </c>
      <c r="R277" s="66" t="s">
        <v>1267</v>
      </c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>
      <c r="A278" s="54">
        <v>45653</v>
      </c>
      <c r="B278" s="10">
        <v>45654</v>
      </c>
      <c r="C278" s="11">
        <f>VLOOKUP(B:B,'Курс валют'!A:D,4,0)</f>
        <v>105.9522</v>
      </c>
      <c r="D278" s="58">
        <v>908</v>
      </c>
      <c r="E278" s="55" t="s">
        <v>58</v>
      </c>
      <c r="F278" s="58">
        <v>8800</v>
      </c>
      <c r="G278" s="58">
        <v>8835</v>
      </c>
      <c r="H278" s="56">
        <v>3670</v>
      </c>
      <c r="I278" s="58">
        <f t="shared" si="21"/>
        <v>35</v>
      </c>
      <c r="J278" s="14">
        <f t="shared" si="22"/>
        <v>0.39772727272727271</v>
      </c>
      <c r="K278" s="56">
        <v>3.71</v>
      </c>
      <c r="L278" s="15">
        <f t="shared" si="23"/>
        <v>41.704545454545453</v>
      </c>
      <c r="M278" s="16">
        <f t="shared" si="24"/>
        <v>258.75453643636365</v>
      </c>
      <c r="N278" s="17">
        <f t="shared" si="25"/>
        <v>2.4421818181818185</v>
      </c>
      <c r="O278" s="17">
        <f t="shared" si="26"/>
        <v>21491.200000000001</v>
      </c>
      <c r="P278" s="18">
        <f t="shared" si="27"/>
        <v>2277039.9206400001</v>
      </c>
      <c r="R278" s="66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>
      <c r="A279" s="54">
        <v>45654</v>
      </c>
      <c r="B279" s="10">
        <v>45656</v>
      </c>
      <c r="C279" s="11">
        <f>VLOOKUP(B:B,'Курс валют'!A:D,4,0)</f>
        <v>106.1028</v>
      </c>
      <c r="D279" s="58">
        <v>898</v>
      </c>
      <c r="E279" s="55" t="s">
        <v>2470</v>
      </c>
      <c r="F279" s="58">
        <v>1000</v>
      </c>
      <c r="G279" s="58">
        <v>1052.5</v>
      </c>
      <c r="H279" s="56">
        <v>0</v>
      </c>
      <c r="I279" s="58">
        <f t="shared" si="21"/>
        <v>52.5</v>
      </c>
      <c r="J279" s="14">
        <f t="shared" si="22"/>
        <v>5.25</v>
      </c>
      <c r="K279" s="56">
        <v>2.98</v>
      </c>
      <c r="L279" s="15">
        <f t="shared" si="23"/>
        <v>0</v>
      </c>
      <c r="M279" s="16">
        <f t="shared" si="24"/>
        <v>316.18634399999996</v>
      </c>
      <c r="N279" s="17">
        <f t="shared" si="25"/>
        <v>2.98</v>
      </c>
      <c r="O279" s="17">
        <f t="shared" si="26"/>
        <v>2980</v>
      </c>
      <c r="P279" s="18">
        <f t="shared" si="27"/>
        <v>316186.34399999998</v>
      </c>
      <c r="R279" s="66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>
      <c r="A280" s="54">
        <v>45654</v>
      </c>
      <c r="B280" s="10">
        <v>45656</v>
      </c>
      <c r="C280" s="11">
        <f>VLOOKUP(B:B,'Курс валют'!A:D,4,0)</f>
        <v>106.1028</v>
      </c>
      <c r="D280" s="58">
        <v>903</v>
      </c>
      <c r="E280" s="55" t="s">
        <v>2470</v>
      </c>
      <c r="F280" s="58">
        <v>1000</v>
      </c>
      <c r="G280" s="58">
        <v>1049.8</v>
      </c>
      <c r="H280" s="56">
        <v>0</v>
      </c>
      <c r="I280" s="58">
        <f t="shared" si="21"/>
        <v>49.799999999999955</v>
      </c>
      <c r="J280" s="14">
        <f t="shared" si="22"/>
        <v>4.9799999999999951</v>
      </c>
      <c r="K280" s="56">
        <v>2.98</v>
      </c>
      <c r="L280" s="15">
        <f t="shared" si="23"/>
        <v>0</v>
      </c>
      <c r="M280" s="16">
        <f t="shared" si="24"/>
        <v>316.18634399999996</v>
      </c>
      <c r="N280" s="17">
        <f t="shared" si="25"/>
        <v>2.98</v>
      </c>
      <c r="O280" s="17">
        <f t="shared" si="26"/>
        <v>2980</v>
      </c>
      <c r="P280" s="18">
        <f t="shared" si="27"/>
        <v>316186.34399999998</v>
      </c>
      <c r="R280" s="66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>
      <c r="A281" s="54">
        <v>45654</v>
      </c>
      <c r="B281" s="10">
        <v>45656</v>
      </c>
      <c r="C281" s="11">
        <f>VLOOKUP(B:B,'Курс валют'!A:D,4,0)</f>
        <v>106.1028</v>
      </c>
      <c r="D281" s="58">
        <v>907</v>
      </c>
      <c r="E281" s="55" t="s">
        <v>2470</v>
      </c>
      <c r="F281" s="58">
        <v>1000</v>
      </c>
      <c r="G281" s="58">
        <v>1054.5</v>
      </c>
      <c r="H281" s="56">
        <v>0</v>
      </c>
      <c r="I281" s="58">
        <f t="shared" si="21"/>
        <v>54.5</v>
      </c>
      <c r="J281" s="14">
        <f t="shared" si="22"/>
        <v>5.45</v>
      </c>
      <c r="K281" s="56">
        <v>2.98</v>
      </c>
      <c r="L281" s="15">
        <f t="shared" si="23"/>
        <v>0</v>
      </c>
      <c r="M281" s="16">
        <f t="shared" si="24"/>
        <v>316.18634399999996</v>
      </c>
      <c r="N281" s="17">
        <f t="shared" si="25"/>
        <v>2.98</v>
      </c>
      <c r="O281" s="17">
        <f t="shared" si="26"/>
        <v>2980</v>
      </c>
      <c r="P281" s="18">
        <f t="shared" si="27"/>
        <v>316186.34399999998</v>
      </c>
      <c r="R281" s="66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>
      <c r="A282" s="54">
        <v>45654</v>
      </c>
      <c r="B282" s="10">
        <v>45656</v>
      </c>
      <c r="C282" s="11">
        <f>VLOOKUP(B:B,'Курс валют'!A:D,4,0)</f>
        <v>106.1028</v>
      </c>
      <c r="D282" s="58">
        <v>910</v>
      </c>
      <c r="E282" s="55" t="s">
        <v>58</v>
      </c>
      <c r="F282" s="58">
        <v>8800</v>
      </c>
      <c r="G282" s="58">
        <v>8830</v>
      </c>
      <c r="H282" s="56">
        <v>3665</v>
      </c>
      <c r="I282" s="58">
        <f t="shared" si="21"/>
        <v>30</v>
      </c>
      <c r="J282" s="14">
        <f t="shared" si="22"/>
        <v>0.34090909090909088</v>
      </c>
      <c r="K282" s="56">
        <v>3.49</v>
      </c>
      <c r="L282" s="15">
        <f t="shared" si="23"/>
        <v>41.647727272727273</v>
      </c>
      <c r="M282" s="16">
        <f t="shared" si="24"/>
        <v>235.9629814909091</v>
      </c>
      <c r="N282" s="17">
        <f t="shared" si="25"/>
        <v>2.2239090909090913</v>
      </c>
      <c r="O282" s="17">
        <f t="shared" si="26"/>
        <v>19570.400000000001</v>
      </c>
      <c r="P282" s="18">
        <f t="shared" si="27"/>
        <v>2076474.2371200002</v>
      </c>
      <c r="R282" s="66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>
      <c r="A283" s="54">
        <v>45654</v>
      </c>
      <c r="B283" s="10">
        <v>45656</v>
      </c>
      <c r="C283" s="11">
        <f>VLOOKUP(B:B,'Курс валют'!A:D,4,0)</f>
        <v>106.1028</v>
      </c>
      <c r="D283" s="58">
        <v>911</v>
      </c>
      <c r="E283" s="55" t="s">
        <v>15</v>
      </c>
      <c r="F283" s="58">
        <v>8800</v>
      </c>
      <c r="G283" s="58">
        <v>8832</v>
      </c>
      <c r="H283" s="56">
        <v>4027</v>
      </c>
      <c r="I283" s="58">
        <f t="shared" si="21"/>
        <v>32</v>
      </c>
      <c r="J283" s="14">
        <f t="shared" si="22"/>
        <v>0.36363636363636365</v>
      </c>
      <c r="K283" s="56">
        <v>3.86</v>
      </c>
      <c r="L283" s="15">
        <f t="shared" si="23"/>
        <v>45.76136363636364</v>
      </c>
      <c r="M283" s="16">
        <f t="shared" si="24"/>
        <v>261.95238006545452</v>
      </c>
      <c r="N283" s="17">
        <f t="shared" si="25"/>
        <v>2.4688545454545454</v>
      </c>
      <c r="O283" s="17">
        <f t="shared" si="26"/>
        <v>21725.919999999998</v>
      </c>
      <c r="P283" s="18">
        <f t="shared" si="27"/>
        <v>2305180.9445759999</v>
      </c>
      <c r="R283" s="66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>
      <c r="A284" s="150">
        <v>45654</v>
      </c>
      <c r="B284" s="10">
        <v>45656</v>
      </c>
      <c r="C284" s="11">
        <f>VLOOKUP(B:B,'Курс валют'!A:D,4,0)</f>
        <v>106.1028</v>
      </c>
      <c r="D284" s="58">
        <v>912</v>
      </c>
      <c r="E284" s="55" t="s">
        <v>84</v>
      </c>
      <c r="F284" s="58">
        <v>900</v>
      </c>
      <c r="G284" s="58">
        <v>939.70299999999997</v>
      </c>
      <c r="H284" s="56">
        <v>0</v>
      </c>
      <c r="I284" s="58">
        <f t="shared" si="21"/>
        <v>39.702999999999975</v>
      </c>
      <c r="J284" s="14">
        <f t="shared" si="22"/>
        <v>4.4114444444444416</v>
      </c>
      <c r="K284" s="56">
        <v>2.0099999999999998</v>
      </c>
      <c r="L284" s="15">
        <f t="shared" si="23"/>
        <v>0</v>
      </c>
      <c r="M284" s="16">
        <f t="shared" si="24"/>
        <v>213.26662799999997</v>
      </c>
      <c r="N284" s="17">
        <f t="shared" si="25"/>
        <v>2.0099999999999998</v>
      </c>
      <c r="O284" s="17">
        <f t="shared" si="26"/>
        <v>1808.9999999999998</v>
      </c>
      <c r="P284" s="18">
        <f t="shared" si="27"/>
        <v>191939.96519999998</v>
      </c>
      <c r="R284" s="66" t="s">
        <v>2482</v>
      </c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>
      <c r="A285" s="131">
        <v>45654</v>
      </c>
      <c r="B285" s="10">
        <v>45656</v>
      </c>
      <c r="C285" s="11">
        <f>VLOOKUP(B:B,'Курс валют'!A:D,4,0)</f>
        <v>106.1028</v>
      </c>
      <c r="D285" s="58">
        <v>909</v>
      </c>
      <c r="E285" s="55" t="s">
        <v>84</v>
      </c>
      <c r="F285" s="58">
        <v>900</v>
      </c>
      <c r="G285" s="58">
        <v>939.70299999999997</v>
      </c>
      <c r="H285" s="56">
        <v>0</v>
      </c>
      <c r="I285" s="58">
        <f t="shared" si="21"/>
        <v>39.702999999999975</v>
      </c>
      <c r="J285" s="14">
        <f t="shared" si="22"/>
        <v>4.4114444444444416</v>
      </c>
      <c r="K285" s="56">
        <v>2.0099999999999998</v>
      </c>
      <c r="L285" s="15">
        <f t="shared" si="23"/>
        <v>0</v>
      </c>
      <c r="M285" s="16">
        <f t="shared" si="24"/>
        <v>213.26662799999997</v>
      </c>
      <c r="N285" s="17">
        <f t="shared" si="25"/>
        <v>2.0099999999999998</v>
      </c>
      <c r="O285" s="17">
        <f t="shared" si="26"/>
        <v>1808.9999999999998</v>
      </c>
      <c r="P285" s="18">
        <f t="shared" si="27"/>
        <v>191939.96519999998</v>
      </c>
      <c r="R285" s="66" t="s">
        <v>2483</v>
      </c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>
      <c r="A286" s="131">
        <v>45654</v>
      </c>
      <c r="B286" s="10">
        <v>45656</v>
      </c>
      <c r="C286" s="11">
        <f>VLOOKUP(B:B,'Курс валют'!A:D,4,0)</f>
        <v>106.1028</v>
      </c>
      <c r="D286" s="58">
        <v>904</v>
      </c>
      <c r="E286" s="55" t="s">
        <v>84</v>
      </c>
      <c r="F286" s="58">
        <v>900</v>
      </c>
      <c r="G286" s="58">
        <v>939.70299999999997</v>
      </c>
      <c r="H286" s="56">
        <v>0</v>
      </c>
      <c r="I286" s="58">
        <f t="shared" si="21"/>
        <v>39.702999999999975</v>
      </c>
      <c r="J286" s="14">
        <f t="shared" si="22"/>
        <v>4.4114444444444416</v>
      </c>
      <c r="K286" s="56">
        <v>2.0099999999999998</v>
      </c>
      <c r="L286" s="15">
        <f t="shared" si="23"/>
        <v>0</v>
      </c>
      <c r="M286" s="16">
        <f t="shared" si="24"/>
        <v>213.26662799999997</v>
      </c>
      <c r="N286" s="17">
        <f t="shared" si="25"/>
        <v>2.0099999999999998</v>
      </c>
      <c r="O286" s="17">
        <f t="shared" si="26"/>
        <v>1808.9999999999998</v>
      </c>
      <c r="P286" s="18">
        <f t="shared" si="27"/>
        <v>191939.96519999998</v>
      </c>
      <c r="R286" s="66" t="s">
        <v>2484</v>
      </c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>
      <c r="A287" s="10">
        <v>45667</v>
      </c>
      <c r="B287" s="10">
        <v>45667</v>
      </c>
      <c r="C287" s="11">
        <f>VLOOKUP(B:B,'Курс валют'!A:D,4,0)</f>
        <v>105.08929999999999</v>
      </c>
      <c r="D287" s="11">
        <v>1</v>
      </c>
      <c r="E287" s="62" t="s">
        <v>50</v>
      </c>
      <c r="F287" s="11">
        <v>8000</v>
      </c>
      <c r="G287" s="11">
        <v>8035.5</v>
      </c>
      <c r="H287" s="56">
        <v>0</v>
      </c>
      <c r="I287" s="58">
        <f t="shared" ref="I287:I350" si="28">G287-F287</f>
        <v>35.5</v>
      </c>
      <c r="J287" s="14">
        <f t="shared" ref="J287:J350" si="29">I287/F287*100</f>
        <v>0.44374999999999998</v>
      </c>
      <c r="K287" s="46">
        <v>2.08</v>
      </c>
      <c r="L287" s="15">
        <f t="shared" ref="L287:L350" si="30">H287/F287*100</f>
        <v>0</v>
      </c>
      <c r="M287" s="16">
        <f t="shared" ref="M287:M350" si="31">P287/F287</f>
        <v>218.58574399999998</v>
      </c>
      <c r="N287" s="17">
        <f t="shared" ref="N287:N350" si="32">(F287*K287-H287*3.04)/F287</f>
        <v>2.08</v>
      </c>
      <c r="O287" s="17">
        <f t="shared" ref="O287:O350" si="33">N287*F287</f>
        <v>16640</v>
      </c>
      <c r="P287" s="18">
        <f t="shared" ref="P287:P350" si="34">O287*C287</f>
        <v>1748685.9519999998</v>
      </c>
      <c r="R287" s="66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>
      <c r="A288" s="10">
        <v>45667</v>
      </c>
      <c r="B288" s="10">
        <v>45670</v>
      </c>
      <c r="C288" s="11">
        <f>VLOOKUP(B:B,'Курс валют'!A:D,4,0)</f>
        <v>105.04640000000001</v>
      </c>
      <c r="D288" s="58">
        <v>2</v>
      </c>
      <c r="E288" s="62" t="s">
        <v>50</v>
      </c>
      <c r="F288" s="58">
        <v>8000</v>
      </c>
      <c r="G288" s="58">
        <v>8035.5</v>
      </c>
      <c r="H288" s="56">
        <v>0</v>
      </c>
      <c r="I288" s="58">
        <f t="shared" si="28"/>
        <v>35.5</v>
      </c>
      <c r="J288" s="14">
        <f t="shared" si="29"/>
        <v>0.44374999999999998</v>
      </c>
      <c r="K288" s="56">
        <v>2.08</v>
      </c>
      <c r="L288" s="15">
        <f t="shared" si="30"/>
        <v>0</v>
      </c>
      <c r="M288" s="16">
        <f t="shared" si="31"/>
        <v>218.49651200000002</v>
      </c>
      <c r="N288" s="17">
        <f t="shared" si="32"/>
        <v>2.08</v>
      </c>
      <c r="O288" s="17">
        <f t="shared" si="33"/>
        <v>16640</v>
      </c>
      <c r="P288" s="18">
        <f t="shared" si="34"/>
        <v>1747972.0960000001</v>
      </c>
      <c r="R288" s="66"/>
      <c r="S288" s="133"/>
      <c r="T288" s="20"/>
      <c r="U288" s="20"/>
      <c r="V288" s="20"/>
      <c r="W288" s="20"/>
      <c r="X288" s="20"/>
      <c r="Y288" s="20"/>
      <c r="Z288" s="20"/>
      <c r="AA288" s="20"/>
    </row>
    <row r="289" spans="1:27">
      <c r="A289" s="54">
        <v>45670</v>
      </c>
      <c r="B289" s="10">
        <v>45671</v>
      </c>
      <c r="C289" s="11">
        <f>VLOOKUP(B:B,'Курс валют'!A:D,4,0)</f>
        <v>104.8556</v>
      </c>
      <c r="D289" s="58">
        <v>3</v>
      </c>
      <c r="E289" s="62" t="s">
        <v>50</v>
      </c>
      <c r="F289" s="58">
        <v>5600</v>
      </c>
      <c r="G289" s="58">
        <v>5640.4</v>
      </c>
      <c r="H289" s="56">
        <v>0</v>
      </c>
      <c r="I289" s="58">
        <f t="shared" si="28"/>
        <v>40.399999999999636</v>
      </c>
      <c r="J289" s="14">
        <f t="shared" si="29"/>
        <v>0.72142857142856498</v>
      </c>
      <c r="K289" s="56">
        <v>2.09</v>
      </c>
      <c r="L289" s="15">
        <f t="shared" si="30"/>
        <v>0</v>
      </c>
      <c r="M289" s="16">
        <f t="shared" si="31"/>
        <v>219.14820400000002</v>
      </c>
      <c r="N289" s="17">
        <f t="shared" si="32"/>
        <v>2.09</v>
      </c>
      <c r="O289" s="17">
        <f t="shared" si="33"/>
        <v>11704</v>
      </c>
      <c r="P289" s="18">
        <f t="shared" si="34"/>
        <v>1227229.9424000001</v>
      </c>
      <c r="R289" s="66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>
      <c r="A290" s="54">
        <v>45671</v>
      </c>
      <c r="B290" s="10">
        <v>45671</v>
      </c>
      <c r="C290" s="11">
        <f>VLOOKUP(B:B,'Курс валют'!A:D,4,0)</f>
        <v>104.8556</v>
      </c>
      <c r="D290" s="58">
        <v>4</v>
      </c>
      <c r="E290" s="50" t="s">
        <v>85</v>
      </c>
      <c r="F290" s="58">
        <v>10032.86</v>
      </c>
      <c r="G290" s="58">
        <v>10032.86</v>
      </c>
      <c r="H290" s="56">
        <v>0</v>
      </c>
      <c r="I290" s="58">
        <f t="shared" si="28"/>
        <v>0</v>
      </c>
      <c r="J290" s="14">
        <f t="shared" si="29"/>
        <v>0</v>
      </c>
      <c r="K290" s="56">
        <v>2.5099999999999998</v>
      </c>
      <c r="L290" s="15">
        <f t="shared" si="30"/>
        <v>0</v>
      </c>
      <c r="M290" s="16">
        <f t="shared" si="31"/>
        <v>263.18755599999997</v>
      </c>
      <c r="N290" s="17">
        <f t="shared" si="32"/>
        <v>2.5099999999999998</v>
      </c>
      <c r="O290" s="17">
        <f t="shared" si="33"/>
        <v>25182.478599999999</v>
      </c>
      <c r="P290" s="18">
        <f t="shared" si="34"/>
        <v>2640523.9030901599</v>
      </c>
      <c r="R290" s="66" t="s">
        <v>2469</v>
      </c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>
      <c r="A291" s="54">
        <v>45671</v>
      </c>
      <c r="B291" s="10">
        <v>45672</v>
      </c>
      <c r="C291" s="11">
        <f>VLOOKUP(B:B,'Курс валют'!A:D,4,0)</f>
        <v>106.24930000000001</v>
      </c>
      <c r="D291" s="58">
        <v>5</v>
      </c>
      <c r="E291" s="50" t="s">
        <v>51</v>
      </c>
      <c r="F291" s="58">
        <v>8000</v>
      </c>
      <c r="G291" s="58">
        <v>8028</v>
      </c>
      <c r="H291" s="56">
        <v>0</v>
      </c>
      <c r="I291" s="58">
        <f t="shared" si="28"/>
        <v>28</v>
      </c>
      <c r="J291" s="14">
        <f t="shared" si="29"/>
        <v>0.35000000000000003</v>
      </c>
      <c r="K291" s="56">
        <v>2.1800000000000002</v>
      </c>
      <c r="L291" s="15">
        <f t="shared" si="30"/>
        <v>0</v>
      </c>
      <c r="M291" s="16">
        <f t="shared" si="31"/>
        <v>231.62347400000002</v>
      </c>
      <c r="N291" s="17">
        <f t="shared" si="32"/>
        <v>2.1800000000000002</v>
      </c>
      <c r="O291" s="17">
        <f t="shared" si="33"/>
        <v>17440</v>
      </c>
      <c r="P291" s="18">
        <f t="shared" si="34"/>
        <v>1852987.7920000001</v>
      </c>
      <c r="R291" s="66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>
      <c r="A292" s="54">
        <v>45671</v>
      </c>
      <c r="B292" s="10">
        <v>45672</v>
      </c>
      <c r="C292" s="11">
        <f>VLOOKUP(B:B,'Курс валют'!A:D,4,0)</f>
        <v>106.24930000000001</v>
      </c>
      <c r="D292" s="58">
        <v>6</v>
      </c>
      <c r="E292" s="62" t="s">
        <v>50</v>
      </c>
      <c r="F292" s="58">
        <v>1600</v>
      </c>
      <c r="G292" s="58">
        <v>1622</v>
      </c>
      <c r="H292" s="56">
        <v>0</v>
      </c>
      <c r="I292" s="58">
        <f t="shared" si="28"/>
        <v>22</v>
      </c>
      <c r="J292" s="14">
        <f t="shared" si="29"/>
        <v>1.375</v>
      </c>
      <c r="K292" s="56">
        <v>2.11</v>
      </c>
      <c r="L292" s="15">
        <f t="shared" si="30"/>
        <v>0</v>
      </c>
      <c r="M292" s="16">
        <f t="shared" si="31"/>
        <v>224.18602300000003</v>
      </c>
      <c r="N292" s="17">
        <f t="shared" si="32"/>
        <v>2.11</v>
      </c>
      <c r="O292" s="17">
        <f t="shared" si="33"/>
        <v>3376</v>
      </c>
      <c r="P292" s="18">
        <f t="shared" si="34"/>
        <v>358697.63680000004</v>
      </c>
      <c r="R292" s="66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>
      <c r="A293" s="54">
        <v>45672</v>
      </c>
      <c r="B293" s="10">
        <v>45673</v>
      </c>
      <c r="C293" s="11">
        <f>VLOOKUP(B:B,'Курс валют'!A:D,4,0)</f>
        <v>106.0971</v>
      </c>
      <c r="D293" s="58">
        <v>7</v>
      </c>
      <c r="E293" s="62" t="s">
        <v>50</v>
      </c>
      <c r="F293" s="58">
        <v>8800</v>
      </c>
      <c r="G293" s="58">
        <v>8837.6</v>
      </c>
      <c r="H293" s="56">
        <v>0</v>
      </c>
      <c r="I293" s="58">
        <f t="shared" si="28"/>
        <v>37.600000000000364</v>
      </c>
      <c r="J293" s="14">
        <f t="shared" si="29"/>
        <v>0.42727272727273141</v>
      </c>
      <c r="K293" s="56">
        <v>2.09</v>
      </c>
      <c r="L293" s="15">
        <f t="shared" si="30"/>
        <v>0</v>
      </c>
      <c r="M293" s="16">
        <f t="shared" si="31"/>
        <v>221.74293900000001</v>
      </c>
      <c r="N293" s="17">
        <f t="shared" si="32"/>
        <v>2.09</v>
      </c>
      <c r="O293" s="17">
        <f t="shared" si="33"/>
        <v>18392</v>
      </c>
      <c r="P293" s="18">
        <f t="shared" si="34"/>
        <v>1951337.8632</v>
      </c>
      <c r="R293" s="66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>
      <c r="A294" s="54">
        <v>45672</v>
      </c>
      <c r="B294" s="10">
        <v>45673</v>
      </c>
      <c r="C294" s="11">
        <f>VLOOKUP(B:B,'Курс валют'!A:D,4,0)</f>
        <v>106.0971</v>
      </c>
      <c r="D294" s="58">
        <v>8</v>
      </c>
      <c r="E294" s="64" t="s">
        <v>54</v>
      </c>
      <c r="F294" s="58">
        <v>600</v>
      </c>
      <c r="G294" s="58">
        <v>613.4</v>
      </c>
      <c r="H294" s="56">
        <v>0</v>
      </c>
      <c r="I294" s="58">
        <f t="shared" si="28"/>
        <v>13.399999999999977</v>
      </c>
      <c r="J294" s="14">
        <f t="shared" si="29"/>
        <v>2.2333333333333294</v>
      </c>
      <c r="K294" s="56">
        <v>3.02</v>
      </c>
      <c r="L294" s="15">
        <f t="shared" si="30"/>
        <v>0</v>
      </c>
      <c r="M294" s="16">
        <f t="shared" si="31"/>
        <v>320.41324199999997</v>
      </c>
      <c r="N294" s="17">
        <f t="shared" si="32"/>
        <v>3.02</v>
      </c>
      <c r="O294" s="17">
        <f t="shared" si="33"/>
        <v>1812</v>
      </c>
      <c r="P294" s="18">
        <f t="shared" si="34"/>
        <v>192247.94519999999</v>
      </c>
      <c r="R294" s="66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>
      <c r="A295" s="54">
        <v>45673</v>
      </c>
      <c r="B295" s="10">
        <v>45674</v>
      </c>
      <c r="C295" s="11">
        <f>VLOOKUP(B:B,'Курс валют'!A:D,4,0)</f>
        <v>105.80719999999999</v>
      </c>
      <c r="D295" s="58">
        <v>9</v>
      </c>
      <c r="E295" s="62" t="s">
        <v>50</v>
      </c>
      <c r="F295" s="58">
        <v>8800</v>
      </c>
      <c r="G295" s="58">
        <v>8843.6</v>
      </c>
      <c r="H295" s="56">
        <v>0</v>
      </c>
      <c r="I295" s="58">
        <f t="shared" si="28"/>
        <v>43.600000000000364</v>
      </c>
      <c r="J295" s="14">
        <f t="shared" si="29"/>
        <v>0.49545454545454959</v>
      </c>
      <c r="K295" s="56">
        <v>2.1</v>
      </c>
      <c r="L295" s="15">
        <f t="shared" si="30"/>
        <v>0</v>
      </c>
      <c r="M295" s="16">
        <f t="shared" si="31"/>
        <v>222.19511999999997</v>
      </c>
      <c r="N295" s="17">
        <f t="shared" si="32"/>
        <v>2.1</v>
      </c>
      <c r="O295" s="17">
        <f t="shared" si="33"/>
        <v>18480</v>
      </c>
      <c r="P295" s="18">
        <f t="shared" si="34"/>
        <v>1955317.0559999999</v>
      </c>
      <c r="R295" s="66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>
      <c r="A296" s="54">
        <v>45673</v>
      </c>
      <c r="B296" s="10">
        <v>45674</v>
      </c>
      <c r="C296" s="11">
        <f>VLOOKUP(B:B,'Курс валют'!A:D,4,0)</f>
        <v>105.80719999999999</v>
      </c>
      <c r="D296" s="58">
        <v>10</v>
      </c>
      <c r="E296" s="64" t="s">
        <v>54</v>
      </c>
      <c r="F296" s="58">
        <v>600</v>
      </c>
      <c r="G296" s="58">
        <v>623.4</v>
      </c>
      <c r="H296" s="56">
        <v>0</v>
      </c>
      <c r="I296" s="58">
        <f t="shared" si="28"/>
        <v>23.399999999999977</v>
      </c>
      <c r="J296" s="14">
        <f t="shared" si="29"/>
        <v>3.8999999999999964</v>
      </c>
      <c r="K296" s="56">
        <v>3.05</v>
      </c>
      <c r="L296" s="15">
        <f t="shared" si="30"/>
        <v>0</v>
      </c>
      <c r="M296" s="16">
        <f t="shared" si="31"/>
        <v>322.71195999999998</v>
      </c>
      <c r="N296" s="17">
        <f t="shared" si="32"/>
        <v>3.05</v>
      </c>
      <c r="O296" s="17">
        <f t="shared" si="33"/>
        <v>1830</v>
      </c>
      <c r="P296" s="18">
        <f t="shared" si="34"/>
        <v>193627.17599999998</v>
      </c>
      <c r="R296" s="66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>
      <c r="A297" s="54">
        <v>45674</v>
      </c>
      <c r="B297" s="10">
        <v>45677</v>
      </c>
      <c r="C297" s="11">
        <f>VLOOKUP(B:B,'Курс валют'!A:D,4,0)</f>
        <v>104.8609</v>
      </c>
      <c r="D297" s="58">
        <v>11</v>
      </c>
      <c r="E297" s="64" t="s">
        <v>15</v>
      </c>
      <c r="F297" s="58">
        <v>8800</v>
      </c>
      <c r="G297" s="58">
        <v>8830</v>
      </c>
      <c r="H297" s="56">
        <v>4025</v>
      </c>
      <c r="I297" s="58">
        <f t="shared" si="28"/>
        <v>30</v>
      </c>
      <c r="J297" s="14">
        <f t="shared" si="29"/>
        <v>0.34090909090909088</v>
      </c>
      <c r="K297" s="56">
        <v>3.89</v>
      </c>
      <c r="L297" s="15">
        <f t="shared" si="30"/>
        <v>45.738636363636367</v>
      </c>
      <c r="M297" s="16">
        <f t="shared" si="31"/>
        <v>262.10458595454543</v>
      </c>
      <c r="N297" s="17">
        <f t="shared" si="32"/>
        <v>2.4995454545454545</v>
      </c>
      <c r="O297" s="17">
        <f t="shared" si="33"/>
        <v>21996</v>
      </c>
      <c r="P297" s="18">
        <f t="shared" si="34"/>
        <v>2306520.3563999999</v>
      </c>
      <c r="R297" s="66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>
      <c r="A298" s="54">
        <v>45674</v>
      </c>
      <c r="B298" s="10">
        <v>45677</v>
      </c>
      <c r="C298" s="11">
        <f>VLOOKUP(B:B,'Курс валют'!A:D,4,0)</f>
        <v>104.8609</v>
      </c>
      <c r="D298" s="58">
        <v>12</v>
      </c>
      <c r="E298" s="62" t="s">
        <v>50</v>
      </c>
      <c r="F298" s="58">
        <v>800</v>
      </c>
      <c r="G298" s="58">
        <v>804.06</v>
      </c>
      <c r="H298" s="56">
        <v>0</v>
      </c>
      <c r="I298" s="58">
        <f t="shared" si="28"/>
        <v>4.0599999999999454</v>
      </c>
      <c r="J298" s="14">
        <f t="shared" si="29"/>
        <v>0.50749999999999318</v>
      </c>
      <c r="K298" s="56">
        <v>2.09</v>
      </c>
      <c r="L298" s="15">
        <f t="shared" si="30"/>
        <v>0</v>
      </c>
      <c r="M298" s="16">
        <f t="shared" si="31"/>
        <v>219.15928100000002</v>
      </c>
      <c r="N298" s="17">
        <f t="shared" si="32"/>
        <v>2.09</v>
      </c>
      <c r="O298" s="17">
        <f t="shared" si="33"/>
        <v>1672</v>
      </c>
      <c r="P298" s="18">
        <f t="shared" si="34"/>
        <v>175327.42480000001</v>
      </c>
      <c r="R298" s="65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>
      <c r="A299" s="54">
        <v>45674</v>
      </c>
      <c r="B299" s="10">
        <v>45677</v>
      </c>
      <c r="C299" s="11">
        <f>VLOOKUP(B:B,'Курс валют'!A:D,4,0)</f>
        <v>104.8609</v>
      </c>
      <c r="D299" s="58">
        <v>13</v>
      </c>
      <c r="E299" s="50" t="s">
        <v>15</v>
      </c>
      <c r="F299" s="58">
        <v>9900</v>
      </c>
      <c r="G299" s="58">
        <v>9937</v>
      </c>
      <c r="H299" s="56">
        <v>4529</v>
      </c>
      <c r="I299" s="58">
        <f t="shared" si="28"/>
        <v>37</v>
      </c>
      <c r="J299" s="14">
        <f t="shared" si="29"/>
        <v>0.37373737373737376</v>
      </c>
      <c r="K299" s="56">
        <v>3.89</v>
      </c>
      <c r="L299" s="15">
        <f t="shared" si="30"/>
        <v>45.747474747474747</v>
      </c>
      <c r="M299" s="16">
        <f t="shared" si="31"/>
        <v>262.07641120767676</v>
      </c>
      <c r="N299" s="17">
        <f t="shared" si="32"/>
        <v>2.4992767676767675</v>
      </c>
      <c r="O299" s="17">
        <f t="shared" si="33"/>
        <v>24742.84</v>
      </c>
      <c r="P299" s="18">
        <f t="shared" si="34"/>
        <v>2594556.470956</v>
      </c>
      <c r="R299" s="66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>
      <c r="A300" s="54">
        <v>45674</v>
      </c>
      <c r="B300" s="10">
        <v>45677</v>
      </c>
      <c r="C300" s="11">
        <f>VLOOKUP(B:B,'Курс валют'!A:D,4,0)</f>
        <v>104.8609</v>
      </c>
      <c r="D300" s="58">
        <v>14</v>
      </c>
      <c r="E300" s="50" t="s">
        <v>15</v>
      </c>
      <c r="F300" s="58">
        <v>12100</v>
      </c>
      <c r="G300" s="58">
        <v>12146</v>
      </c>
      <c r="H300" s="56">
        <v>5537</v>
      </c>
      <c r="I300" s="58">
        <f t="shared" si="28"/>
        <v>46</v>
      </c>
      <c r="J300" s="14">
        <f t="shared" si="29"/>
        <v>0.38016528925619836</v>
      </c>
      <c r="K300" s="56">
        <v>3.89</v>
      </c>
      <c r="L300" s="15">
        <f t="shared" si="30"/>
        <v>45.760330578512395</v>
      </c>
      <c r="M300" s="16">
        <f t="shared" si="31"/>
        <v>262.03542975768596</v>
      </c>
      <c r="N300" s="17">
        <f t="shared" si="32"/>
        <v>2.4988859504132233</v>
      </c>
      <c r="O300" s="17">
        <f t="shared" si="33"/>
        <v>30236.52</v>
      </c>
      <c r="P300" s="18">
        <f t="shared" si="34"/>
        <v>3170628.7000680002</v>
      </c>
      <c r="R300" s="65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>
      <c r="A301" s="54">
        <v>45674</v>
      </c>
      <c r="B301" s="10">
        <v>45677</v>
      </c>
      <c r="C301" s="11">
        <f>VLOOKUP(B:B,'Курс валют'!A:D,4,0)</f>
        <v>104.8609</v>
      </c>
      <c r="D301" s="58">
        <v>15</v>
      </c>
      <c r="E301" s="64" t="s">
        <v>93</v>
      </c>
      <c r="F301" s="58">
        <v>220</v>
      </c>
      <c r="G301" s="58">
        <v>220</v>
      </c>
      <c r="H301" s="56">
        <v>0</v>
      </c>
      <c r="I301" s="58">
        <f t="shared" si="28"/>
        <v>0</v>
      </c>
      <c r="J301" s="14">
        <f t="shared" si="29"/>
        <v>0</v>
      </c>
      <c r="K301" s="56">
        <v>3.4</v>
      </c>
      <c r="L301" s="15">
        <f t="shared" si="30"/>
        <v>0</v>
      </c>
      <c r="M301" s="16">
        <f t="shared" si="31"/>
        <v>356.52706000000001</v>
      </c>
      <c r="N301" s="17">
        <f t="shared" si="32"/>
        <v>3.4</v>
      </c>
      <c r="O301" s="17">
        <f t="shared" si="33"/>
        <v>748</v>
      </c>
      <c r="P301" s="18">
        <f t="shared" si="34"/>
        <v>78435.953200000004</v>
      </c>
      <c r="R301" s="65" t="s">
        <v>1267</v>
      </c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>
      <c r="A302" s="54">
        <v>45674</v>
      </c>
      <c r="B302" s="10">
        <v>45677</v>
      </c>
      <c r="C302" s="11">
        <f>VLOOKUP(B:B,'Курс валют'!A:D,4,0)</f>
        <v>104.8609</v>
      </c>
      <c r="D302" s="58">
        <v>16</v>
      </c>
      <c r="E302" s="58" t="s">
        <v>94</v>
      </c>
      <c r="F302" s="58">
        <v>220</v>
      </c>
      <c r="G302" s="58">
        <v>225</v>
      </c>
      <c r="H302" s="56">
        <v>0</v>
      </c>
      <c r="I302" s="58">
        <f t="shared" si="28"/>
        <v>5</v>
      </c>
      <c r="J302" s="14">
        <f t="shared" si="29"/>
        <v>2.2727272727272729</v>
      </c>
      <c r="K302" s="56">
        <v>3.41</v>
      </c>
      <c r="L302" s="15">
        <f t="shared" si="30"/>
        <v>0</v>
      </c>
      <c r="M302" s="16">
        <f t="shared" si="31"/>
        <v>357.575669</v>
      </c>
      <c r="N302" s="17">
        <f t="shared" si="32"/>
        <v>3.41</v>
      </c>
      <c r="O302" s="17">
        <f t="shared" si="33"/>
        <v>750.2</v>
      </c>
      <c r="P302" s="18">
        <f t="shared" si="34"/>
        <v>78666.64718</v>
      </c>
      <c r="R302" s="66" t="s">
        <v>1267</v>
      </c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>
      <c r="A303" s="54">
        <v>45674</v>
      </c>
      <c r="B303" s="10">
        <v>45677</v>
      </c>
      <c r="C303" s="11">
        <f>VLOOKUP(B:B,'Курс валют'!A:D,4,0)</f>
        <v>104.8609</v>
      </c>
      <c r="D303" s="58">
        <v>17</v>
      </c>
      <c r="E303" s="50" t="s">
        <v>72</v>
      </c>
      <c r="F303" s="58">
        <v>200</v>
      </c>
      <c r="G303" s="58">
        <v>200</v>
      </c>
      <c r="H303" s="49">
        <v>0</v>
      </c>
      <c r="I303" s="58">
        <f t="shared" si="28"/>
        <v>0</v>
      </c>
      <c r="J303" s="14">
        <f t="shared" si="29"/>
        <v>0</v>
      </c>
      <c r="K303" s="56">
        <v>3.24</v>
      </c>
      <c r="L303" s="15">
        <f t="shared" si="30"/>
        <v>0</v>
      </c>
      <c r="M303" s="16">
        <f t="shared" si="31"/>
        <v>339.74931600000002</v>
      </c>
      <c r="N303" s="17">
        <f t="shared" si="32"/>
        <v>3.24</v>
      </c>
      <c r="O303" s="17">
        <f t="shared" si="33"/>
        <v>648</v>
      </c>
      <c r="P303" s="18">
        <f t="shared" si="34"/>
        <v>67949.863200000007</v>
      </c>
      <c r="R303" s="65" t="s">
        <v>1267</v>
      </c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>
      <c r="A304" s="54">
        <v>45677</v>
      </c>
      <c r="B304" s="10">
        <v>45678</v>
      </c>
      <c r="C304" s="11">
        <f>VLOOKUP(B:B,'Курс валют'!A:D,4,0)</f>
        <v>105.0457</v>
      </c>
      <c r="D304" s="58">
        <v>18</v>
      </c>
      <c r="E304" s="64" t="s">
        <v>15</v>
      </c>
      <c r="F304" s="58">
        <v>12100</v>
      </c>
      <c r="G304" s="58">
        <v>12140</v>
      </c>
      <c r="H304" s="56">
        <v>5540</v>
      </c>
      <c r="I304" s="58">
        <f t="shared" si="28"/>
        <v>40</v>
      </c>
      <c r="J304" s="14">
        <f t="shared" si="29"/>
        <v>0.33057851239669422</v>
      </c>
      <c r="K304" s="56">
        <v>4.2</v>
      </c>
      <c r="L304" s="15">
        <f t="shared" si="30"/>
        <v>45.785123966942152</v>
      </c>
      <c r="M304" s="16">
        <f t="shared" si="31"/>
        <v>294.98221594049585</v>
      </c>
      <c r="N304" s="17">
        <f t="shared" si="32"/>
        <v>2.8081322314049588</v>
      </c>
      <c r="O304" s="17">
        <f t="shared" si="33"/>
        <v>33978.400000000001</v>
      </c>
      <c r="P304" s="18">
        <f t="shared" si="34"/>
        <v>3569284.8128800001</v>
      </c>
      <c r="R304" s="65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>
      <c r="A305" s="54">
        <v>45678</v>
      </c>
      <c r="B305" s="10">
        <v>45679</v>
      </c>
      <c r="C305" s="11">
        <f>VLOOKUP(B:B,'Курс валют'!A:D,4,0)</f>
        <v>103.2856</v>
      </c>
      <c r="D305" s="58">
        <v>19</v>
      </c>
      <c r="E305" s="62" t="s">
        <v>50</v>
      </c>
      <c r="F305" s="58">
        <v>9600</v>
      </c>
      <c r="G305" s="58">
        <v>9653.32</v>
      </c>
      <c r="H305" s="56">
        <v>0</v>
      </c>
      <c r="I305" s="58">
        <f t="shared" si="28"/>
        <v>53.319999999999709</v>
      </c>
      <c r="J305" s="14">
        <f t="shared" si="29"/>
        <v>0.55541666666666356</v>
      </c>
      <c r="K305" s="56">
        <v>2.1</v>
      </c>
      <c r="L305" s="15">
        <f t="shared" si="30"/>
        <v>0</v>
      </c>
      <c r="M305" s="16">
        <f t="shared" si="31"/>
        <v>216.89975999999999</v>
      </c>
      <c r="N305" s="17">
        <f t="shared" si="32"/>
        <v>2.1</v>
      </c>
      <c r="O305" s="17">
        <f t="shared" si="33"/>
        <v>20160</v>
      </c>
      <c r="P305" s="18">
        <f t="shared" si="34"/>
        <v>2082237.696</v>
      </c>
      <c r="R305" s="66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>
      <c r="A306" s="54">
        <v>45679</v>
      </c>
      <c r="B306" s="10">
        <v>45679</v>
      </c>
      <c r="C306" s="11">
        <f>VLOOKUP(B:B,'Курс валют'!A:D,4,0)</f>
        <v>103.2856</v>
      </c>
      <c r="D306" s="58">
        <v>20</v>
      </c>
      <c r="E306" s="64" t="s">
        <v>2116</v>
      </c>
      <c r="F306" s="58">
        <v>1620</v>
      </c>
      <c r="G306" s="58">
        <v>1620</v>
      </c>
      <c r="H306" s="56">
        <v>0</v>
      </c>
      <c r="I306" s="58">
        <f t="shared" si="28"/>
        <v>0</v>
      </c>
      <c r="J306" s="14">
        <f t="shared" si="29"/>
        <v>0</v>
      </c>
      <c r="K306" s="56">
        <v>2.5099999999999998</v>
      </c>
      <c r="L306" s="15">
        <f t="shared" si="30"/>
        <v>0</v>
      </c>
      <c r="M306" s="16">
        <f t="shared" si="31"/>
        <v>259.24685599999998</v>
      </c>
      <c r="N306" s="17">
        <f t="shared" si="32"/>
        <v>2.5099999999999998</v>
      </c>
      <c r="O306" s="17">
        <f t="shared" si="33"/>
        <v>4066.2</v>
      </c>
      <c r="P306" s="18">
        <f t="shared" si="34"/>
        <v>419979.90671999997</v>
      </c>
      <c r="R306" s="65" t="s">
        <v>2475</v>
      </c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>
      <c r="A307" s="54">
        <v>45679</v>
      </c>
      <c r="B307" s="10">
        <v>45680</v>
      </c>
      <c r="C307" s="11">
        <f>VLOOKUP(B:B,'Курс валют'!A:D,4,0)</f>
        <v>103.2419</v>
      </c>
      <c r="D307" s="58">
        <v>21</v>
      </c>
      <c r="E307" s="62" t="s">
        <v>50</v>
      </c>
      <c r="F307" s="58">
        <v>9600</v>
      </c>
      <c r="G307" s="58">
        <v>9654.7199999999993</v>
      </c>
      <c r="H307" s="56">
        <v>0</v>
      </c>
      <c r="I307" s="58">
        <f t="shared" si="28"/>
        <v>54.719999999999345</v>
      </c>
      <c r="J307" s="14">
        <f t="shared" si="29"/>
        <v>0.56999999999999318</v>
      </c>
      <c r="K307" s="56">
        <v>2.0699999999999998</v>
      </c>
      <c r="L307" s="15">
        <f t="shared" si="30"/>
        <v>0</v>
      </c>
      <c r="M307" s="16">
        <f t="shared" si="31"/>
        <v>213.710733</v>
      </c>
      <c r="N307" s="17">
        <f t="shared" si="32"/>
        <v>2.0699999999999998</v>
      </c>
      <c r="O307" s="17">
        <f t="shared" si="33"/>
        <v>19872</v>
      </c>
      <c r="P307" s="18">
        <f t="shared" si="34"/>
        <v>2051623.0368000001</v>
      </c>
      <c r="R307" s="66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>
      <c r="A308" s="54">
        <v>45680</v>
      </c>
      <c r="B308" s="10">
        <v>45681</v>
      </c>
      <c r="C308" s="11">
        <f>VLOOKUP(B:B,'Курс валют'!A:D,4,0)</f>
        <v>103.66119999999999</v>
      </c>
      <c r="D308" s="58">
        <v>22</v>
      </c>
      <c r="E308" s="50" t="s">
        <v>15</v>
      </c>
      <c r="F308" s="58">
        <v>8800</v>
      </c>
      <c r="G308" s="58">
        <v>8844</v>
      </c>
      <c r="H308" s="56">
        <v>4025</v>
      </c>
      <c r="I308" s="58">
        <f t="shared" si="28"/>
        <v>44</v>
      </c>
      <c r="J308" s="14">
        <f t="shared" si="29"/>
        <v>0.5</v>
      </c>
      <c r="K308" s="56">
        <v>3.41</v>
      </c>
      <c r="L308" s="15">
        <f t="shared" si="30"/>
        <v>45.738636363636367</v>
      </c>
      <c r="M308" s="16">
        <f t="shared" si="31"/>
        <v>209.34850527272727</v>
      </c>
      <c r="N308" s="17">
        <f t="shared" si="32"/>
        <v>2.0195454545454545</v>
      </c>
      <c r="O308" s="17">
        <f t="shared" si="33"/>
        <v>17772</v>
      </c>
      <c r="P308" s="18">
        <f t="shared" si="34"/>
        <v>1842266.8463999999</v>
      </c>
      <c r="R308" s="66" t="s">
        <v>2476</v>
      </c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>
      <c r="A309" s="54">
        <v>45681</v>
      </c>
      <c r="B309" s="10">
        <v>45684</v>
      </c>
      <c r="C309" s="11">
        <f>VLOOKUP(B:B,'Курс валют'!A:D,4,0)</f>
        <v>103.187</v>
      </c>
      <c r="D309" s="58">
        <v>23</v>
      </c>
      <c r="E309" s="50" t="s">
        <v>15</v>
      </c>
      <c r="F309" s="58">
        <v>9900</v>
      </c>
      <c r="G309" s="58">
        <v>9940</v>
      </c>
      <c r="H309" s="56">
        <v>4531</v>
      </c>
      <c r="I309" s="58">
        <f t="shared" si="28"/>
        <v>40</v>
      </c>
      <c r="J309" s="14">
        <f t="shared" si="29"/>
        <v>0.40404040404040403</v>
      </c>
      <c r="K309" s="56">
        <v>3.41</v>
      </c>
      <c r="L309" s="15">
        <f t="shared" si="30"/>
        <v>45.767676767676768</v>
      </c>
      <c r="M309" s="16">
        <f t="shared" si="31"/>
        <v>208.29974041616163</v>
      </c>
      <c r="N309" s="17">
        <f t="shared" si="32"/>
        <v>2.0186626262626266</v>
      </c>
      <c r="O309" s="17">
        <f t="shared" si="33"/>
        <v>19984.760000000002</v>
      </c>
      <c r="P309" s="18">
        <f t="shared" si="34"/>
        <v>2062167.4301200002</v>
      </c>
      <c r="R309" s="66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>
      <c r="A310" s="54">
        <v>45681</v>
      </c>
      <c r="B310" s="10">
        <v>45684</v>
      </c>
      <c r="C310" s="11">
        <f>VLOOKUP(B:B,'Курс валют'!A:D,4,0)</f>
        <v>103.187</v>
      </c>
      <c r="D310" s="58">
        <v>24</v>
      </c>
      <c r="E310" s="50" t="s">
        <v>15</v>
      </c>
      <c r="F310" s="58">
        <v>11000</v>
      </c>
      <c r="G310" s="58">
        <v>11042</v>
      </c>
      <c r="H310" s="56">
        <v>5037</v>
      </c>
      <c r="I310" s="58">
        <f t="shared" si="28"/>
        <v>42</v>
      </c>
      <c r="J310" s="14">
        <f t="shared" si="29"/>
        <v>0.38181818181818183</v>
      </c>
      <c r="K310" s="56">
        <v>3.41</v>
      </c>
      <c r="L310" s="15">
        <f t="shared" si="30"/>
        <v>45.790909090909096</v>
      </c>
      <c r="M310" s="16">
        <f t="shared" si="31"/>
        <v>208.22686329454544</v>
      </c>
      <c r="N310" s="17">
        <f t="shared" si="32"/>
        <v>2.0179563636363635</v>
      </c>
      <c r="O310" s="17">
        <f t="shared" si="33"/>
        <v>22197.52</v>
      </c>
      <c r="P310" s="18">
        <f t="shared" si="34"/>
        <v>2290495.4962399998</v>
      </c>
      <c r="R310" s="66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>
      <c r="A311" s="54">
        <v>45681</v>
      </c>
      <c r="B311" s="10">
        <v>45684</v>
      </c>
      <c r="C311" s="11">
        <f>VLOOKUP(B:B,'Курс валют'!A:D,4,0)</f>
        <v>103.187</v>
      </c>
      <c r="D311" s="58">
        <v>25</v>
      </c>
      <c r="E311" s="50" t="s">
        <v>15</v>
      </c>
      <c r="F311" s="58">
        <v>6600</v>
      </c>
      <c r="G311" s="58">
        <v>6630</v>
      </c>
      <c r="H311" s="56">
        <v>3025</v>
      </c>
      <c r="I311" s="58">
        <f t="shared" si="28"/>
        <v>30</v>
      </c>
      <c r="J311" s="14">
        <f t="shared" si="29"/>
        <v>0.45454545454545453</v>
      </c>
      <c r="K311" s="56">
        <v>3.41</v>
      </c>
      <c r="L311" s="15">
        <f t="shared" si="30"/>
        <v>45.833333333333329</v>
      </c>
      <c r="M311" s="16">
        <f t="shared" si="31"/>
        <v>208.09378333333333</v>
      </c>
      <c r="N311" s="17">
        <f t="shared" si="32"/>
        <v>2.0166666666666666</v>
      </c>
      <c r="O311" s="17">
        <f t="shared" si="33"/>
        <v>13310</v>
      </c>
      <c r="P311" s="18">
        <f t="shared" si="34"/>
        <v>1373418.97</v>
      </c>
      <c r="R311" s="66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>
      <c r="A312" s="54">
        <v>45681</v>
      </c>
      <c r="B312" s="10">
        <v>45684</v>
      </c>
      <c r="C312" s="11">
        <f>VLOOKUP(B:B,'Курс валют'!A:D,4,0)</f>
        <v>103.187</v>
      </c>
      <c r="D312" s="58">
        <v>26</v>
      </c>
      <c r="E312" s="62" t="s">
        <v>50</v>
      </c>
      <c r="F312" s="58">
        <v>2400</v>
      </c>
      <c r="G312" s="58">
        <v>2421.15</v>
      </c>
      <c r="H312" s="56">
        <v>0</v>
      </c>
      <c r="I312" s="58">
        <f t="shared" si="28"/>
        <v>21.150000000000091</v>
      </c>
      <c r="J312" s="14">
        <f t="shared" si="29"/>
        <v>0.88125000000000375</v>
      </c>
      <c r="K312" s="56">
        <v>2.08</v>
      </c>
      <c r="L312" s="15">
        <f t="shared" si="30"/>
        <v>0</v>
      </c>
      <c r="M312" s="16">
        <f t="shared" si="31"/>
        <v>214.62896000000001</v>
      </c>
      <c r="N312" s="17">
        <f t="shared" si="32"/>
        <v>2.08</v>
      </c>
      <c r="O312" s="17">
        <f t="shared" si="33"/>
        <v>4992</v>
      </c>
      <c r="P312" s="18">
        <f t="shared" si="34"/>
        <v>515109.50400000002</v>
      </c>
      <c r="R312" s="66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>
      <c r="A313" s="54">
        <v>45684</v>
      </c>
      <c r="B313" s="10">
        <v>45685</v>
      </c>
      <c r="C313" s="11">
        <f>VLOOKUP(B:B,'Курс валют'!A:D,4,0)</f>
        <v>102.746</v>
      </c>
      <c r="D313" s="58">
        <v>27</v>
      </c>
      <c r="E313" s="62" t="s">
        <v>50</v>
      </c>
      <c r="F313" s="63">
        <v>1600</v>
      </c>
      <c r="G313" s="63">
        <v>1622.12</v>
      </c>
      <c r="H313" s="49">
        <v>0</v>
      </c>
      <c r="I313" s="58">
        <f t="shared" si="28"/>
        <v>22.119999999999891</v>
      </c>
      <c r="J313" s="14">
        <f t="shared" si="29"/>
        <v>1.3824999999999932</v>
      </c>
      <c r="K313" s="49">
        <v>2.08</v>
      </c>
      <c r="L313" s="15">
        <f t="shared" si="30"/>
        <v>0</v>
      </c>
      <c r="M313" s="16">
        <f t="shared" si="31"/>
        <v>213.71167999999997</v>
      </c>
      <c r="N313" s="17">
        <f t="shared" si="32"/>
        <v>2.08</v>
      </c>
      <c r="O313" s="17">
        <f t="shared" si="33"/>
        <v>3328</v>
      </c>
      <c r="P313" s="18">
        <f t="shared" si="34"/>
        <v>341938.68799999997</v>
      </c>
      <c r="R313" s="66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>
      <c r="A314" s="54">
        <v>45684</v>
      </c>
      <c r="B314" s="10">
        <v>45685</v>
      </c>
      <c r="C314" s="11">
        <f>VLOOKUP(B:B,'Курс валют'!A:D,4,0)</f>
        <v>102.746</v>
      </c>
      <c r="D314" s="58">
        <v>28</v>
      </c>
      <c r="E314" s="64" t="s">
        <v>15</v>
      </c>
      <c r="F314" s="58">
        <v>5500</v>
      </c>
      <c r="G314" s="58">
        <v>5552</v>
      </c>
      <c r="H314" s="56">
        <v>2522</v>
      </c>
      <c r="I314" s="58">
        <f t="shared" si="28"/>
        <v>52</v>
      </c>
      <c r="J314" s="14">
        <f t="shared" si="29"/>
        <v>0.94545454545454555</v>
      </c>
      <c r="K314" s="56">
        <v>3.82</v>
      </c>
      <c r="L314" s="15">
        <f t="shared" si="30"/>
        <v>45.854545454545452</v>
      </c>
      <c r="M314" s="16">
        <f t="shared" si="31"/>
        <v>249.26403773090908</v>
      </c>
      <c r="N314" s="17">
        <f t="shared" si="32"/>
        <v>2.4260218181818178</v>
      </c>
      <c r="O314" s="17">
        <f t="shared" si="33"/>
        <v>13343.119999999999</v>
      </c>
      <c r="P314" s="18">
        <f t="shared" si="34"/>
        <v>1370952.2075199999</v>
      </c>
      <c r="R314" s="66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>
      <c r="A315" s="54">
        <v>45684</v>
      </c>
      <c r="B315" s="10">
        <v>45684</v>
      </c>
      <c r="C315" s="11">
        <f>VLOOKUP(B:B,'Курс валют'!A:D,4,0)</f>
        <v>103.187</v>
      </c>
      <c r="D315" s="58">
        <v>29</v>
      </c>
      <c r="E315" s="64" t="s">
        <v>2424</v>
      </c>
      <c r="F315" s="58">
        <v>60</v>
      </c>
      <c r="G315" s="57">
        <v>60</v>
      </c>
      <c r="H315" s="56">
        <v>0</v>
      </c>
      <c r="I315" s="58">
        <f t="shared" si="28"/>
        <v>0</v>
      </c>
      <c r="J315" s="14">
        <f t="shared" si="29"/>
        <v>0</v>
      </c>
      <c r="K315" s="56">
        <v>2.48</v>
      </c>
      <c r="L315" s="15">
        <f t="shared" si="30"/>
        <v>0</v>
      </c>
      <c r="M315" s="16">
        <f t="shared" si="31"/>
        <v>255.90376000000003</v>
      </c>
      <c r="N315" s="17">
        <f t="shared" si="32"/>
        <v>2.48</v>
      </c>
      <c r="O315" s="17">
        <f t="shared" si="33"/>
        <v>148.80000000000001</v>
      </c>
      <c r="P315" s="18">
        <f t="shared" si="34"/>
        <v>15354.225600000002</v>
      </c>
      <c r="R315" s="66" t="s">
        <v>172</v>
      </c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>
      <c r="A316" s="54">
        <v>45685</v>
      </c>
      <c r="B316" s="10">
        <v>45686</v>
      </c>
      <c r="C316" s="11">
        <f>VLOOKUP(B:B,'Курс валют'!A:D,4,0)</f>
        <v>101.59569999999999</v>
      </c>
      <c r="D316" s="58">
        <v>30</v>
      </c>
      <c r="E316" s="50" t="s">
        <v>15</v>
      </c>
      <c r="F316" s="58">
        <v>4400</v>
      </c>
      <c r="G316" s="57">
        <v>4421</v>
      </c>
      <c r="H316" s="56">
        <v>2015</v>
      </c>
      <c r="I316" s="58">
        <f t="shared" si="28"/>
        <v>21</v>
      </c>
      <c r="J316" s="14">
        <f t="shared" si="29"/>
        <v>0.47727272727272729</v>
      </c>
      <c r="K316" s="56">
        <v>3.81</v>
      </c>
      <c r="L316" s="15">
        <f t="shared" si="30"/>
        <v>45.795454545454547</v>
      </c>
      <c r="M316" s="16">
        <f t="shared" si="31"/>
        <v>245.63993065454542</v>
      </c>
      <c r="N316" s="17">
        <f t="shared" si="32"/>
        <v>2.4178181818181819</v>
      </c>
      <c r="O316" s="17">
        <f t="shared" si="33"/>
        <v>10638.4</v>
      </c>
      <c r="P316" s="18">
        <f t="shared" si="34"/>
        <v>1080815.6948799998</v>
      </c>
      <c r="R316" s="65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>
      <c r="A317" s="54">
        <v>45685</v>
      </c>
      <c r="B317" s="10">
        <v>45686</v>
      </c>
      <c r="C317" s="11">
        <f>VLOOKUP(B:B,'Курс валют'!A:D,4,0)</f>
        <v>101.59569999999999</v>
      </c>
      <c r="D317" s="58">
        <v>31</v>
      </c>
      <c r="E317" s="64" t="s">
        <v>54</v>
      </c>
      <c r="F317" s="58">
        <v>1200</v>
      </c>
      <c r="G317" s="57">
        <v>1216.5</v>
      </c>
      <c r="H317" s="56">
        <v>0</v>
      </c>
      <c r="I317" s="58">
        <f t="shared" si="28"/>
        <v>16.5</v>
      </c>
      <c r="J317" s="14">
        <f t="shared" si="29"/>
        <v>1.375</v>
      </c>
      <c r="K317" s="56">
        <v>2.96</v>
      </c>
      <c r="L317" s="15">
        <f t="shared" si="30"/>
        <v>0</v>
      </c>
      <c r="M317" s="16">
        <f t="shared" si="31"/>
        <v>300.72327200000001</v>
      </c>
      <c r="N317" s="17">
        <f t="shared" si="32"/>
        <v>2.96</v>
      </c>
      <c r="O317" s="17">
        <f t="shared" si="33"/>
        <v>3552</v>
      </c>
      <c r="P317" s="18">
        <f t="shared" si="34"/>
        <v>360867.9264</v>
      </c>
      <c r="R317" s="65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>
      <c r="A318" s="54">
        <v>45686</v>
      </c>
      <c r="B318" s="10">
        <v>45687</v>
      </c>
      <c r="C318" s="11">
        <f>VLOOKUP(B:B,'Курс валют'!A:D,4,0)</f>
        <v>102.4041</v>
      </c>
      <c r="D318" s="58">
        <v>32</v>
      </c>
      <c r="E318" s="50" t="s">
        <v>57</v>
      </c>
      <c r="F318" s="58">
        <v>1000</v>
      </c>
      <c r="G318" s="57">
        <v>1027</v>
      </c>
      <c r="H318" s="56">
        <v>477</v>
      </c>
      <c r="I318" s="58">
        <f t="shared" si="28"/>
        <v>27</v>
      </c>
      <c r="J318" s="14">
        <f t="shared" si="29"/>
        <v>2.7</v>
      </c>
      <c r="K318" s="56">
        <v>3.91</v>
      </c>
      <c r="L318" s="15">
        <f t="shared" si="30"/>
        <v>47.699999999999996</v>
      </c>
      <c r="M318" s="16">
        <f t="shared" si="31"/>
        <v>251.90589367200002</v>
      </c>
      <c r="N318" s="17">
        <f t="shared" si="32"/>
        <v>2.4599199999999999</v>
      </c>
      <c r="O318" s="17">
        <f t="shared" si="33"/>
        <v>2459.92</v>
      </c>
      <c r="P318" s="18">
        <f t="shared" si="34"/>
        <v>251905.89367200001</v>
      </c>
      <c r="R318" s="65" t="s">
        <v>2456</v>
      </c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>
      <c r="A319" s="54">
        <v>45686</v>
      </c>
      <c r="B319" s="10">
        <v>45687</v>
      </c>
      <c r="C319" s="11">
        <f>VLOOKUP(B:B,'Курс валют'!A:D,4,0)</f>
        <v>102.4041</v>
      </c>
      <c r="D319" s="58">
        <v>33</v>
      </c>
      <c r="E319" s="50" t="s">
        <v>2477</v>
      </c>
      <c r="F319" s="58">
        <v>1000</v>
      </c>
      <c r="G319" s="57">
        <v>1032</v>
      </c>
      <c r="H319" s="56">
        <v>479</v>
      </c>
      <c r="I319" s="58">
        <f t="shared" si="28"/>
        <v>32</v>
      </c>
      <c r="J319" s="14">
        <f t="shared" si="29"/>
        <v>3.2</v>
      </c>
      <c r="K319" s="56">
        <v>3.91</v>
      </c>
      <c r="L319" s="15">
        <f t="shared" si="30"/>
        <v>47.9</v>
      </c>
      <c r="M319" s="16">
        <f t="shared" si="31"/>
        <v>251.28327674400001</v>
      </c>
      <c r="N319" s="17">
        <f t="shared" si="32"/>
        <v>2.45384</v>
      </c>
      <c r="O319" s="17">
        <f t="shared" si="33"/>
        <v>2453.84</v>
      </c>
      <c r="P319" s="18">
        <f t="shared" si="34"/>
        <v>251283.276744</v>
      </c>
      <c r="R319" s="65" t="s">
        <v>2456</v>
      </c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>
      <c r="A320" s="54">
        <v>45686</v>
      </c>
      <c r="B320" s="10">
        <v>45687</v>
      </c>
      <c r="C320" s="11">
        <f>VLOOKUP(B:B,'Курс валют'!A:D,4,0)</f>
        <v>102.4041</v>
      </c>
      <c r="D320" s="58">
        <v>34</v>
      </c>
      <c r="E320" s="50" t="s">
        <v>2477</v>
      </c>
      <c r="F320" s="58">
        <v>1000</v>
      </c>
      <c r="G320" s="57">
        <v>1031.5</v>
      </c>
      <c r="H320" s="56">
        <v>480</v>
      </c>
      <c r="I320" s="58">
        <f t="shared" si="28"/>
        <v>31.5</v>
      </c>
      <c r="J320" s="14">
        <f t="shared" si="29"/>
        <v>3.15</v>
      </c>
      <c r="K320" s="56">
        <v>3.91</v>
      </c>
      <c r="L320" s="15">
        <f t="shared" si="30"/>
        <v>48</v>
      </c>
      <c r="M320" s="16">
        <f t="shared" si="31"/>
        <v>250.97196828000003</v>
      </c>
      <c r="N320" s="17">
        <f t="shared" si="32"/>
        <v>2.4508000000000001</v>
      </c>
      <c r="O320" s="17">
        <f t="shared" si="33"/>
        <v>2450.8000000000002</v>
      </c>
      <c r="P320" s="18">
        <f t="shared" si="34"/>
        <v>250971.96828000003</v>
      </c>
      <c r="R320" s="65" t="s">
        <v>2456</v>
      </c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>
      <c r="A321" s="54">
        <v>45686</v>
      </c>
      <c r="B321" s="10">
        <v>45687</v>
      </c>
      <c r="C321" s="11">
        <f>VLOOKUP(B:B,'Курс валют'!A:D,4,0)</f>
        <v>102.4041</v>
      </c>
      <c r="D321" s="58">
        <v>35</v>
      </c>
      <c r="E321" s="50" t="s">
        <v>15</v>
      </c>
      <c r="F321" s="58">
        <v>8800</v>
      </c>
      <c r="G321" s="57">
        <v>8868</v>
      </c>
      <c r="H321" s="56">
        <v>4023</v>
      </c>
      <c r="I321" s="58">
        <f t="shared" si="28"/>
        <v>68</v>
      </c>
      <c r="J321" s="14">
        <f t="shared" si="29"/>
        <v>0.77272727272727271</v>
      </c>
      <c r="K321" s="56">
        <v>3.54</v>
      </c>
      <c r="L321" s="15">
        <f t="shared" si="30"/>
        <v>45.715909090909093</v>
      </c>
      <c r="M321" s="16">
        <f t="shared" si="31"/>
        <v>220.19301960545457</v>
      </c>
      <c r="N321" s="17">
        <f t="shared" si="32"/>
        <v>2.1502363636363637</v>
      </c>
      <c r="O321" s="17">
        <f t="shared" si="33"/>
        <v>18922.080000000002</v>
      </c>
      <c r="P321" s="18">
        <f t="shared" si="34"/>
        <v>1937698.5725280002</v>
      </c>
      <c r="R321" s="66" t="s">
        <v>2478</v>
      </c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>
      <c r="A322" s="54">
        <v>45686</v>
      </c>
      <c r="B322" s="10">
        <v>45687</v>
      </c>
      <c r="C322" s="11">
        <f>VLOOKUP(B:B,'Курс валют'!A:D,4,0)</f>
        <v>102.4041</v>
      </c>
      <c r="D322" s="58">
        <v>36</v>
      </c>
      <c r="E322" s="50" t="s">
        <v>204</v>
      </c>
      <c r="F322" s="58">
        <v>220</v>
      </c>
      <c r="G322" s="57">
        <v>220</v>
      </c>
      <c r="H322" s="56">
        <v>0</v>
      </c>
      <c r="I322" s="58">
        <f t="shared" si="28"/>
        <v>0</v>
      </c>
      <c r="J322" s="14">
        <f t="shared" si="29"/>
        <v>0</v>
      </c>
      <c r="K322" s="56">
        <v>4.0199999999999996</v>
      </c>
      <c r="L322" s="15">
        <f t="shared" si="30"/>
        <v>0</v>
      </c>
      <c r="M322" s="16">
        <f t="shared" si="31"/>
        <v>411.66448199999996</v>
      </c>
      <c r="N322" s="17">
        <f t="shared" si="32"/>
        <v>4.0199999999999996</v>
      </c>
      <c r="O322" s="17">
        <f t="shared" si="33"/>
        <v>884.39999999999986</v>
      </c>
      <c r="P322" s="18">
        <f t="shared" si="34"/>
        <v>90566.186039999986</v>
      </c>
      <c r="R322" s="66" t="s">
        <v>1267</v>
      </c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>
      <c r="A323" s="54">
        <v>45686</v>
      </c>
      <c r="B323" s="10">
        <v>45687</v>
      </c>
      <c r="C323" s="11">
        <f>VLOOKUP(B:B,'Курс валют'!A:D,4,0)</f>
        <v>102.4041</v>
      </c>
      <c r="D323" s="58">
        <v>37</v>
      </c>
      <c r="E323" s="50" t="s">
        <v>87</v>
      </c>
      <c r="F323" s="58">
        <v>198</v>
      </c>
      <c r="G323" s="57">
        <v>200</v>
      </c>
      <c r="H323" s="56">
        <v>0</v>
      </c>
      <c r="I323" s="58">
        <f t="shared" si="28"/>
        <v>2</v>
      </c>
      <c r="J323" s="14">
        <f t="shared" si="29"/>
        <v>1.0101010101010102</v>
      </c>
      <c r="K323" s="56">
        <v>2.36</v>
      </c>
      <c r="L323" s="15">
        <f t="shared" si="30"/>
        <v>0</v>
      </c>
      <c r="M323" s="16">
        <f t="shared" si="31"/>
        <v>241.673676</v>
      </c>
      <c r="N323" s="17">
        <f t="shared" si="32"/>
        <v>2.36</v>
      </c>
      <c r="O323" s="17">
        <f t="shared" si="33"/>
        <v>467.28</v>
      </c>
      <c r="P323" s="18">
        <f t="shared" si="34"/>
        <v>47851.387847999998</v>
      </c>
      <c r="R323" s="65" t="s">
        <v>1267</v>
      </c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>
      <c r="A324" s="54">
        <v>45687</v>
      </c>
      <c r="B324" s="10">
        <v>45688</v>
      </c>
      <c r="C324" s="11">
        <f>VLOOKUP(B:B,'Курс валют'!A:D,4,0)</f>
        <v>102.7782</v>
      </c>
      <c r="D324" s="58">
        <v>39</v>
      </c>
      <c r="E324" s="62" t="s">
        <v>50</v>
      </c>
      <c r="F324" s="58">
        <v>9600</v>
      </c>
      <c r="G324" s="57">
        <v>9655.7199999999993</v>
      </c>
      <c r="H324" s="56">
        <v>0</v>
      </c>
      <c r="I324" s="58">
        <f t="shared" si="28"/>
        <v>55.719999999999345</v>
      </c>
      <c r="J324" s="14">
        <f t="shared" si="29"/>
        <v>0.58041666666665981</v>
      </c>
      <c r="K324" s="56">
        <v>2.0699999999999998</v>
      </c>
      <c r="L324" s="15">
        <f t="shared" si="30"/>
        <v>0</v>
      </c>
      <c r="M324" s="16">
        <f t="shared" si="31"/>
        <v>212.75087399999998</v>
      </c>
      <c r="N324" s="17">
        <f t="shared" si="32"/>
        <v>2.0699999999999998</v>
      </c>
      <c r="O324" s="17">
        <f t="shared" si="33"/>
        <v>19872</v>
      </c>
      <c r="P324" s="18">
        <f t="shared" si="34"/>
        <v>2042408.3903999999</v>
      </c>
      <c r="R324" s="66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>
      <c r="A325" s="54">
        <v>45687</v>
      </c>
      <c r="B325" s="10">
        <v>45687</v>
      </c>
      <c r="C325" s="11">
        <f>VLOOKUP(B:B,'Курс валют'!A:D,4,0)</f>
        <v>102.4041</v>
      </c>
      <c r="D325" s="58">
        <v>40</v>
      </c>
      <c r="E325" s="50" t="s">
        <v>2479</v>
      </c>
      <c r="F325" s="58">
        <v>200</v>
      </c>
      <c r="G325" s="57">
        <v>200</v>
      </c>
      <c r="H325" s="56">
        <v>0</v>
      </c>
      <c r="I325" s="58">
        <f t="shared" si="28"/>
        <v>0</v>
      </c>
      <c r="J325" s="14">
        <f t="shared" si="29"/>
        <v>0</v>
      </c>
      <c r="K325" s="56">
        <v>2.4900000000000002</v>
      </c>
      <c r="L325" s="15">
        <f t="shared" si="30"/>
        <v>0</v>
      </c>
      <c r="M325" s="16">
        <f t="shared" si="31"/>
        <v>254.98620900000003</v>
      </c>
      <c r="N325" s="17">
        <f t="shared" si="32"/>
        <v>2.4900000000000002</v>
      </c>
      <c r="O325" s="17">
        <f t="shared" si="33"/>
        <v>498.00000000000006</v>
      </c>
      <c r="P325" s="18">
        <f t="shared" si="34"/>
        <v>50997.241800000003</v>
      </c>
      <c r="R325" s="66" t="s">
        <v>172</v>
      </c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>
      <c r="A326" s="54">
        <v>45688</v>
      </c>
      <c r="B326" s="10">
        <v>45688</v>
      </c>
      <c r="C326" s="11">
        <f>VLOOKUP(B:B,'Курс валют'!A:D,4,0)</f>
        <v>102.7782</v>
      </c>
      <c r="D326" s="58">
        <v>41</v>
      </c>
      <c r="E326" s="62" t="s">
        <v>50</v>
      </c>
      <c r="F326" s="58">
        <v>3200</v>
      </c>
      <c r="G326" s="57">
        <v>3234.2</v>
      </c>
      <c r="H326" s="56">
        <v>0</v>
      </c>
      <c r="I326" s="58">
        <f t="shared" si="28"/>
        <v>34.199999999999818</v>
      </c>
      <c r="J326" s="14">
        <f t="shared" si="29"/>
        <v>1.0687499999999943</v>
      </c>
      <c r="K326" s="56">
        <v>2.0699999999999998</v>
      </c>
      <c r="L326" s="15">
        <f t="shared" si="30"/>
        <v>0</v>
      </c>
      <c r="M326" s="16">
        <f t="shared" si="31"/>
        <v>212.75087399999995</v>
      </c>
      <c r="N326" s="17">
        <f t="shared" si="32"/>
        <v>2.0699999999999998</v>
      </c>
      <c r="O326" s="17">
        <f t="shared" si="33"/>
        <v>6623.9999999999991</v>
      </c>
      <c r="P326" s="18">
        <f t="shared" si="34"/>
        <v>680802.79679999989</v>
      </c>
      <c r="R326" s="66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>
      <c r="A327" s="54">
        <v>45687</v>
      </c>
      <c r="B327" s="10">
        <v>45688</v>
      </c>
      <c r="C327" s="11">
        <v>102.7782</v>
      </c>
      <c r="D327" s="58">
        <v>45</v>
      </c>
      <c r="E327" s="50" t="s">
        <v>2477</v>
      </c>
      <c r="F327" s="58">
        <v>1000</v>
      </c>
      <c r="G327" s="57">
        <v>1031</v>
      </c>
      <c r="H327" s="56">
        <v>480</v>
      </c>
      <c r="I327" s="58">
        <f t="shared" si="28"/>
        <v>31</v>
      </c>
      <c r="J327" s="14">
        <f t="shared" si="29"/>
        <v>3.1</v>
      </c>
      <c r="K327" s="56">
        <v>3.91</v>
      </c>
      <c r="L327" s="15">
        <f t="shared" si="30"/>
        <v>48</v>
      </c>
      <c r="M327" s="16">
        <f t="shared" si="31"/>
        <v>251.88881256000002</v>
      </c>
      <c r="N327" s="17">
        <f t="shared" si="32"/>
        <v>2.4508000000000001</v>
      </c>
      <c r="O327" s="17">
        <f t="shared" si="33"/>
        <v>2450.8000000000002</v>
      </c>
      <c r="P327" s="18">
        <f t="shared" si="34"/>
        <v>251888.81256000002</v>
      </c>
      <c r="R327" s="65" t="s">
        <v>2456</v>
      </c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>
      <c r="A328" s="10">
        <v>45688</v>
      </c>
      <c r="B328" s="10">
        <v>45689</v>
      </c>
      <c r="C328" s="11">
        <f>VLOOKUP(B:B,'Курс валют'!A:D,4,0)</f>
        <v>102.1301</v>
      </c>
      <c r="D328" s="11">
        <v>42</v>
      </c>
      <c r="E328" s="62" t="s">
        <v>50</v>
      </c>
      <c r="F328" s="11">
        <v>3200</v>
      </c>
      <c r="G328" s="11">
        <v>3231.2</v>
      </c>
      <c r="H328" s="56">
        <v>0</v>
      </c>
      <c r="I328" s="58">
        <f t="shared" si="28"/>
        <v>31.199999999999818</v>
      </c>
      <c r="J328" s="14">
        <f t="shared" si="29"/>
        <v>0.97499999999999432</v>
      </c>
      <c r="K328" s="46">
        <v>2.09</v>
      </c>
      <c r="L328" s="15">
        <f t="shared" si="30"/>
        <v>0</v>
      </c>
      <c r="M328" s="16">
        <f t="shared" si="31"/>
        <v>213.451909</v>
      </c>
      <c r="N328" s="17">
        <f t="shared" si="32"/>
        <v>2.09</v>
      </c>
      <c r="O328" s="17">
        <f t="shared" si="33"/>
        <v>6688</v>
      </c>
      <c r="P328" s="18">
        <f t="shared" si="34"/>
        <v>683046.10880000005</v>
      </c>
      <c r="R328" s="66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>
      <c r="A329" s="10">
        <v>45688</v>
      </c>
      <c r="B329" s="10">
        <v>45689</v>
      </c>
      <c r="C329" s="11">
        <f>VLOOKUP(B:B,'Курс валют'!A:D,4,0)</f>
        <v>102.1301</v>
      </c>
      <c r="D329" s="58">
        <v>43</v>
      </c>
      <c r="E329" s="50" t="s">
        <v>15</v>
      </c>
      <c r="F329" s="58">
        <v>6600</v>
      </c>
      <c r="G329" s="58">
        <v>6631</v>
      </c>
      <c r="H329" s="56">
        <v>3026</v>
      </c>
      <c r="I329" s="58">
        <f t="shared" si="28"/>
        <v>31</v>
      </c>
      <c r="J329" s="14">
        <f t="shared" si="29"/>
        <v>0.46969696969696967</v>
      </c>
      <c r="K329" s="56">
        <v>3.87</v>
      </c>
      <c r="L329" s="15">
        <f t="shared" si="30"/>
        <v>45.848484848484851</v>
      </c>
      <c r="M329" s="16">
        <f t="shared" si="31"/>
        <v>252.89517259030302</v>
      </c>
      <c r="N329" s="17">
        <f t="shared" si="32"/>
        <v>2.4762060606060605</v>
      </c>
      <c r="O329" s="17">
        <f t="shared" si="33"/>
        <v>16342.96</v>
      </c>
      <c r="P329" s="18">
        <f t="shared" si="34"/>
        <v>1669108.139096</v>
      </c>
      <c r="R329" s="66"/>
      <c r="S329" s="133"/>
      <c r="T329" s="20"/>
      <c r="U329" s="20"/>
      <c r="V329" s="20"/>
      <c r="W329" s="20"/>
      <c r="X329" s="20"/>
      <c r="Y329" s="20"/>
      <c r="Z329" s="20"/>
      <c r="AA329" s="20"/>
    </row>
    <row r="330" spans="1:27" ht="12.75">
      <c r="A330" s="54">
        <v>45688</v>
      </c>
      <c r="B330" s="10">
        <v>45690</v>
      </c>
      <c r="C330" s="11">
        <f>VLOOKUP(B:B,'Курс валют'!A:D,4,0)</f>
        <v>102.1301</v>
      </c>
      <c r="D330" s="58">
        <v>44</v>
      </c>
      <c r="E330" s="50" t="s">
        <v>15</v>
      </c>
      <c r="F330" s="58">
        <v>9900</v>
      </c>
      <c r="G330" s="58">
        <v>9935</v>
      </c>
      <c r="H330" s="56">
        <v>4535</v>
      </c>
      <c r="I330" s="58">
        <f t="shared" si="28"/>
        <v>35</v>
      </c>
      <c r="J330" s="14">
        <f t="shared" si="29"/>
        <v>0.35353535353535354</v>
      </c>
      <c r="K330" s="56">
        <v>3.87</v>
      </c>
      <c r="L330" s="15">
        <f t="shared" si="30"/>
        <v>45.80808080808081</v>
      </c>
      <c r="M330" s="16">
        <f t="shared" si="31"/>
        <v>253.02061723838381</v>
      </c>
      <c r="N330" s="17">
        <f t="shared" si="32"/>
        <v>2.4774343434343433</v>
      </c>
      <c r="O330" s="17">
        <f t="shared" si="33"/>
        <v>24526.6</v>
      </c>
      <c r="P330" s="18">
        <f t="shared" si="34"/>
        <v>2504904.1106599998</v>
      </c>
      <c r="R330" s="66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>
      <c r="A331" s="54">
        <v>45690</v>
      </c>
      <c r="B331" s="10">
        <v>45691</v>
      </c>
      <c r="C331" s="11">
        <f>VLOOKUP(B:B,'Курс валют'!A:D,4,0)</f>
        <v>102.1301</v>
      </c>
      <c r="D331" s="58">
        <v>46</v>
      </c>
      <c r="E331" s="50" t="s">
        <v>15</v>
      </c>
      <c r="F331" s="58">
        <v>11000</v>
      </c>
      <c r="G331" s="58">
        <v>11049</v>
      </c>
      <c r="H331" s="56">
        <v>5029</v>
      </c>
      <c r="I331" s="58">
        <f t="shared" si="28"/>
        <v>49</v>
      </c>
      <c r="J331" s="14">
        <f t="shared" si="29"/>
        <v>0.44545454545454549</v>
      </c>
      <c r="K331" s="56">
        <v>3.87</v>
      </c>
      <c r="L331" s="15">
        <f t="shared" si="30"/>
        <v>45.718181818181819</v>
      </c>
      <c r="M331" s="16">
        <f t="shared" si="31"/>
        <v>253.29973158036358</v>
      </c>
      <c r="N331" s="17">
        <f t="shared" si="32"/>
        <v>2.4801672727272726</v>
      </c>
      <c r="O331" s="17">
        <f t="shared" si="33"/>
        <v>27281.839999999997</v>
      </c>
      <c r="P331" s="18">
        <f t="shared" si="34"/>
        <v>2786297.0473839995</v>
      </c>
      <c r="R331" s="66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>
      <c r="A332" s="54">
        <v>45691</v>
      </c>
      <c r="B332" s="10">
        <v>45692</v>
      </c>
      <c r="C332" s="11">
        <f>VLOOKUP(B:B,'Курс валют'!A:D,4,0)</f>
        <v>102.491</v>
      </c>
      <c r="D332" s="58">
        <v>47</v>
      </c>
      <c r="E332" s="50" t="s">
        <v>15</v>
      </c>
      <c r="F332" s="58">
        <v>9900</v>
      </c>
      <c r="G332" s="58">
        <v>10005</v>
      </c>
      <c r="H332" s="56">
        <v>4529</v>
      </c>
      <c r="I332" s="58">
        <f t="shared" si="28"/>
        <v>105</v>
      </c>
      <c r="J332" s="14">
        <f t="shared" si="29"/>
        <v>1.0606060606060608</v>
      </c>
      <c r="K332" s="56">
        <v>3.89</v>
      </c>
      <c r="L332" s="15">
        <f t="shared" si="30"/>
        <v>45.747474747474747</v>
      </c>
      <c r="M332" s="16">
        <f t="shared" si="31"/>
        <v>256.1533751959596</v>
      </c>
      <c r="N332" s="17">
        <f t="shared" si="32"/>
        <v>2.4992767676767675</v>
      </c>
      <c r="O332" s="17">
        <f t="shared" si="33"/>
        <v>24742.84</v>
      </c>
      <c r="P332" s="18">
        <f t="shared" si="34"/>
        <v>2535918.41444</v>
      </c>
      <c r="R332" s="66" t="s">
        <v>2464</v>
      </c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>
      <c r="A333" s="54">
        <v>45692</v>
      </c>
      <c r="B333" s="10">
        <v>45693</v>
      </c>
      <c r="C333" s="11">
        <f>VLOOKUP(B:B,'Курс валют'!A:D,4,0)</f>
        <v>102.68519999999999</v>
      </c>
      <c r="D333" s="58">
        <v>48</v>
      </c>
      <c r="E333" s="64" t="s">
        <v>15</v>
      </c>
      <c r="F333" s="58">
        <v>13200</v>
      </c>
      <c r="G333" s="58">
        <v>13300</v>
      </c>
      <c r="H333" s="56">
        <v>6040</v>
      </c>
      <c r="I333" s="58">
        <f t="shared" si="28"/>
        <v>100</v>
      </c>
      <c r="J333" s="14">
        <f t="shared" si="29"/>
        <v>0.75757575757575757</v>
      </c>
      <c r="K333" s="56">
        <v>3.82</v>
      </c>
      <c r="L333" s="15">
        <f t="shared" si="30"/>
        <v>45.757575757575758</v>
      </c>
      <c r="M333" s="16">
        <f t="shared" si="31"/>
        <v>249.41923912727273</v>
      </c>
      <c r="N333" s="17">
        <f t="shared" si="32"/>
        <v>2.428969696969697</v>
      </c>
      <c r="O333" s="17">
        <f t="shared" si="33"/>
        <v>32062.400000000001</v>
      </c>
      <c r="P333" s="18">
        <f t="shared" si="34"/>
        <v>3292333.9564800002</v>
      </c>
      <c r="R333" s="66" t="s">
        <v>2464</v>
      </c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>
      <c r="A334" s="54">
        <v>45685</v>
      </c>
      <c r="B334" s="10">
        <v>45694</v>
      </c>
      <c r="C334" s="11">
        <f>VLOOKUP(B:B,'Курс валют'!A:D,4,0)</f>
        <v>102.92149999999999</v>
      </c>
      <c r="D334" s="58">
        <v>50</v>
      </c>
      <c r="E334" s="64" t="s">
        <v>60</v>
      </c>
      <c r="F334" s="58">
        <v>900</v>
      </c>
      <c r="G334" s="58">
        <v>939</v>
      </c>
      <c r="H334" s="56">
        <v>365</v>
      </c>
      <c r="I334" s="58">
        <f t="shared" si="28"/>
        <v>39</v>
      </c>
      <c r="J334" s="14">
        <f t="shared" si="29"/>
        <v>4.3333333333333339</v>
      </c>
      <c r="K334" s="56">
        <v>3.49</v>
      </c>
      <c r="L334" s="15">
        <f t="shared" si="30"/>
        <v>40.555555555555557</v>
      </c>
      <c r="M334" s="16">
        <f t="shared" si="31"/>
        <v>232.30526122222219</v>
      </c>
      <c r="N334" s="17">
        <f t="shared" si="32"/>
        <v>2.2571111111111111</v>
      </c>
      <c r="O334" s="17">
        <f t="shared" si="33"/>
        <v>2031.3999999999999</v>
      </c>
      <c r="P334" s="18">
        <f t="shared" si="34"/>
        <v>209074.73509999996</v>
      </c>
      <c r="R334" s="66"/>
      <c r="S334" s="19" t="s">
        <v>2458</v>
      </c>
      <c r="T334" s="19" t="s">
        <v>2465</v>
      </c>
      <c r="U334" s="20"/>
      <c r="V334" s="20"/>
      <c r="W334" s="20"/>
      <c r="X334" s="20"/>
      <c r="Y334" s="20"/>
      <c r="Z334" s="20"/>
      <c r="AA334" s="20"/>
    </row>
    <row r="335" spans="1:27" ht="12.75">
      <c r="A335" s="54">
        <v>45685</v>
      </c>
      <c r="B335" s="10">
        <v>45694</v>
      </c>
      <c r="C335" s="11">
        <f>VLOOKUP(B:B,'Курс валют'!A:D,4,0)</f>
        <v>102.92149999999999</v>
      </c>
      <c r="D335" s="58">
        <v>51</v>
      </c>
      <c r="E335" s="64" t="s">
        <v>60</v>
      </c>
      <c r="F335" s="58">
        <v>900</v>
      </c>
      <c r="G335" s="58">
        <v>938</v>
      </c>
      <c r="H335" s="56">
        <v>364</v>
      </c>
      <c r="I335" s="58">
        <f t="shared" si="28"/>
        <v>38</v>
      </c>
      <c r="J335" s="14">
        <f t="shared" si="29"/>
        <v>4.2222222222222223</v>
      </c>
      <c r="K335" s="56">
        <v>3.49</v>
      </c>
      <c r="L335" s="15">
        <f t="shared" si="30"/>
        <v>40.444444444444443</v>
      </c>
      <c r="M335" s="16">
        <f t="shared" si="31"/>
        <v>232.65290717777773</v>
      </c>
      <c r="N335" s="17">
        <f t="shared" si="32"/>
        <v>2.2604888888888888</v>
      </c>
      <c r="O335" s="17">
        <f t="shared" si="33"/>
        <v>2034.4399999999998</v>
      </c>
      <c r="P335" s="18">
        <f t="shared" si="34"/>
        <v>209387.61645999996</v>
      </c>
      <c r="R335" s="66"/>
      <c r="S335" s="19" t="s">
        <v>2458</v>
      </c>
      <c r="T335" s="19" t="s">
        <v>2465</v>
      </c>
      <c r="U335" s="20"/>
      <c r="V335" s="20"/>
      <c r="W335" s="20"/>
      <c r="X335" s="20"/>
      <c r="Y335" s="20"/>
      <c r="Z335" s="20"/>
      <c r="AA335" s="20"/>
    </row>
    <row r="336" spans="1:27" ht="12.75">
      <c r="A336" s="54">
        <v>45685</v>
      </c>
      <c r="B336" s="10">
        <v>45694</v>
      </c>
      <c r="C336" s="11">
        <f>VLOOKUP(B:B,'Курс валют'!A:D,4,0)</f>
        <v>102.92149999999999</v>
      </c>
      <c r="D336" s="58">
        <v>52</v>
      </c>
      <c r="E336" s="64" t="s">
        <v>60</v>
      </c>
      <c r="F336" s="58">
        <v>900</v>
      </c>
      <c r="G336" s="58">
        <v>938</v>
      </c>
      <c r="H336" s="56">
        <v>366</v>
      </c>
      <c r="I336" s="58">
        <f t="shared" si="28"/>
        <v>38</v>
      </c>
      <c r="J336" s="14">
        <f t="shared" si="29"/>
        <v>4.2222222222222223</v>
      </c>
      <c r="K336" s="56">
        <v>3.49</v>
      </c>
      <c r="L336" s="15">
        <f t="shared" si="30"/>
        <v>40.666666666666664</v>
      </c>
      <c r="M336" s="16">
        <f t="shared" si="31"/>
        <v>231.95761526666666</v>
      </c>
      <c r="N336" s="17">
        <f t="shared" si="32"/>
        <v>2.2537333333333334</v>
      </c>
      <c r="O336" s="17">
        <f t="shared" si="33"/>
        <v>2028.3600000000001</v>
      </c>
      <c r="P336" s="18">
        <f t="shared" si="34"/>
        <v>208761.85373999999</v>
      </c>
      <c r="R336" s="66"/>
      <c r="S336" s="19" t="s">
        <v>2458</v>
      </c>
      <c r="T336" s="19" t="s">
        <v>2465</v>
      </c>
      <c r="U336" s="20"/>
      <c r="V336" s="20"/>
      <c r="W336" s="20"/>
      <c r="X336" s="20"/>
      <c r="Y336" s="20"/>
      <c r="Z336" s="20"/>
      <c r="AA336" s="20"/>
    </row>
    <row r="337" spans="1:27" ht="12.75">
      <c r="A337" s="54">
        <v>45685</v>
      </c>
      <c r="B337" s="10">
        <v>45694</v>
      </c>
      <c r="C337" s="11">
        <f>VLOOKUP(B:B,'Курс валют'!A:D,4,0)</f>
        <v>102.92149999999999</v>
      </c>
      <c r="D337" s="58">
        <v>53</v>
      </c>
      <c r="E337" s="64" t="s">
        <v>60</v>
      </c>
      <c r="F337" s="58">
        <v>900</v>
      </c>
      <c r="G337" s="58">
        <v>937</v>
      </c>
      <c r="H337" s="56">
        <v>364</v>
      </c>
      <c r="I337" s="58">
        <f t="shared" si="28"/>
        <v>37</v>
      </c>
      <c r="J337" s="14">
        <f t="shared" si="29"/>
        <v>4.1111111111111116</v>
      </c>
      <c r="K337" s="56">
        <v>3.49</v>
      </c>
      <c r="L337" s="15">
        <f t="shared" si="30"/>
        <v>40.444444444444443</v>
      </c>
      <c r="M337" s="16">
        <f t="shared" si="31"/>
        <v>232.65290717777773</v>
      </c>
      <c r="N337" s="17">
        <f t="shared" si="32"/>
        <v>2.2604888888888888</v>
      </c>
      <c r="O337" s="17">
        <f t="shared" si="33"/>
        <v>2034.4399999999998</v>
      </c>
      <c r="P337" s="18">
        <f t="shared" si="34"/>
        <v>209387.61645999996</v>
      </c>
      <c r="R337" s="66"/>
      <c r="S337" s="19" t="s">
        <v>2458</v>
      </c>
      <c r="T337" s="19" t="s">
        <v>2465</v>
      </c>
      <c r="U337" s="20"/>
      <c r="V337" s="20"/>
      <c r="W337" s="20"/>
      <c r="X337" s="20"/>
      <c r="Y337" s="20"/>
      <c r="Z337" s="20"/>
      <c r="AA337" s="20"/>
    </row>
    <row r="338" spans="1:27" ht="12.75">
      <c r="A338" s="54">
        <v>45685</v>
      </c>
      <c r="B338" s="10">
        <v>45694</v>
      </c>
      <c r="C338" s="11">
        <f>VLOOKUP(B:B,'Курс валют'!A:D,4,0)</f>
        <v>102.92149999999999</v>
      </c>
      <c r="D338" s="58">
        <v>54</v>
      </c>
      <c r="E338" s="64" t="s">
        <v>60</v>
      </c>
      <c r="F338" s="58">
        <v>900</v>
      </c>
      <c r="G338" s="58">
        <v>939</v>
      </c>
      <c r="H338" s="56">
        <v>365</v>
      </c>
      <c r="I338" s="58">
        <f t="shared" si="28"/>
        <v>39</v>
      </c>
      <c r="J338" s="14">
        <f t="shared" si="29"/>
        <v>4.3333333333333339</v>
      </c>
      <c r="K338" s="56">
        <v>3.49</v>
      </c>
      <c r="L338" s="15">
        <f t="shared" si="30"/>
        <v>40.555555555555557</v>
      </c>
      <c r="M338" s="16">
        <f t="shared" si="31"/>
        <v>232.30526122222219</v>
      </c>
      <c r="N338" s="17">
        <f t="shared" si="32"/>
        <v>2.2571111111111111</v>
      </c>
      <c r="O338" s="17">
        <f t="shared" si="33"/>
        <v>2031.3999999999999</v>
      </c>
      <c r="P338" s="18">
        <f t="shared" si="34"/>
        <v>209074.73509999996</v>
      </c>
      <c r="R338" s="65"/>
      <c r="S338" s="19" t="s">
        <v>2458</v>
      </c>
      <c r="T338" s="19" t="s">
        <v>2465</v>
      </c>
      <c r="U338" s="20"/>
      <c r="V338" s="20"/>
      <c r="W338" s="20"/>
      <c r="X338" s="20"/>
      <c r="Y338" s="20"/>
      <c r="Z338" s="20"/>
      <c r="AA338" s="20"/>
    </row>
    <row r="339" spans="1:27" ht="12.75">
      <c r="A339" s="54">
        <v>45693</v>
      </c>
      <c r="B339" s="10">
        <v>45694</v>
      </c>
      <c r="C339" s="11">
        <f>VLOOKUP(B:B,'Курс валют'!A:D,4,0)</f>
        <v>102.92149999999999</v>
      </c>
      <c r="D339" s="58">
        <v>55</v>
      </c>
      <c r="E339" s="50" t="s">
        <v>15</v>
      </c>
      <c r="F339" s="58">
        <v>11000</v>
      </c>
      <c r="G339" s="58">
        <v>11055</v>
      </c>
      <c r="H339" s="56">
        <v>5031</v>
      </c>
      <c r="I339" s="58">
        <f t="shared" si="28"/>
        <v>55</v>
      </c>
      <c r="J339" s="14">
        <f t="shared" si="29"/>
        <v>0.5</v>
      </c>
      <c r="K339" s="56">
        <v>3.82</v>
      </c>
      <c r="L339" s="15">
        <f t="shared" si="30"/>
        <v>45.736363636363635</v>
      </c>
      <c r="M339" s="16">
        <f t="shared" si="31"/>
        <v>250.05957343999998</v>
      </c>
      <c r="N339" s="17">
        <f t="shared" si="32"/>
        <v>2.4296145454545455</v>
      </c>
      <c r="O339" s="17">
        <f t="shared" si="33"/>
        <v>26725.759999999998</v>
      </c>
      <c r="P339" s="18">
        <f t="shared" si="34"/>
        <v>2750655.3078399999</v>
      </c>
      <c r="R339" s="66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>
      <c r="A340" s="54">
        <v>45694</v>
      </c>
      <c r="B340" s="10">
        <v>45694</v>
      </c>
      <c r="C340" s="11">
        <f>VLOOKUP(B:B,'Курс валют'!A:D,4,0)</f>
        <v>102.92149999999999</v>
      </c>
      <c r="D340" s="58">
        <v>56</v>
      </c>
      <c r="E340" s="50" t="s">
        <v>15</v>
      </c>
      <c r="F340" s="58">
        <v>220</v>
      </c>
      <c r="G340" s="58">
        <v>222</v>
      </c>
      <c r="H340" s="56">
        <v>88</v>
      </c>
      <c r="I340" s="58">
        <f t="shared" si="28"/>
        <v>2</v>
      </c>
      <c r="J340" s="14">
        <f t="shared" si="29"/>
        <v>0.90909090909090906</v>
      </c>
      <c r="K340" s="56">
        <v>3.82</v>
      </c>
      <c r="L340" s="15">
        <f t="shared" si="30"/>
        <v>40</v>
      </c>
      <c r="M340" s="16">
        <f t="shared" si="31"/>
        <v>268.007586</v>
      </c>
      <c r="N340" s="17">
        <f t="shared" si="32"/>
        <v>2.6040000000000001</v>
      </c>
      <c r="O340" s="17">
        <f t="shared" si="33"/>
        <v>572.88</v>
      </c>
      <c r="P340" s="18">
        <f t="shared" si="34"/>
        <v>58961.668919999996</v>
      </c>
      <c r="R340" s="65" t="s">
        <v>2466</v>
      </c>
      <c r="S340" s="24"/>
      <c r="T340" s="24"/>
      <c r="U340" s="24"/>
      <c r="V340" s="24"/>
      <c r="W340" s="24"/>
      <c r="X340" s="24"/>
      <c r="Y340" s="24"/>
      <c r="Z340" s="24"/>
      <c r="AA340" s="24"/>
    </row>
    <row r="341" spans="1:27" ht="12.75">
      <c r="A341" s="54">
        <v>45695</v>
      </c>
      <c r="B341" s="10">
        <v>45695</v>
      </c>
      <c r="C341" s="11">
        <f>VLOOKUP(B:B,'Курс валют'!A:D,4,0)</f>
        <v>100.6751</v>
      </c>
      <c r="D341" s="58">
        <v>57</v>
      </c>
      <c r="E341" s="50" t="s">
        <v>2467</v>
      </c>
      <c r="F341" s="58">
        <v>50</v>
      </c>
      <c r="G341" s="58">
        <v>50</v>
      </c>
      <c r="H341" s="56">
        <v>0</v>
      </c>
      <c r="I341" s="58">
        <f t="shared" si="28"/>
        <v>0</v>
      </c>
      <c r="J341" s="14">
        <f t="shared" si="29"/>
        <v>0</v>
      </c>
      <c r="K341" s="56">
        <v>4.32</v>
      </c>
      <c r="L341" s="15">
        <f t="shared" si="30"/>
        <v>0</v>
      </c>
      <c r="M341" s="16">
        <f t="shared" si="31"/>
        <v>434.91643199999999</v>
      </c>
      <c r="N341" s="17">
        <f t="shared" si="32"/>
        <v>4.32</v>
      </c>
      <c r="O341" s="17">
        <f t="shared" si="33"/>
        <v>216</v>
      </c>
      <c r="P341" s="18">
        <f t="shared" si="34"/>
        <v>21745.821599999999</v>
      </c>
      <c r="R341" s="65" t="s">
        <v>2468</v>
      </c>
      <c r="S341" s="19"/>
      <c r="T341" s="19"/>
      <c r="U341" s="20"/>
      <c r="V341" s="20"/>
      <c r="W341" s="20"/>
      <c r="X341" s="20"/>
      <c r="Y341" s="20"/>
      <c r="Z341" s="20"/>
      <c r="AA341" s="20"/>
    </row>
    <row r="342" spans="1:27" ht="12.75">
      <c r="A342" s="54">
        <v>45695</v>
      </c>
      <c r="B342" s="10">
        <v>45695</v>
      </c>
      <c r="C342" s="11">
        <f>VLOOKUP(B:B,'Курс валют'!A:D,4,0)</f>
        <v>100.6751</v>
      </c>
      <c r="D342" s="58">
        <v>58</v>
      </c>
      <c r="E342" s="50" t="s">
        <v>98</v>
      </c>
      <c r="F342" s="58">
        <v>20</v>
      </c>
      <c r="G342" s="58">
        <v>26.35</v>
      </c>
      <c r="H342" s="56">
        <v>0</v>
      </c>
      <c r="I342" s="58">
        <f t="shared" si="28"/>
        <v>6.3500000000000014</v>
      </c>
      <c r="J342" s="14">
        <f t="shared" si="29"/>
        <v>31.750000000000007</v>
      </c>
      <c r="K342" s="56">
        <v>3.86</v>
      </c>
      <c r="L342" s="15">
        <f t="shared" si="30"/>
        <v>0</v>
      </c>
      <c r="M342" s="16">
        <f t="shared" si="31"/>
        <v>388.605886</v>
      </c>
      <c r="N342" s="17">
        <f t="shared" si="32"/>
        <v>3.8600000000000003</v>
      </c>
      <c r="O342" s="17">
        <f t="shared" si="33"/>
        <v>77.2</v>
      </c>
      <c r="P342" s="18">
        <f t="shared" si="34"/>
        <v>7772.1177200000002</v>
      </c>
      <c r="R342" s="66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>
      <c r="A343" s="54">
        <v>45695</v>
      </c>
      <c r="B343" s="10">
        <v>45698</v>
      </c>
      <c r="C343" s="11">
        <f>VLOOKUP(B:B,'Курс валют'!A:D,4,0)</f>
        <v>101.2243</v>
      </c>
      <c r="D343" s="58">
        <v>59</v>
      </c>
      <c r="E343" s="50" t="s">
        <v>15</v>
      </c>
      <c r="F343" s="58">
        <v>8800</v>
      </c>
      <c r="G343" s="58">
        <v>8853</v>
      </c>
      <c r="H343" s="56">
        <v>4028</v>
      </c>
      <c r="I343" s="58">
        <f t="shared" si="28"/>
        <v>53</v>
      </c>
      <c r="J343" s="14">
        <f t="shared" si="29"/>
        <v>0.60227272727272729</v>
      </c>
      <c r="K343" s="56">
        <v>3.85</v>
      </c>
      <c r="L343" s="15">
        <f t="shared" si="30"/>
        <v>45.772727272727273</v>
      </c>
      <c r="M343" s="16">
        <f t="shared" si="31"/>
        <v>248.86086177090908</v>
      </c>
      <c r="N343" s="17">
        <f t="shared" si="32"/>
        <v>2.4585090909090908</v>
      </c>
      <c r="O343" s="17">
        <f t="shared" si="33"/>
        <v>21634.879999999997</v>
      </c>
      <c r="P343" s="18">
        <f t="shared" si="34"/>
        <v>2189975.5835839999</v>
      </c>
      <c r="R343" s="65"/>
      <c r="S343" s="24"/>
      <c r="T343" s="24"/>
      <c r="U343" s="24"/>
      <c r="V343" s="24"/>
      <c r="W343" s="24"/>
      <c r="X343" s="24"/>
      <c r="Y343" s="24"/>
      <c r="Z343" s="24"/>
      <c r="AA343" s="24"/>
    </row>
    <row r="344" spans="1:27" ht="12.75">
      <c r="A344" s="54">
        <v>45695</v>
      </c>
      <c r="B344" s="10">
        <v>45698</v>
      </c>
      <c r="C344" s="11">
        <f>VLOOKUP(B:B,'Курс валют'!A:D,4,0)</f>
        <v>101.2243</v>
      </c>
      <c r="D344" s="58">
        <v>60</v>
      </c>
      <c r="E344" s="50" t="s">
        <v>15</v>
      </c>
      <c r="F344" s="58">
        <v>5500</v>
      </c>
      <c r="G344" s="58">
        <v>5552</v>
      </c>
      <c r="H344" s="56">
        <v>2520</v>
      </c>
      <c r="I344" s="58">
        <f t="shared" si="28"/>
        <v>52</v>
      </c>
      <c r="J344" s="14">
        <f t="shared" si="29"/>
        <v>0.94545454545454555</v>
      </c>
      <c r="K344" s="56">
        <v>3.85</v>
      </c>
      <c r="L344" s="15">
        <f t="shared" si="30"/>
        <v>45.81818181818182</v>
      </c>
      <c r="M344" s="16">
        <f t="shared" si="31"/>
        <v>248.72098819272733</v>
      </c>
      <c r="N344" s="17">
        <f t="shared" si="32"/>
        <v>2.457127272727273</v>
      </c>
      <c r="O344" s="17">
        <f t="shared" si="33"/>
        <v>13514.200000000003</v>
      </c>
      <c r="P344" s="18">
        <f t="shared" si="34"/>
        <v>1367965.4350600003</v>
      </c>
      <c r="R344" s="65"/>
      <c r="S344" s="24"/>
      <c r="T344" s="24"/>
      <c r="U344" s="24"/>
      <c r="V344" s="24"/>
      <c r="W344" s="24"/>
      <c r="X344" s="24"/>
      <c r="Y344" s="24"/>
      <c r="Z344" s="24"/>
      <c r="AA344" s="24"/>
    </row>
    <row r="345" spans="1:27" ht="12.75">
      <c r="A345" s="54">
        <v>45695</v>
      </c>
      <c r="B345" s="10">
        <v>45698</v>
      </c>
      <c r="C345" s="11">
        <f>VLOOKUP(B:B,'Курс валют'!A:D,4,0)</f>
        <v>101.2243</v>
      </c>
      <c r="D345" s="58">
        <v>61</v>
      </c>
      <c r="E345" s="50" t="s">
        <v>15</v>
      </c>
      <c r="F345" s="58">
        <v>9900</v>
      </c>
      <c r="G345" s="58">
        <v>9968</v>
      </c>
      <c r="H345" s="56">
        <v>4528</v>
      </c>
      <c r="I345" s="58">
        <f t="shared" si="28"/>
        <v>68</v>
      </c>
      <c r="J345" s="14">
        <f t="shared" si="29"/>
        <v>0.68686868686868685</v>
      </c>
      <c r="K345" s="56">
        <v>3.85</v>
      </c>
      <c r="L345" s="15">
        <f t="shared" si="30"/>
        <v>45.737373737373737</v>
      </c>
      <c r="M345" s="16">
        <f t="shared" si="31"/>
        <v>248.96965233171716</v>
      </c>
      <c r="N345" s="17">
        <f t="shared" si="32"/>
        <v>2.4595838383838382</v>
      </c>
      <c r="O345" s="17">
        <f t="shared" si="33"/>
        <v>24349.879999999997</v>
      </c>
      <c r="P345" s="18">
        <f t="shared" si="34"/>
        <v>2464799.5580839999</v>
      </c>
      <c r="R345" s="66"/>
      <c r="S345" s="24"/>
      <c r="T345" s="24"/>
      <c r="U345" s="24"/>
      <c r="V345" s="24"/>
      <c r="W345" s="24"/>
      <c r="X345" s="24"/>
      <c r="Y345" s="24"/>
      <c r="Z345" s="24"/>
      <c r="AA345" s="24"/>
    </row>
    <row r="346" spans="1:27" ht="12.75">
      <c r="A346" s="54">
        <v>45698</v>
      </c>
      <c r="B346" s="10">
        <v>45699</v>
      </c>
      <c r="C346" s="11">
        <f>VLOOKUP(B:B,'Курс валют'!A:D,4,0)</f>
        <v>100.4991</v>
      </c>
      <c r="D346" s="58">
        <v>62</v>
      </c>
      <c r="E346" s="64" t="s">
        <v>85</v>
      </c>
      <c r="F346" s="58">
        <v>6008.46</v>
      </c>
      <c r="G346" s="58">
        <v>6008.46</v>
      </c>
      <c r="H346" s="56">
        <v>0</v>
      </c>
      <c r="I346" s="58">
        <f t="shared" si="28"/>
        <v>0</v>
      </c>
      <c r="J346" s="14">
        <f t="shared" si="29"/>
        <v>0</v>
      </c>
      <c r="K346" s="56">
        <v>2.54</v>
      </c>
      <c r="L346" s="15">
        <f t="shared" si="30"/>
        <v>0</v>
      </c>
      <c r="M346" s="16">
        <f t="shared" si="31"/>
        <v>255.26771400000001</v>
      </c>
      <c r="N346" s="17">
        <f t="shared" si="32"/>
        <v>2.54</v>
      </c>
      <c r="O346" s="17">
        <f t="shared" si="33"/>
        <v>15261.4884</v>
      </c>
      <c r="P346" s="18">
        <f t="shared" si="34"/>
        <v>1533765.8488604401</v>
      </c>
      <c r="R346" s="65" t="s">
        <v>2469</v>
      </c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>
      <c r="A347" s="54">
        <v>45698</v>
      </c>
      <c r="B347" s="10">
        <v>45699</v>
      </c>
      <c r="C347" s="11">
        <f>VLOOKUP(B:B,'Курс валют'!A:D,4,0)</f>
        <v>100.4991</v>
      </c>
      <c r="D347" s="58">
        <v>63</v>
      </c>
      <c r="E347" s="64" t="s">
        <v>15</v>
      </c>
      <c r="F347" s="58">
        <v>4400</v>
      </c>
      <c r="G347" s="58">
        <v>4434</v>
      </c>
      <c r="H347" s="56">
        <v>2015</v>
      </c>
      <c r="I347" s="58">
        <f t="shared" si="28"/>
        <v>34</v>
      </c>
      <c r="J347" s="14">
        <f t="shared" si="29"/>
        <v>0.77272727272727271</v>
      </c>
      <c r="K347" s="56">
        <v>3.95</v>
      </c>
      <c r="L347" s="15">
        <f t="shared" si="30"/>
        <v>45.795454545454547</v>
      </c>
      <c r="M347" s="16">
        <f t="shared" si="31"/>
        <v>257.05842523636358</v>
      </c>
      <c r="N347" s="17">
        <f t="shared" si="32"/>
        <v>2.5578181818181815</v>
      </c>
      <c r="O347" s="17">
        <f t="shared" si="33"/>
        <v>11254.4</v>
      </c>
      <c r="P347" s="18">
        <f t="shared" si="34"/>
        <v>1131057.0710399998</v>
      </c>
      <c r="R347" s="66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>
      <c r="A348" s="54">
        <v>45699</v>
      </c>
      <c r="B348" s="10">
        <v>45700</v>
      </c>
      <c r="C348" s="11">
        <f>VLOOKUP(B:B,'Курс валют'!A:D,4,0)</f>
        <v>99.195300000000003</v>
      </c>
      <c r="D348" s="58">
        <v>64</v>
      </c>
      <c r="E348" s="50" t="s">
        <v>15</v>
      </c>
      <c r="F348" s="58">
        <v>8800</v>
      </c>
      <c r="G348" s="58">
        <v>8855</v>
      </c>
      <c r="H348" s="56">
        <v>4024</v>
      </c>
      <c r="I348" s="58">
        <f t="shared" si="28"/>
        <v>55</v>
      </c>
      <c r="J348" s="14">
        <f t="shared" si="29"/>
        <v>0.625</v>
      </c>
      <c r="K348" s="56">
        <v>3.97</v>
      </c>
      <c r="L348" s="15">
        <f t="shared" si="30"/>
        <v>45.727272727272727</v>
      </c>
      <c r="M348" s="16">
        <f t="shared" si="31"/>
        <v>255.91305269454548</v>
      </c>
      <c r="N348" s="17">
        <f t="shared" si="32"/>
        <v>2.579890909090909</v>
      </c>
      <c r="O348" s="17">
        <f t="shared" si="33"/>
        <v>22703.040000000001</v>
      </c>
      <c r="P348" s="18">
        <f t="shared" si="34"/>
        <v>2252034.8637120002</v>
      </c>
      <c r="R348" s="66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>
      <c r="A349" s="54">
        <v>45700</v>
      </c>
      <c r="B349" s="10">
        <v>45701</v>
      </c>
      <c r="C349" s="11">
        <f>VLOOKUP(B:B,'Курс валют'!A:D,4,0)</f>
        <v>98.011899999999997</v>
      </c>
      <c r="D349" s="58">
        <v>65</v>
      </c>
      <c r="E349" s="50" t="s">
        <v>15</v>
      </c>
      <c r="F349" s="58">
        <v>12100</v>
      </c>
      <c r="G349" s="58">
        <v>12188</v>
      </c>
      <c r="H349" s="56">
        <v>5548</v>
      </c>
      <c r="I349" s="58">
        <f t="shared" si="28"/>
        <v>88</v>
      </c>
      <c r="J349" s="14">
        <f t="shared" si="29"/>
        <v>0.72727272727272729</v>
      </c>
      <c r="K349" s="56">
        <v>3.97</v>
      </c>
      <c r="L349" s="15">
        <f t="shared" si="30"/>
        <v>45.851239669421489</v>
      </c>
      <c r="M349" s="16">
        <f t="shared" si="31"/>
        <v>252.49064263239669</v>
      </c>
      <c r="N349" s="17">
        <f t="shared" si="32"/>
        <v>2.5761223140495866</v>
      </c>
      <c r="O349" s="17">
        <f t="shared" si="33"/>
        <v>31171.079999999998</v>
      </c>
      <c r="P349" s="18">
        <f t="shared" si="34"/>
        <v>3055136.7758519999</v>
      </c>
      <c r="R349" s="66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>
      <c r="A350" s="54">
        <v>45701</v>
      </c>
      <c r="B350" s="10">
        <v>45701</v>
      </c>
      <c r="C350" s="11">
        <f>VLOOKUP(B:B,'Курс валют'!A:D,4,0)</f>
        <v>98.011899999999997</v>
      </c>
      <c r="D350" s="58">
        <v>66</v>
      </c>
      <c r="E350" s="50" t="s">
        <v>85</v>
      </c>
      <c r="F350" s="58">
        <v>4060.62</v>
      </c>
      <c r="G350" s="58">
        <v>4060.62</v>
      </c>
      <c r="H350" s="56">
        <v>0</v>
      </c>
      <c r="I350" s="58">
        <f t="shared" si="28"/>
        <v>0</v>
      </c>
      <c r="J350" s="14">
        <f t="shared" si="29"/>
        <v>0</v>
      </c>
      <c r="K350" s="56">
        <v>2.54</v>
      </c>
      <c r="L350" s="15">
        <f t="shared" si="30"/>
        <v>0</v>
      </c>
      <c r="M350" s="16">
        <f t="shared" si="31"/>
        <v>248.95022599999999</v>
      </c>
      <c r="N350" s="17">
        <f t="shared" si="32"/>
        <v>2.54</v>
      </c>
      <c r="O350" s="17">
        <f t="shared" si="33"/>
        <v>10313.9748</v>
      </c>
      <c r="P350" s="18">
        <f t="shared" si="34"/>
        <v>1010892.2667001199</v>
      </c>
      <c r="R350" s="66" t="s">
        <v>2469</v>
      </c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>
      <c r="A351" s="54">
        <v>45701</v>
      </c>
      <c r="B351" s="10">
        <v>45702</v>
      </c>
      <c r="C351" s="11">
        <f>VLOOKUP(B:B,'Курс валют'!A:D,4,0)</f>
        <v>94.9221</v>
      </c>
      <c r="D351" s="58">
        <v>67</v>
      </c>
      <c r="E351" s="64" t="s">
        <v>53</v>
      </c>
      <c r="F351" s="58">
        <v>2400</v>
      </c>
      <c r="G351" s="58">
        <v>2421.9</v>
      </c>
      <c r="H351" s="56">
        <v>0</v>
      </c>
      <c r="I351" s="58">
        <f t="shared" ref="I351:I414" si="35">G351-F351</f>
        <v>21.900000000000091</v>
      </c>
      <c r="J351" s="14">
        <f t="shared" ref="J351:J414" si="36">I351/F351*100</f>
        <v>0.91250000000000375</v>
      </c>
      <c r="K351" s="56">
        <v>3.19</v>
      </c>
      <c r="L351" s="15">
        <f t="shared" ref="L351:L414" si="37">H351/F351*100</f>
        <v>0</v>
      </c>
      <c r="M351" s="16">
        <f t="shared" ref="M351:M414" si="38">P351/F351</f>
        <v>302.80149899999998</v>
      </c>
      <c r="N351" s="17">
        <f t="shared" ref="N351:N414" si="39">(F351*K351-H351*3.04)/F351</f>
        <v>3.19</v>
      </c>
      <c r="O351" s="17">
        <f t="shared" ref="O351:O414" si="40">N351*F351</f>
        <v>7656</v>
      </c>
      <c r="P351" s="18">
        <f t="shared" ref="P351:P414" si="41">O351*C351</f>
        <v>726723.59759999998</v>
      </c>
      <c r="R351" s="66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>
      <c r="A352" s="54">
        <v>45694</v>
      </c>
      <c r="B352" s="10">
        <v>45702</v>
      </c>
      <c r="C352" s="11">
        <f>VLOOKUP(B:B,'Курс валют'!A:D,4,0)</f>
        <v>94.9221</v>
      </c>
      <c r="D352" s="58">
        <v>69</v>
      </c>
      <c r="E352" s="64" t="s">
        <v>2470</v>
      </c>
      <c r="F352" s="63">
        <v>1000</v>
      </c>
      <c r="G352" s="63">
        <v>1059.5</v>
      </c>
      <c r="H352" s="49">
        <v>0</v>
      </c>
      <c r="I352" s="58">
        <f t="shared" si="35"/>
        <v>59.5</v>
      </c>
      <c r="J352" s="14">
        <f t="shared" si="36"/>
        <v>5.9499999999999993</v>
      </c>
      <c r="K352" s="49">
        <v>3.17</v>
      </c>
      <c r="L352" s="15">
        <f t="shared" si="37"/>
        <v>0</v>
      </c>
      <c r="M352" s="16">
        <f t="shared" si="38"/>
        <v>300.90305700000005</v>
      </c>
      <c r="N352" s="17">
        <f t="shared" si="39"/>
        <v>3.17</v>
      </c>
      <c r="O352" s="17">
        <f t="shared" si="40"/>
        <v>3170</v>
      </c>
      <c r="P352" s="18">
        <f t="shared" si="41"/>
        <v>300903.05700000003</v>
      </c>
      <c r="R352" s="66"/>
      <c r="S352" s="20"/>
      <c r="T352" s="19" t="s">
        <v>2465</v>
      </c>
      <c r="U352" s="20"/>
      <c r="V352" s="20"/>
      <c r="W352" s="20"/>
      <c r="X352" s="20"/>
      <c r="Y352" s="20"/>
      <c r="Z352" s="20"/>
      <c r="AA352" s="20"/>
    </row>
    <row r="353" spans="1:27" ht="12.75">
      <c r="A353" s="54">
        <v>45694</v>
      </c>
      <c r="B353" s="10">
        <v>45702</v>
      </c>
      <c r="C353" s="11">
        <f>VLOOKUP(B:B,'Курс валют'!A:D,4,0)</f>
        <v>94.9221</v>
      </c>
      <c r="D353" s="58">
        <v>68</v>
      </c>
      <c r="E353" s="50" t="s">
        <v>2470</v>
      </c>
      <c r="F353" s="58">
        <v>970</v>
      </c>
      <c r="G353" s="58">
        <v>1033.5</v>
      </c>
      <c r="H353" s="56">
        <v>0</v>
      </c>
      <c r="I353" s="58">
        <f t="shared" si="35"/>
        <v>63.5</v>
      </c>
      <c r="J353" s="14">
        <f t="shared" si="36"/>
        <v>6.5463917525773203</v>
      </c>
      <c r="K353" s="56">
        <v>3.17</v>
      </c>
      <c r="L353" s="15">
        <f t="shared" si="37"/>
        <v>0</v>
      </c>
      <c r="M353" s="16">
        <f t="shared" si="38"/>
        <v>300.90305700000005</v>
      </c>
      <c r="N353" s="17">
        <f t="shared" si="39"/>
        <v>3.17</v>
      </c>
      <c r="O353" s="17">
        <f t="shared" si="40"/>
        <v>3074.9</v>
      </c>
      <c r="P353" s="18">
        <f t="shared" si="41"/>
        <v>291875.96529000002</v>
      </c>
      <c r="R353" s="66" t="s">
        <v>2471</v>
      </c>
      <c r="S353" s="20"/>
      <c r="T353" s="19" t="s">
        <v>2465</v>
      </c>
      <c r="U353" s="20"/>
      <c r="V353" s="20"/>
      <c r="W353" s="20"/>
      <c r="X353" s="20"/>
      <c r="Y353" s="20"/>
      <c r="Z353" s="20"/>
      <c r="AA353" s="20"/>
    </row>
    <row r="354" spans="1:27" ht="12.75">
      <c r="A354" s="54">
        <v>45702</v>
      </c>
      <c r="B354" s="10">
        <v>45702</v>
      </c>
      <c r="C354" s="11">
        <f>VLOOKUP(B:B,'Курс валют'!A:D,4,0)</f>
        <v>94.9221</v>
      </c>
      <c r="D354" s="58">
        <v>70</v>
      </c>
      <c r="E354" s="58" t="s">
        <v>65</v>
      </c>
      <c r="F354" s="58">
        <v>8000</v>
      </c>
      <c r="G354" s="58">
        <v>8040</v>
      </c>
      <c r="H354" s="56">
        <v>762</v>
      </c>
      <c r="I354" s="58">
        <f t="shared" si="35"/>
        <v>40</v>
      </c>
      <c r="J354" s="14">
        <f t="shared" si="36"/>
        <v>0.5</v>
      </c>
      <c r="K354" s="56">
        <v>2.38</v>
      </c>
      <c r="L354" s="15">
        <f t="shared" si="37"/>
        <v>9.5250000000000004</v>
      </c>
      <c r="M354" s="16">
        <f t="shared" si="38"/>
        <v>198.42895472400002</v>
      </c>
      <c r="N354" s="17">
        <f t="shared" si="39"/>
        <v>2.0904400000000001</v>
      </c>
      <c r="O354" s="17">
        <f t="shared" si="40"/>
        <v>16723.52</v>
      </c>
      <c r="P354" s="18">
        <f t="shared" si="41"/>
        <v>1587431.6377920001</v>
      </c>
      <c r="R354" s="66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>
      <c r="A355" s="54">
        <v>45702</v>
      </c>
      <c r="B355" s="10">
        <v>45702</v>
      </c>
      <c r="C355" s="11">
        <f>VLOOKUP(B:B,'Курс валют'!A:D,4,0)</f>
        <v>94.9221</v>
      </c>
      <c r="D355" s="58">
        <v>71</v>
      </c>
      <c r="E355" s="64" t="s">
        <v>68</v>
      </c>
      <c r="F355" s="58">
        <v>8000</v>
      </c>
      <c r="G355" s="57">
        <v>8024</v>
      </c>
      <c r="H355" s="56">
        <v>744</v>
      </c>
      <c r="I355" s="58">
        <f t="shared" si="35"/>
        <v>24</v>
      </c>
      <c r="J355" s="14">
        <f t="shared" si="36"/>
        <v>0.3</v>
      </c>
      <c r="K355" s="56">
        <v>2.3199999999999998</v>
      </c>
      <c r="L355" s="15">
        <f t="shared" si="37"/>
        <v>9.3000000000000007</v>
      </c>
      <c r="M355" s="16">
        <f t="shared" si="38"/>
        <v>193.38289588800001</v>
      </c>
      <c r="N355" s="17">
        <f t="shared" si="39"/>
        <v>2.03728</v>
      </c>
      <c r="O355" s="17">
        <f t="shared" si="40"/>
        <v>16298.24</v>
      </c>
      <c r="P355" s="18">
        <f t="shared" si="41"/>
        <v>1547063.167104</v>
      </c>
      <c r="R355" s="66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>
      <c r="A356" s="54">
        <v>45702</v>
      </c>
      <c r="B356" s="10">
        <v>45703</v>
      </c>
      <c r="C356" s="11">
        <f>VLOOKUP(B:B,'Курс валют'!A:D,4,0)</f>
        <v>94.887600000000006</v>
      </c>
      <c r="D356" s="58">
        <v>72</v>
      </c>
      <c r="E356" s="50" t="s">
        <v>66</v>
      </c>
      <c r="F356" s="58">
        <v>17600</v>
      </c>
      <c r="G356" s="57">
        <v>17680</v>
      </c>
      <c r="H356" s="56">
        <v>1669</v>
      </c>
      <c r="I356" s="58">
        <f t="shared" si="35"/>
        <v>80</v>
      </c>
      <c r="J356" s="14">
        <f t="shared" si="36"/>
        <v>0.45454545454545453</v>
      </c>
      <c r="K356" s="56">
        <v>2.31</v>
      </c>
      <c r="L356" s="15">
        <f t="shared" si="37"/>
        <v>9.482954545454545</v>
      </c>
      <c r="M356" s="16">
        <f t="shared" si="38"/>
        <v>191.8359861490909</v>
      </c>
      <c r="N356" s="17">
        <f t="shared" si="39"/>
        <v>2.0217181818181817</v>
      </c>
      <c r="O356" s="17">
        <f t="shared" si="40"/>
        <v>35582.239999999998</v>
      </c>
      <c r="P356" s="18">
        <f t="shared" si="41"/>
        <v>3376313.356224</v>
      </c>
      <c r="R356" s="65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>
      <c r="A357" s="54">
        <v>45702</v>
      </c>
      <c r="B357" s="10">
        <v>45704</v>
      </c>
      <c r="C357" s="11">
        <f>VLOOKUP(B:B,'Курс валют'!A:D,4,0)</f>
        <v>94.887600000000006</v>
      </c>
      <c r="D357" s="58">
        <v>73</v>
      </c>
      <c r="E357" s="50" t="s">
        <v>58</v>
      </c>
      <c r="F357" s="58">
        <v>8800</v>
      </c>
      <c r="G357" s="57">
        <v>8845</v>
      </c>
      <c r="H357" s="56">
        <v>1951.34</v>
      </c>
      <c r="I357" s="58">
        <f t="shared" si="35"/>
        <v>45</v>
      </c>
      <c r="J357" s="14">
        <f t="shared" si="36"/>
        <v>0.51136363636363635</v>
      </c>
      <c r="K357" s="56">
        <v>3.39</v>
      </c>
      <c r="L357" s="15">
        <f t="shared" si="37"/>
        <v>22.17431818181818</v>
      </c>
      <c r="M357" s="16">
        <f t="shared" si="38"/>
        <v>257.70530184916362</v>
      </c>
      <c r="N357" s="17">
        <f t="shared" si="39"/>
        <v>2.7159007272727274</v>
      </c>
      <c r="O357" s="17">
        <f t="shared" si="40"/>
        <v>23899.9264</v>
      </c>
      <c r="P357" s="18">
        <f t="shared" si="41"/>
        <v>2267806.65627264</v>
      </c>
      <c r="R357" s="65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>
      <c r="A358" s="54">
        <v>45698</v>
      </c>
      <c r="B358" s="10">
        <v>45705</v>
      </c>
      <c r="C358" s="11">
        <f>VLOOKUP(B:B,'Курс валют'!A:D,4,0)</f>
        <v>94.887600000000006</v>
      </c>
      <c r="D358" s="58">
        <v>74</v>
      </c>
      <c r="E358" s="50" t="s">
        <v>56</v>
      </c>
      <c r="F358" s="58">
        <v>1000</v>
      </c>
      <c r="G358" s="57">
        <v>1054.5</v>
      </c>
      <c r="H358" s="56">
        <v>0</v>
      </c>
      <c r="I358" s="58">
        <f t="shared" si="35"/>
        <v>54.5</v>
      </c>
      <c r="J358" s="14">
        <f t="shared" si="36"/>
        <v>5.45</v>
      </c>
      <c r="K358" s="56">
        <v>3.07</v>
      </c>
      <c r="L358" s="15">
        <f t="shared" si="37"/>
        <v>0</v>
      </c>
      <c r="M358" s="16">
        <f t="shared" si="38"/>
        <v>291.30493200000001</v>
      </c>
      <c r="N358" s="17">
        <f t="shared" si="39"/>
        <v>3.07</v>
      </c>
      <c r="O358" s="17">
        <f t="shared" si="40"/>
        <v>3070</v>
      </c>
      <c r="P358" s="18">
        <f t="shared" si="41"/>
        <v>291304.93200000003</v>
      </c>
      <c r="R358" s="65"/>
      <c r="S358" s="20"/>
      <c r="T358" s="19" t="s">
        <v>2465</v>
      </c>
      <c r="U358" s="20"/>
      <c r="V358" s="20"/>
      <c r="W358" s="20"/>
      <c r="X358" s="20"/>
      <c r="Y358" s="20"/>
      <c r="Z358" s="20"/>
      <c r="AA358" s="20"/>
    </row>
    <row r="359" spans="1:27" ht="12.75">
      <c r="A359" s="54">
        <v>45698</v>
      </c>
      <c r="B359" s="10">
        <v>45705</v>
      </c>
      <c r="C359" s="11">
        <f>VLOOKUP(B:B,'Курс валют'!A:D,4,0)</f>
        <v>94.887600000000006</v>
      </c>
      <c r="D359" s="58">
        <v>75</v>
      </c>
      <c r="E359" s="50" t="s">
        <v>56</v>
      </c>
      <c r="F359" s="58">
        <v>1000</v>
      </c>
      <c r="G359" s="57">
        <v>1054.5</v>
      </c>
      <c r="H359" s="56">
        <v>0</v>
      </c>
      <c r="I359" s="58">
        <f t="shared" si="35"/>
        <v>54.5</v>
      </c>
      <c r="J359" s="14">
        <f t="shared" si="36"/>
        <v>5.45</v>
      </c>
      <c r="K359" s="56">
        <v>3.07</v>
      </c>
      <c r="L359" s="15">
        <f t="shared" si="37"/>
        <v>0</v>
      </c>
      <c r="M359" s="16">
        <f t="shared" si="38"/>
        <v>291.30493200000001</v>
      </c>
      <c r="N359" s="17">
        <f t="shared" si="39"/>
        <v>3.07</v>
      </c>
      <c r="O359" s="17">
        <f t="shared" si="40"/>
        <v>3070</v>
      </c>
      <c r="P359" s="18">
        <f t="shared" si="41"/>
        <v>291304.93200000003</v>
      </c>
      <c r="R359" s="65"/>
      <c r="S359" s="20"/>
      <c r="T359" s="19" t="s">
        <v>2465</v>
      </c>
      <c r="U359" s="20"/>
      <c r="V359" s="20"/>
      <c r="W359" s="20"/>
      <c r="X359" s="20"/>
      <c r="Y359" s="20"/>
      <c r="Z359" s="20"/>
      <c r="AA359" s="20"/>
    </row>
    <row r="360" spans="1:27" ht="12.75">
      <c r="A360" s="54">
        <v>45705</v>
      </c>
      <c r="B360" s="10">
        <v>45706</v>
      </c>
      <c r="C360" s="11">
        <f>VLOOKUP(B:B,'Курс валют'!A:D,4,0)</f>
        <v>95.8048</v>
      </c>
      <c r="D360" s="58">
        <v>76</v>
      </c>
      <c r="E360" s="50" t="s">
        <v>58</v>
      </c>
      <c r="F360" s="58">
        <v>9900</v>
      </c>
      <c r="G360" s="57">
        <v>9972.34</v>
      </c>
      <c r="H360" s="56">
        <v>178</v>
      </c>
      <c r="I360" s="58">
        <f t="shared" si="35"/>
        <v>72.340000000000146</v>
      </c>
      <c r="J360" s="14">
        <f t="shared" si="36"/>
        <v>0.73070707070707219</v>
      </c>
      <c r="K360" s="56">
        <v>2.88</v>
      </c>
      <c r="L360" s="15">
        <f t="shared" si="37"/>
        <v>1.797979797979798</v>
      </c>
      <c r="M360" s="16">
        <f t="shared" si="38"/>
        <v>270.68126911353534</v>
      </c>
      <c r="N360" s="17">
        <f t="shared" si="39"/>
        <v>2.8253414141414144</v>
      </c>
      <c r="O360" s="17">
        <f t="shared" si="40"/>
        <v>27970.880000000001</v>
      </c>
      <c r="P360" s="18">
        <f t="shared" si="41"/>
        <v>2679744.5642240001</v>
      </c>
      <c r="R360" s="66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>
      <c r="A361" s="54">
        <v>45707</v>
      </c>
      <c r="B361" s="10">
        <v>45709</v>
      </c>
      <c r="C361" s="11">
        <f>VLOOKUP(B:B,'Курс валют'!A:D,4,0)</f>
        <v>92.483099999999993</v>
      </c>
      <c r="D361" s="58">
        <v>77</v>
      </c>
      <c r="E361" s="50" t="s">
        <v>58</v>
      </c>
      <c r="F361" s="58">
        <v>4400</v>
      </c>
      <c r="G361" s="57">
        <v>4481</v>
      </c>
      <c r="H361" s="56">
        <v>80</v>
      </c>
      <c r="I361" s="58">
        <f t="shared" si="35"/>
        <v>81</v>
      </c>
      <c r="J361" s="14">
        <f t="shared" si="36"/>
        <v>1.8409090909090911</v>
      </c>
      <c r="K361" s="56">
        <v>2.92</v>
      </c>
      <c r="L361" s="15">
        <f t="shared" si="37"/>
        <v>1.8181818181818181</v>
      </c>
      <c r="M361" s="16">
        <f t="shared" si="38"/>
        <v>264.93885883636358</v>
      </c>
      <c r="N361" s="17">
        <f t="shared" si="39"/>
        <v>2.8647272727272726</v>
      </c>
      <c r="O361" s="17">
        <f t="shared" si="40"/>
        <v>12604.8</v>
      </c>
      <c r="P361" s="18">
        <f t="shared" si="41"/>
        <v>1165730.9788799998</v>
      </c>
      <c r="R361" s="66" t="s">
        <v>2472</v>
      </c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>
      <c r="A362" s="54">
        <v>45706</v>
      </c>
      <c r="B362" s="10">
        <v>45709</v>
      </c>
      <c r="C362" s="11">
        <f>VLOOKUP(B:B,'Курс валют'!A:D,4,0)</f>
        <v>92.483099999999993</v>
      </c>
      <c r="D362" s="58">
        <v>78</v>
      </c>
      <c r="E362" s="50" t="s">
        <v>60</v>
      </c>
      <c r="F362" s="58">
        <v>1000</v>
      </c>
      <c r="G362" s="57">
        <v>1043.1500000000001</v>
      </c>
      <c r="H362" s="56">
        <v>364.5</v>
      </c>
      <c r="I362" s="58">
        <f t="shared" si="35"/>
        <v>43.150000000000091</v>
      </c>
      <c r="J362" s="14">
        <f t="shared" si="36"/>
        <v>4.3150000000000093</v>
      </c>
      <c r="K362" s="56">
        <v>3.23</v>
      </c>
      <c r="L362" s="15">
        <f t="shared" si="37"/>
        <v>36.449999999999996</v>
      </c>
      <c r="M362" s="16">
        <f t="shared" si="38"/>
        <v>196.24173955199998</v>
      </c>
      <c r="N362" s="17">
        <f t="shared" si="39"/>
        <v>2.1219200000000003</v>
      </c>
      <c r="O362" s="17">
        <f t="shared" si="40"/>
        <v>2121.92</v>
      </c>
      <c r="P362" s="18">
        <f t="shared" si="41"/>
        <v>196241.73955199998</v>
      </c>
      <c r="R362" s="66" t="s">
        <v>2473</v>
      </c>
      <c r="S362" s="19" t="s">
        <v>2458</v>
      </c>
      <c r="T362" s="19" t="s">
        <v>2465</v>
      </c>
      <c r="U362" s="20"/>
      <c r="V362" s="20"/>
      <c r="W362" s="20"/>
      <c r="X362" s="20"/>
      <c r="Y362" s="20"/>
      <c r="Z362" s="20"/>
      <c r="AA362" s="20"/>
    </row>
    <row r="363" spans="1:27" ht="12.75">
      <c r="A363" s="54">
        <v>45707</v>
      </c>
      <c r="B363" s="10">
        <v>45709</v>
      </c>
      <c r="C363" s="11">
        <f>VLOOKUP(B:B,'Курс валют'!A:D,4,0)</f>
        <v>92.483099999999993</v>
      </c>
      <c r="D363" s="58">
        <v>79</v>
      </c>
      <c r="E363" s="50" t="s">
        <v>60</v>
      </c>
      <c r="F363" s="58">
        <v>900</v>
      </c>
      <c r="G363" s="57">
        <v>934</v>
      </c>
      <c r="H363" s="56">
        <v>365</v>
      </c>
      <c r="I363" s="58">
        <f t="shared" si="35"/>
        <v>34</v>
      </c>
      <c r="J363" s="14">
        <f t="shared" si="36"/>
        <v>3.7777777777777777</v>
      </c>
      <c r="K363" s="56">
        <v>3.23</v>
      </c>
      <c r="L363" s="15">
        <f t="shared" si="37"/>
        <v>40.555555555555557</v>
      </c>
      <c r="M363" s="16">
        <f t="shared" si="38"/>
        <v>184.6990266</v>
      </c>
      <c r="N363" s="17">
        <f t="shared" si="39"/>
        <v>1.9971111111111113</v>
      </c>
      <c r="O363" s="17">
        <f t="shared" si="40"/>
        <v>1797.4</v>
      </c>
      <c r="P363" s="18">
        <f t="shared" si="41"/>
        <v>166229.12393999999</v>
      </c>
      <c r="R363" s="65"/>
      <c r="S363" s="19" t="s">
        <v>2458</v>
      </c>
      <c r="T363" s="19" t="s">
        <v>2465</v>
      </c>
      <c r="U363" s="20"/>
      <c r="V363" s="20"/>
      <c r="W363" s="20"/>
      <c r="X363" s="20"/>
      <c r="Y363" s="20"/>
      <c r="Z363" s="20"/>
      <c r="AA363" s="20"/>
    </row>
    <row r="364" spans="1:27" ht="12.75">
      <c r="A364" s="54">
        <v>45707</v>
      </c>
      <c r="B364" s="10">
        <v>45709</v>
      </c>
      <c r="C364" s="11">
        <f>VLOOKUP(B:B,'Курс валют'!A:D,4,0)</f>
        <v>92.483099999999993</v>
      </c>
      <c r="D364" s="58">
        <v>80</v>
      </c>
      <c r="E364" s="50" t="s">
        <v>60</v>
      </c>
      <c r="F364" s="58">
        <v>900</v>
      </c>
      <c r="G364" s="57">
        <v>934</v>
      </c>
      <c r="H364" s="56">
        <v>366</v>
      </c>
      <c r="I364" s="58">
        <f t="shared" si="35"/>
        <v>34</v>
      </c>
      <c r="J364" s="14">
        <f t="shared" si="36"/>
        <v>3.7777777777777777</v>
      </c>
      <c r="K364" s="56">
        <v>3.23</v>
      </c>
      <c r="L364" s="15">
        <f t="shared" si="37"/>
        <v>40.666666666666664</v>
      </c>
      <c r="M364" s="16">
        <f t="shared" si="38"/>
        <v>184.38663923999997</v>
      </c>
      <c r="N364" s="17">
        <f t="shared" si="39"/>
        <v>1.9937333333333331</v>
      </c>
      <c r="O364" s="17">
        <f t="shared" si="40"/>
        <v>1794.36</v>
      </c>
      <c r="P364" s="18">
        <f t="shared" si="41"/>
        <v>165947.97531599997</v>
      </c>
      <c r="R364" s="66"/>
      <c r="S364" s="19" t="s">
        <v>2458</v>
      </c>
      <c r="T364" s="19" t="s">
        <v>2465</v>
      </c>
      <c r="U364" s="20"/>
      <c r="V364" s="20"/>
      <c r="W364" s="20"/>
      <c r="X364" s="20"/>
      <c r="Y364" s="20"/>
      <c r="Z364" s="20"/>
      <c r="AA364" s="20"/>
    </row>
    <row r="365" spans="1:27" ht="12.75">
      <c r="A365" s="54">
        <v>45709</v>
      </c>
      <c r="B365" s="10">
        <v>45709</v>
      </c>
      <c r="C365" s="11">
        <f>VLOOKUP(B:B,'Курс валют'!A:D,4,0)</f>
        <v>92.483099999999993</v>
      </c>
      <c r="D365" s="58">
        <v>81</v>
      </c>
      <c r="E365" s="50" t="s">
        <v>66</v>
      </c>
      <c r="F365" s="58">
        <v>8000</v>
      </c>
      <c r="G365" s="57">
        <v>8025</v>
      </c>
      <c r="H365" s="56">
        <v>758</v>
      </c>
      <c r="I365" s="58">
        <f t="shared" si="35"/>
        <v>25</v>
      </c>
      <c r="J365" s="14">
        <f t="shared" si="36"/>
        <v>0.3125</v>
      </c>
      <c r="K365" s="56">
        <v>2.25</v>
      </c>
      <c r="L365" s="15">
        <f t="shared" si="37"/>
        <v>9.4749999999999996</v>
      </c>
      <c r="M365" s="16">
        <f t="shared" si="38"/>
        <v>181.44814287599999</v>
      </c>
      <c r="N365" s="17">
        <f t="shared" si="39"/>
        <v>1.9619599999999999</v>
      </c>
      <c r="O365" s="17">
        <f t="shared" si="40"/>
        <v>15695.68</v>
      </c>
      <c r="P365" s="18">
        <f t="shared" si="41"/>
        <v>1451585.143008</v>
      </c>
      <c r="R365" s="66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>
      <c r="A366" s="54">
        <v>45709</v>
      </c>
      <c r="B366" s="10">
        <v>45710</v>
      </c>
      <c r="C366" s="11">
        <f>VLOOKUP(B:B,'Курс валют'!A:D,4,0)</f>
        <v>92.015199999999993</v>
      </c>
      <c r="D366" s="58">
        <v>82</v>
      </c>
      <c r="E366" s="50" t="s">
        <v>52</v>
      </c>
      <c r="F366" s="58">
        <v>800</v>
      </c>
      <c r="G366" s="57">
        <v>849.3</v>
      </c>
      <c r="H366" s="56">
        <v>0</v>
      </c>
      <c r="I366" s="58">
        <f t="shared" si="35"/>
        <v>49.299999999999955</v>
      </c>
      <c r="J366" s="14">
        <f t="shared" si="36"/>
        <v>6.1624999999999943</v>
      </c>
      <c r="K366" s="56">
        <v>2.61</v>
      </c>
      <c r="L366" s="15">
        <f t="shared" si="37"/>
        <v>0</v>
      </c>
      <c r="M366" s="16">
        <f t="shared" si="38"/>
        <v>240.159672</v>
      </c>
      <c r="N366" s="17">
        <f t="shared" si="39"/>
        <v>2.61</v>
      </c>
      <c r="O366" s="17">
        <f t="shared" si="40"/>
        <v>2088</v>
      </c>
      <c r="P366" s="18">
        <f t="shared" si="41"/>
        <v>192127.73759999999</v>
      </c>
      <c r="R366" s="66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>
      <c r="A367" s="54">
        <v>45709</v>
      </c>
      <c r="B367" s="10">
        <v>45710</v>
      </c>
      <c r="C367" s="11">
        <f>VLOOKUP(B:B,'Курс валют'!A:D,4,0)</f>
        <v>92.015199999999993</v>
      </c>
      <c r="D367" s="58">
        <v>83</v>
      </c>
      <c r="E367" s="50" t="s">
        <v>15</v>
      </c>
      <c r="F367" s="58">
        <v>5500</v>
      </c>
      <c r="G367" s="57">
        <v>5513</v>
      </c>
      <c r="H367" s="56">
        <v>100</v>
      </c>
      <c r="I367" s="58">
        <f t="shared" si="35"/>
        <v>13</v>
      </c>
      <c r="J367" s="14">
        <f t="shared" si="36"/>
        <v>0.23636363636363639</v>
      </c>
      <c r="K367" s="56">
        <v>2.57</v>
      </c>
      <c r="L367" s="15">
        <f t="shared" si="37"/>
        <v>1.8181818181818181</v>
      </c>
      <c r="M367" s="16">
        <f t="shared" si="38"/>
        <v>231.39313294545454</v>
      </c>
      <c r="N367" s="17">
        <f t="shared" si="39"/>
        <v>2.5147272727272729</v>
      </c>
      <c r="O367" s="17">
        <f t="shared" si="40"/>
        <v>13831.000000000002</v>
      </c>
      <c r="P367" s="18">
        <f t="shared" si="41"/>
        <v>1272662.2312</v>
      </c>
      <c r="R367" s="209" t="s">
        <v>2474</v>
      </c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>
      <c r="A368" s="54">
        <v>45709</v>
      </c>
      <c r="B368" s="10">
        <v>45711</v>
      </c>
      <c r="C368" s="11">
        <v>92.015199999999993</v>
      </c>
      <c r="D368" s="58">
        <v>84</v>
      </c>
      <c r="E368" s="50" t="s">
        <v>15</v>
      </c>
      <c r="F368" s="58">
        <v>8800</v>
      </c>
      <c r="G368" s="57">
        <v>8903.5</v>
      </c>
      <c r="H368" s="56">
        <v>158</v>
      </c>
      <c r="I368" s="58">
        <f t="shared" si="35"/>
        <v>103.5</v>
      </c>
      <c r="J368" s="14">
        <f t="shared" si="36"/>
        <v>1.1761363636363635</v>
      </c>
      <c r="K368" s="56">
        <v>2.82</v>
      </c>
      <c r="L368" s="15">
        <f t="shared" si="37"/>
        <v>1.7954545454545456</v>
      </c>
      <c r="M368" s="16">
        <f t="shared" si="38"/>
        <v>254.46050708363637</v>
      </c>
      <c r="N368" s="17">
        <f t="shared" si="39"/>
        <v>2.7654181818181818</v>
      </c>
      <c r="O368" s="17">
        <f t="shared" si="40"/>
        <v>24335.68</v>
      </c>
      <c r="P368" s="18">
        <f t="shared" si="41"/>
        <v>2239252.4623360001</v>
      </c>
      <c r="R368" s="207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>
      <c r="A369" s="54">
        <v>45709</v>
      </c>
      <c r="B369" s="10">
        <v>45712</v>
      </c>
      <c r="C369" s="11">
        <f>VLOOKUP(B:B,'Курс валют'!A:D,4,0)</f>
        <v>92.015199999999993</v>
      </c>
      <c r="D369" s="58">
        <v>85</v>
      </c>
      <c r="E369" s="50" t="s">
        <v>60</v>
      </c>
      <c r="F369" s="58">
        <v>900</v>
      </c>
      <c r="G369" s="57">
        <v>934</v>
      </c>
      <c r="H369" s="56">
        <v>366</v>
      </c>
      <c r="I369" s="58">
        <f t="shared" si="35"/>
        <v>34</v>
      </c>
      <c r="J369" s="14">
        <f t="shared" si="36"/>
        <v>3.7777777777777777</v>
      </c>
      <c r="K369" s="56">
        <v>3.21</v>
      </c>
      <c r="L369" s="15">
        <f t="shared" si="37"/>
        <v>40.666666666666664</v>
      </c>
      <c r="M369" s="16">
        <f t="shared" si="38"/>
        <v>181.61346741333332</v>
      </c>
      <c r="N369" s="17">
        <f t="shared" si="39"/>
        <v>1.9737333333333331</v>
      </c>
      <c r="O369" s="17">
        <f t="shared" si="40"/>
        <v>1776.36</v>
      </c>
      <c r="P369" s="18">
        <f t="shared" si="41"/>
        <v>163452.12067199999</v>
      </c>
      <c r="R369" s="65"/>
      <c r="S369" s="19" t="s">
        <v>2458</v>
      </c>
      <c r="T369" s="19" t="s">
        <v>2465</v>
      </c>
      <c r="U369" s="20"/>
      <c r="V369" s="20"/>
      <c r="W369" s="20"/>
      <c r="X369" s="20"/>
      <c r="Y369" s="20"/>
      <c r="Z369" s="20"/>
      <c r="AA369" s="20"/>
    </row>
    <row r="370" spans="1:27" ht="12.75">
      <c r="A370" s="54">
        <v>45709</v>
      </c>
      <c r="B370" s="10">
        <v>45712</v>
      </c>
      <c r="C370" s="11">
        <f>VLOOKUP(B:B,'Курс валют'!A:D,4,0)</f>
        <v>92.015199999999993</v>
      </c>
      <c r="D370" s="58">
        <v>86</v>
      </c>
      <c r="E370" s="50" t="s">
        <v>60</v>
      </c>
      <c r="F370" s="58">
        <v>900</v>
      </c>
      <c r="G370" s="57">
        <v>934</v>
      </c>
      <c r="H370" s="56">
        <v>365</v>
      </c>
      <c r="I370" s="58">
        <f t="shared" si="35"/>
        <v>34</v>
      </c>
      <c r="J370" s="14">
        <f t="shared" si="36"/>
        <v>3.7777777777777777</v>
      </c>
      <c r="K370" s="56">
        <v>3.21</v>
      </c>
      <c r="L370" s="15">
        <f t="shared" si="37"/>
        <v>40.555555555555557</v>
      </c>
      <c r="M370" s="16">
        <f t="shared" si="38"/>
        <v>181.92427431111111</v>
      </c>
      <c r="N370" s="17">
        <f t="shared" si="39"/>
        <v>1.9771111111111113</v>
      </c>
      <c r="O370" s="17">
        <f t="shared" si="40"/>
        <v>1779.4</v>
      </c>
      <c r="P370" s="18">
        <f t="shared" si="41"/>
        <v>163731.84688</v>
      </c>
      <c r="R370" s="65"/>
      <c r="S370" s="19" t="s">
        <v>2458</v>
      </c>
      <c r="T370" s="19" t="s">
        <v>2465</v>
      </c>
      <c r="U370" s="20"/>
      <c r="V370" s="20"/>
      <c r="W370" s="20"/>
      <c r="X370" s="20"/>
      <c r="Y370" s="20"/>
      <c r="Z370" s="20"/>
      <c r="AA370" s="20"/>
    </row>
    <row r="371" spans="1:27" ht="12.75">
      <c r="A371" s="54">
        <v>45709</v>
      </c>
      <c r="B371" s="10">
        <v>45712</v>
      </c>
      <c r="C371" s="11">
        <f>VLOOKUP(B:B,'Курс валют'!A:D,4,0)</f>
        <v>92.015199999999993</v>
      </c>
      <c r="D371" s="58">
        <v>87</v>
      </c>
      <c r="E371" s="50" t="s">
        <v>60</v>
      </c>
      <c r="F371" s="58">
        <v>900</v>
      </c>
      <c r="G371" s="57">
        <v>935</v>
      </c>
      <c r="H371" s="49">
        <v>364</v>
      </c>
      <c r="I371" s="58">
        <f t="shared" si="35"/>
        <v>35</v>
      </c>
      <c r="J371" s="14">
        <f t="shared" si="36"/>
        <v>3.8888888888888888</v>
      </c>
      <c r="K371" s="56">
        <v>3.21</v>
      </c>
      <c r="L371" s="15">
        <f t="shared" si="37"/>
        <v>40.444444444444443</v>
      </c>
      <c r="M371" s="16">
        <f t="shared" si="38"/>
        <v>182.23508120888889</v>
      </c>
      <c r="N371" s="17">
        <f t="shared" si="39"/>
        <v>1.980488888888889</v>
      </c>
      <c r="O371" s="17">
        <f t="shared" si="40"/>
        <v>1782.44</v>
      </c>
      <c r="P371" s="18">
        <f t="shared" si="41"/>
        <v>164011.573088</v>
      </c>
      <c r="R371" s="66"/>
      <c r="S371" s="19" t="s">
        <v>2458</v>
      </c>
      <c r="T371" s="19" t="s">
        <v>2465</v>
      </c>
      <c r="U371" s="20"/>
      <c r="V371" s="20"/>
      <c r="W371" s="20"/>
      <c r="X371" s="20"/>
      <c r="Y371" s="20"/>
      <c r="Z371" s="20"/>
      <c r="AA371" s="20"/>
    </row>
    <row r="372" spans="1:27" ht="12.75">
      <c r="A372" s="54">
        <v>45709</v>
      </c>
      <c r="B372" s="10">
        <v>45712</v>
      </c>
      <c r="C372" s="11">
        <f>VLOOKUP(B:B,'Курс валют'!A:D,4,0)</f>
        <v>92.015199999999993</v>
      </c>
      <c r="D372" s="58">
        <v>88</v>
      </c>
      <c r="E372" s="50" t="s">
        <v>60</v>
      </c>
      <c r="F372" s="58">
        <v>900</v>
      </c>
      <c r="G372" s="57">
        <v>935</v>
      </c>
      <c r="H372" s="49">
        <v>365</v>
      </c>
      <c r="I372" s="58">
        <f t="shared" si="35"/>
        <v>35</v>
      </c>
      <c r="J372" s="14">
        <f t="shared" si="36"/>
        <v>3.8888888888888888</v>
      </c>
      <c r="K372" s="56">
        <v>3.21</v>
      </c>
      <c r="L372" s="15">
        <f t="shared" si="37"/>
        <v>40.555555555555557</v>
      </c>
      <c r="M372" s="16">
        <f t="shared" si="38"/>
        <v>181.92427431111111</v>
      </c>
      <c r="N372" s="17">
        <f t="shared" si="39"/>
        <v>1.9771111111111113</v>
      </c>
      <c r="O372" s="17">
        <f t="shared" si="40"/>
        <v>1779.4</v>
      </c>
      <c r="P372" s="18">
        <f t="shared" si="41"/>
        <v>163731.84688</v>
      </c>
      <c r="R372" s="65"/>
      <c r="S372" s="19" t="s">
        <v>2458</v>
      </c>
      <c r="T372" s="19" t="s">
        <v>2465</v>
      </c>
      <c r="U372" s="20"/>
      <c r="V372" s="20"/>
      <c r="W372" s="20"/>
      <c r="X372" s="20"/>
      <c r="Y372" s="20"/>
      <c r="Z372" s="20"/>
      <c r="AA372" s="20"/>
    </row>
    <row r="373" spans="1:27" ht="15">
      <c r="A373" s="54">
        <v>45709</v>
      </c>
      <c r="B373" s="10">
        <v>45712</v>
      </c>
      <c r="C373" s="11">
        <f>VLOOKUP(B:B,'Курс валют'!A:D,4,0)</f>
        <v>92.015199999999993</v>
      </c>
      <c r="D373" s="58">
        <v>89</v>
      </c>
      <c r="E373" s="50" t="s">
        <v>60</v>
      </c>
      <c r="F373" s="58">
        <v>900</v>
      </c>
      <c r="G373" s="57">
        <v>934</v>
      </c>
      <c r="H373" s="49">
        <v>366</v>
      </c>
      <c r="I373" s="58">
        <f t="shared" si="35"/>
        <v>34</v>
      </c>
      <c r="J373" s="14">
        <f t="shared" si="36"/>
        <v>3.7777777777777777</v>
      </c>
      <c r="K373" s="56">
        <v>3.21</v>
      </c>
      <c r="L373" s="15">
        <f t="shared" si="37"/>
        <v>40.666666666666664</v>
      </c>
      <c r="M373" s="16">
        <f t="shared" si="38"/>
        <v>181.61346741333332</v>
      </c>
      <c r="N373" s="17">
        <f t="shared" si="39"/>
        <v>1.9737333333333331</v>
      </c>
      <c r="O373" s="17">
        <f t="shared" si="40"/>
        <v>1776.36</v>
      </c>
      <c r="P373" s="18">
        <f t="shared" si="41"/>
        <v>163452.12067199999</v>
      </c>
      <c r="R373" s="134"/>
      <c r="S373" s="19" t="s">
        <v>2458</v>
      </c>
      <c r="T373" s="19" t="s">
        <v>2465</v>
      </c>
      <c r="U373" s="20"/>
      <c r="V373" s="20"/>
      <c r="W373" s="20"/>
      <c r="X373" s="20"/>
      <c r="Y373" s="20"/>
      <c r="Z373" s="20"/>
      <c r="AA373" s="20"/>
    </row>
    <row r="374" spans="1:27" ht="12.75">
      <c r="A374" s="54">
        <v>45712</v>
      </c>
      <c r="B374" s="10">
        <v>45713</v>
      </c>
      <c r="C374" s="11">
        <f>VLOOKUP(B:B,'Курс валют'!A:D,4,0)</f>
        <v>92.516199999999998</v>
      </c>
      <c r="D374" s="58">
        <v>90</v>
      </c>
      <c r="E374" s="62" t="s">
        <v>50</v>
      </c>
      <c r="F374" s="58">
        <v>8000</v>
      </c>
      <c r="G374" s="57">
        <v>8028.5</v>
      </c>
      <c r="H374" s="49">
        <v>0</v>
      </c>
      <c r="I374" s="58">
        <f t="shared" si="35"/>
        <v>28.5</v>
      </c>
      <c r="J374" s="14">
        <f t="shared" si="36"/>
        <v>0.35625000000000001</v>
      </c>
      <c r="K374" s="53">
        <v>2</v>
      </c>
      <c r="L374" s="15">
        <f t="shared" si="37"/>
        <v>0</v>
      </c>
      <c r="M374" s="16">
        <f t="shared" si="38"/>
        <v>185.0324</v>
      </c>
      <c r="N374" s="17">
        <f t="shared" si="39"/>
        <v>2</v>
      </c>
      <c r="O374" s="17">
        <f t="shared" si="40"/>
        <v>16000</v>
      </c>
      <c r="P374" s="18">
        <f t="shared" si="41"/>
        <v>1480259.2</v>
      </c>
      <c r="R374" s="65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>
      <c r="A375" s="54">
        <v>45713</v>
      </c>
      <c r="B375" s="10">
        <v>45714</v>
      </c>
      <c r="C375" s="11">
        <f>VLOOKUP(B:B,'Курс валют'!A:D,4,0)</f>
        <v>90.940299999999993</v>
      </c>
      <c r="D375" s="58">
        <v>91</v>
      </c>
      <c r="E375" s="62" t="s">
        <v>50</v>
      </c>
      <c r="F375" s="58">
        <v>8000</v>
      </c>
      <c r="G375" s="57">
        <v>8027.5</v>
      </c>
      <c r="H375" s="56">
        <v>0</v>
      </c>
      <c r="I375" s="58">
        <f t="shared" si="35"/>
        <v>27.5</v>
      </c>
      <c r="J375" s="14">
        <f t="shared" si="36"/>
        <v>0.34375</v>
      </c>
      <c r="K375" s="53">
        <v>2</v>
      </c>
      <c r="L375" s="15">
        <f t="shared" si="37"/>
        <v>0</v>
      </c>
      <c r="M375" s="16">
        <f t="shared" si="38"/>
        <v>181.88059999999999</v>
      </c>
      <c r="N375" s="17">
        <f t="shared" si="39"/>
        <v>2</v>
      </c>
      <c r="O375" s="17">
        <f t="shared" si="40"/>
        <v>16000</v>
      </c>
      <c r="P375" s="18">
        <f t="shared" si="41"/>
        <v>1455044.7999999998</v>
      </c>
      <c r="R375" s="65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>
      <c r="A376" s="54">
        <v>45714</v>
      </c>
      <c r="B376" s="10">
        <v>45715</v>
      </c>
      <c r="C376" s="11">
        <f>VLOOKUP(B:B,'Курс валют'!A:D,4,0)</f>
        <v>90.182599999999994</v>
      </c>
      <c r="D376" s="58">
        <v>94</v>
      </c>
      <c r="E376" s="62" t="s">
        <v>50</v>
      </c>
      <c r="F376" s="58">
        <v>8000</v>
      </c>
      <c r="G376" s="57">
        <v>8027.5</v>
      </c>
      <c r="H376" s="56">
        <v>0</v>
      </c>
      <c r="I376" s="58">
        <f t="shared" si="35"/>
        <v>27.5</v>
      </c>
      <c r="J376" s="14">
        <f t="shared" si="36"/>
        <v>0.34375</v>
      </c>
      <c r="K376" s="53">
        <v>2</v>
      </c>
      <c r="L376" s="15">
        <f t="shared" si="37"/>
        <v>0</v>
      </c>
      <c r="M376" s="16">
        <f t="shared" si="38"/>
        <v>180.36519999999999</v>
      </c>
      <c r="N376" s="17">
        <f t="shared" si="39"/>
        <v>2</v>
      </c>
      <c r="O376" s="17">
        <f t="shared" si="40"/>
        <v>16000</v>
      </c>
      <c r="P376" s="18">
        <f t="shared" si="41"/>
        <v>1442921.5999999999</v>
      </c>
      <c r="R376" s="65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>
      <c r="A377" s="54">
        <v>45715</v>
      </c>
      <c r="B377" s="10">
        <v>45716</v>
      </c>
      <c r="C377" s="11">
        <f>VLOOKUP(B:B,'Курс валют'!A:D,4,0)</f>
        <v>92.036199999999994</v>
      </c>
      <c r="D377" s="58">
        <v>95</v>
      </c>
      <c r="E377" s="62" t="s">
        <v>50</v>
      </c>
      <c r="F377" s="58">
        <v>5600</v>
      </c>
      <c r="G377" s="57">
        <v>5624.35</v>
      </c>
      <c r="H377" s="56">
        <v>0</v>
      </c>
      <c r="I377" s="58">
        <f t="shared" si="35"/>
        <v>24.350000000000364</v>
      </c>
      <c r="J377" s="14">
        <f t="shared" si="36"/>
        <v>0.43482142857143513</v>
      </c>
      <c r="K377" s="56">
        <v>2.0099999999999998</v>
      </c>
      <c r="L377" s="15">
        <f t="shared" si="37"/>
        <v>0</v>
      </c>
      <c r="M377" s="16">
        <f t="shared" si="38"/>
        <v>184.99276199999994</v>
      </c>
      <c r="N377" s="17">
        <f t="shared" si="39"/>
        <v>2.0099999999999998</v>
      </c>
      <c r="O377" s="17">
        <f t="shared" si="40"/>
        <v>11255.999999999998</v>
      </c>
      <c r="P377" s="18">
        <f t="shared" si="41"/>
        <v>1035959.4671999997</v>
      </c>
      <c r="R377" s="66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>
      <c r="A378" s="54">
        <v>45715</v>
      </c>
      <c r="B378" s="10">
        <v>45716</v>
      </c>
      <c r="C378" s="11">
        <f>VLOOKUP(B:B,'Курс валют'!A:D,4,0)</f>
        <v>92.036199999999994</v>
      </c>
      <c r="D378" s="58">
        <v>96</v>
      </c>
      <c r="E378" s="50" t="s">
        <v>52</v>
      </c>
      <c r="F378" s="58">
        <v>800</v>
      </c>
      <c r="G378" s="57">
        <v>824.3</v>
      </c>
      <c r="H378" s="56">
        <v>0</v>
      </c>
      <c r="I378" s="58">
        <f t="shared" si="35"/>
        <v>24.299999999999955</v>
      </c>
      <c r="J378" s="14">
        <f t="shared" si="36"/>
        <v>3.0374999999999943</v>
      </c>
      <c r="K378" s="56">
        <v>2.63</v>
      </c>
      <c r="L378" s="15">
        <f t="shared" si="37"/>
        <v>0</v>
      </c>
      <c r="M378" s="16">
        <f t="shared" si="38"/>
        <v>242.055206</v>
      </c>
      <c r="N378" s="17">
        <f t="shared" si="39"/>
        <v>2.63</v>
      </c>
      <c r="O378" s="17">
        <f t="shared" si="40"/>
        <v>2104</v>
      </c>
      <c r="P378" s="18">
        <f t="shared" si="41"/>
        <v>193644.1648</v>
      </c>
      <c r="R378" s="65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>
      <c r="A379" s="54">
        <v>45715</v>
      </c>
      <c r="B379" s="10">
        <v>45716</v>
      </c>
      <c r="C379" s="11">
        <f>VLOOKUP(B:B,'Курс валют'!A:D,4,0)</f>
        <v>92.036199999999994</v>
      </c>
      <c r="D379" s="58">
        <v>97</v>
      </c>
      <c r="E379" s="55" t="s">
        <v>99</v>
      </c>
      <c r="F379" s="58">
        <v>200</v>
      </c>
      <c r="G379" s="58">
        <v>200</v>
      </c>
      <c r="H379" s="56">
        <v>0</v>
      </c>
      <c r="I379" s="58">
        <f t="shared" si="35"/>
        <v>0</v>
      </c>
      <c r="J379" s="14">
        <f t="shared" si="36"/>
        <v>0</v>
      </c>
      <c r="K379" s="56">
        <v>3.34</v>
      </c>
      <c r="L379" s="15">
        <f t="shared" si="37"/>
        <v>0</v>
      </c>
      <c r="M379" s="16">
        <f t="shared" si="38"/>
        <v>307.40090799999996</v>
      </c>
      <c r="N379" s="17">
        <f t="shared" si="39"/>
        <v>3.34</v>
      </c>
      <c r="O379" s="17">
        <f t="shared" si="40"/>
        <v>668</v>
      </c>
      <c r="P379" s="18">
        <f t="shared" si="41"/>
        <v>61480.181599999996</v>
      </c>
      <c r="R379" s="65" t="s">
        <v>1267</v>
      </c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>
      <c r="A380" s="54">
        <v>45715</v>
      </c>
      <c r="B380" s="10">
        <v>45716</v>
      </c>
      <c r="C380" s="11">
        <f>VLOOKUP(B:B,'Курс валют'!A:D,4,0)</f>
        <v>92.036199999999994</v>
      </c>
      <c r="D380" s="58">
        <v>98</v>
      </c>
      <c r="E380" s="55" t="s">
        <v>204</v>
      </c>
      <c r="F380" s="58">
        <v>220</v>
      </c>
      <c r="G380" s="58">
        <v>220</v>
      </c>
      <c r="H380" s="56">
        <v>0</v>
      </c>
      <c r="I380" s="58">
        <f t="shared" si="35"/>
        <v>0</v>
      </c>
      <c r="J380" s="14">
        <f t="shared" si="36"/>
        <v>0</v>
      </c>
      <c r="K380" s="56">
        <v>4.01</v>
      </c>
      <c r="L380" s="15">
        <f t="shared" si="37"/>
        <v>0</v>
      </c>
      <c r="M380" s="16">
        <f t="shared" si="38"/>
        <v>369.06516199999993</v>
      </c>
      <c r="N380" s="17">
        <f t="shared" si="39"/>
        <v>4.01</v>
      </c>
      <c r="O380" s="17">
        <f t="shared" si="40"/>
        <v>882.19999999999993</v>
      </c>
      <c r="P380" s="18">
        <f t="shared" si="41"/>
        <v>81194.33563999999</v>
      </c>
      <c r="R380" s="65" t="s">
        <v>1267</v>
      </c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>
      <c r="A381" s="10">
        <v>45716</v>
      </c>
      <c r="B381" s="10">
        <v>45719</v>
      </c>
      <c r="C381" s="11">
        <f>VLOOKUP(B:B,'Курс валют'!A:D,4,0)</f>
        <v>91.5655</v>
      </c>
      <c r="D381" s="11">
        <v>99</v>
      </c>
      <c r="E381" s="62" t="s">
        <v>50</v>
      </c>
      <c r="F381" s="11">
        <v>8000</v>
      </c>
      <c r="G381" s="11">
        <v>8027.5</v>
      </c>
      <c r="H381" s="56">
        <v>0</v>
      </c>
      <c r="I381" s="58">
        <f t="shared" si="35"/>
        <v>27.5</v>
      </c>
      <c r="J381" s="14">
        <f t="shared" si="36"/>
        <v>0.34375</v>
      </c>
      <c r="K381" s="46">
        <v>2</v>
      </c>
      <c r="L381" s="15">
        <f t="shared" si="37"/>
        <v>0</v>
      </c>
      <c r="M381" s="16">
        <f t="shared" si="38"/>
        <v>183.131</v>
      </c>
      <c r="N381" s="17">
        <f t="shared" si="39"/>
        <v>2</v>
      </c>
      <c r="O381" s="17">
        <f t="shared" si="40"/>
        <v>16000</v>
      </c>
      <c r="P381" s="18">
        <f t="shared" si="41"/>
        <v>1465048</v>
      </c>
      <c r="R381" s="66"/>
      <c r="S381" s="19"/>
      <c r="T381" s="20"/>
      <c r="U381" s="20"/>
      <c r="V381" s="20"/>
      <c r="W381" s="20"/>
      <c r="X381" s="20"/>
      <c r="Y381" s="20"/>
      <c r="Z381" s="20"/>
      <c r="AA381" s="20"/>
    </row>
    <row r="382" spans="1:27">
      <c r="A382" s="10">
        <v>45716</v>
      </c>
      <c r="B382" s="10">
        <v>45719</v>
      </c>
      <c r="C382" s="11">
        <f>VLOOKUP(B:B,'Курс валют'!A:D,4,0)</f>
        <v>91.5655</v>
      </c>
      <c r="D382" s="58">
        <v>100</v>
      </c>
      <c r="E382" s="62" t="s">
        <v>50</v>
      </c>
      <c r="F382" s="58">
        <v>8000</v>
      </c>
      <c r="G382" s="58">
        <v>8028.5</v>
      </c>
      <c r="H382" s="56">
        <v>0</v>
      </c>
      <c r="I382" s="58">
        <f t="shared" si="35"/>
        <v>28.5</v>
      </c>
      <c r="J382" s="14">
        <f t="shared" si="36"/>
        <v>0.35625000000000001</v>
      </c>
      <c r="K382" s="56">
        <v>2</v>
      </c>
      <c r="L382" s="15">
        <f t="shared" si="37"/>
        <v>0</v>
      </c>
      <c r="M382" s="16">
        <f t="shared" si="38"/>
        <v>183.131</v>
      </c>
      <c r="N382" s="17">
        <f t="shared" si="39"/>
        <v>2</v>
      </c>
      <c r="O382" s="17">
        <f t="shared" si="40"/>
        <v>16000</v>
      </c>
      <c r="P382" s="18">
        <f t="shared" si="41"/>
        <v>1465048</v>
      </c>
      <c r="R382" s="66"/>
      <c r="S382" s="19"/>
      <c r="T382" s="20"/>
      <c r="U382" s="20"/>
      <c r="V382" s="20"/>
      <c r="W382" s="20"/>
      <c r="X382" s="20"/>
      <c r="Y382" s="20"/>
      <c r="Z382" s="20"/>
      <c r="AA382" s="20"/>
    </row>
    <row r="383" spans="1:27">
      <c r="A383" s="54">
        <v>45719</v>
      </c>
      <c r="B383" s="10">
        <v>45720</v>
      </c>
      <c r="C383" s="11">
        <f>VLOOKUP(B:B,'Курс валют'!A:D,4,0)</f>
        <v>92.852999999999994</v>
      </c>
      <c r="D383" s="58">
        <v>101</v>
      </c>
      <c r="E383" s="50" t="s">
        <v>15</v>
      </c>
      <c r="F383" s="58">
        <v>6600</v>
      </c>
      <c r="G383" s="58">
        <v>6630</v>
      </c>
      <c r="H383" s="56">
        <v>120</v>
      </c>
      <c r="I383" s="58">
        <f t="shared" si="35"/>
        <v>30</v>
      </c>
      <c r="J383" s="14">
        <f t="shared" si="36"/>
        <v>0.45454545454545453</v>
      </c>
      <c r="K383" s="56">
        <v>2.75</v>
      </c>
      <c r="L383" s="15">
        <f t="shared" si="37"/>
        <v>1.8181818181818181</v>
      </c>
      <c r="M383" s="16">
        <f t="shared" si="38"/>
        <v>250.21351145454545</v>
      </c>
      <c r="N383" s="17">
        <f t="shared" si="39"/>
        <v>2.6947272727272726</v>
      </c>
      <c r="O383" s="17">
        <f t="shared" si="40"/>
        <v>17785.2</v>
      </c>
      <c r="P383" s="18">
        <f t="shared" si="41"/>
        <v>1651409.1756</v>
      </c>
      <c r="R383" s="66"/>
      <c r="S383" s="19"/>
      <c r="T383" s="20"/>
      <c r="U383" s="20"/>
      <c r="V383" s="20"/>
      <c r="W383" s="20"/>
      <c r="X383" s="20"/>
      <c r="Y383" s="20"/>
      <c r="Z383" s="20"/>
      <c r="AA383" s="20"/>
    </row>
    <row r="384" spans="1:27">
      <c r="A384" s="54">
        <v>45720</v>
      </c>
      <c r="B384" s="10">
        <v>45721</v>
      </c>
      <c r="C384" s="11">
        <f>VLOOKUP(B:B,'Курс валют'!A:D,4,0)</f>
        <v>93.903400000000005</v>
      </c>
      <c r="D384" s="58">
        <v>102</v>
      </c>
      <c r="E384" s="50" t="s">
        <v>15</v>
      </c>
      <c r="F384" s="58">
        <v>5500</v>
      </c>
      <c r="G384" s="58">
        <v>5539</v>
      </c>
      <c r="H384" s="56">
        <v>100</v>
      </c>
      <c r="I384" s="58">
        <f t="shared" si="35"/>
        <v>39</v>
      </c>
      <c r="J384" s="14">
        <f t="shared" si="36"/>
        <v>0.70909090909090911</v>
      </c>
      <c r="K384" s="56">
        <v>2.75</v>
      </c>
      <c r="L384" s="15">
        <f t="shared" si="37"/>
        <v>1.8181818181818181</v>
      </c>
      <c r="M384" s="16">
        <f t="shared" si="38"/>
        <v>253.04405298181817</v>
      </c>
      <c r="N384" s="17">
        <f t="shared" si="39"/>
        <v>2.6947272727272726</v>
      </c>
      <c r="O384" s="17">
        <f t="shared" si="40"/>
        <v>14821</v>
      </c>
      <c r="P384" s="18">
        <f t="shared" si="41"/>
        <v>1391742.2914</v>
      </c>
      <c r="R384" s="66"/>
      <c r="S384" s="19"/>
      <c r="T384" s="20"/>
      <c r="U384" s="20"/>
      <c r="V384" s="20"/>
      <c r="W384" s="20"/>
      <c r="X384" s="20"/>
      <c r="Y384" s="20"/>
      <c r="Z384" s="20"/>
      <c r="AA384" s="20"/>
    </row>
    <row r="385" spans="1:27">
      <c r="A385" s="54">
        <v>45721</v>
      </c>
      <c r="B385" s="10">
        <v>45722</v>
      </c>
      <c r="C385" s="11">
        <f>VLOOKUP(B:B,'Курс валют'!A:D,4,0)</f>
        <v>95.703500000000005</v>
      </c>
      <c r="D385" s="58">
        <v>103</v>
      </c>
      <c r="E385" s="50" t="s">
        <v>51</v>
      </c>
      <c r="F385" s="58">
        <v>1600</v>
      </c>
      <c r="G385" s="58">
        <v>1613</v>
      </c>
      <c r="H385" s="56">
        <v>0</v>
      </c>
      <c r="I385" s="58">
        <f t="shared" si="35"/>
        <v>13</v>
      </c>
      <c r="J385" s="14">
        <f t="shared" si="36"/>
        <v>0.8125</v>
      </c>
      <c r="K385" s="56">
        <v>2.19</v>
      </c>
      <c r="L385" s="15">
        <f t="shared" si="37"/>
        <v>0</v>
      </c>
      <c r="M385" s="16">
        <f t="shared" si="38"/>
        <v>209.590665</v>
      </c>
      <c r="N385" s="17">
        <f t="shared" si="39"/>
        <v>2.19</v>
      </c>
      <c r="O385" s="17">
        <f t="shared" si="40"/>
        <v>3504</v>
      </c>
      <c r="P385" s="18">
        <f t="shared" si="41"/>
        <v>335345.06400000001</v>
      </c>
      <c r="R385" s="66"/>
      <c r="S385" s="19"/>
      <c r="T385" s="20"/>
      <c r="U385" s="20"/>
      <c r="V385" s="20"/>
      <c r="W385" s="20"/>
      <c r="X385" s="20"/>
      <c r="Y385" s="20"/>
      <c r="Z385" s="20"/>
      <c r="AA385" s="20"/>
    </row>
    <row r="386" spans="1:27">
      <c r="A386" s="54">
        <v>45721</v>
      </c>
      <c r="B386" s="10">
        <v>45722</v>
      </c>
      <c r="C386" s="11">
        <f>VLOOKUP(B:B,'Курс валют'!A:D,4,0)</f>
        <v>95.703500000000005</v>
      </c>
      <c r="D386" s="58">
        <v>104</v>
      </c>
      <c r="E386" s="58" t="s">
        <v>52</v>
      </c>
      <c r="F386" s="58">
        <v>800</v>
      </c>
      <c r="G386" s="58">
        <v>825.2</v>
      </c>
      <c r="H386" s="56">
        <v>0</v>
      </c>
      <c r="I386" s="58">
        <f t="shared" si="35"/>
        <v>25.200000000000045</v>
      </c>
      <c r="J386" s="14">
        <f t="shared" si="36"/>
        <v>3.1500000000000057</v>
      </c>
      <c r="K386" s="56">
        <v>2.71</v>
      </c>
      <c r="L386" s="15">
        <f t="shared" si="37"/>
        <v>0</v>
      </c>
      <c r="M386" s="16">
        <f t="shared" si="38"/>
        <v>259.35648500000002</v>
      </c>
      <c r="N386" s="17">
        <f t="shared" si="39"/>
        <v>2.71</v>
      </c>
      <c r="O386" s="17">
        <f t="shared" si="40"/>
        <v>2168</v>
      </c>
      <c r="P386" s="18">
        <f t="shared" si="41"/>
        <v>207485.18800000002</v>
      </c>
      <c r="R386" s="66"/>
      <c r="S386" s="19"/>
      <c r="T386" s="20"/>
      <c r="U386" s="20"/>
      <c r="V386" s="20"/>
      <c r="W386" s="20"/>
      <c r="X386" s="20"/>
      <c r="Y386" s="20"/>
      <c r="Z386" s="20"/>
      <c r="AA386" s="20"/>
    </row>
    <row r="387" spans="1:27">
      <c r="A387" s="54">
        <v>45722</v>
      </c>
      <c r="B387" s="10">
        <v>45723</v>
      </c>
      <c r="C387" s="11">
        <f>VLOOKUP(B:B,'Курс валют'!A:D,4,0)</f>
        <v>96.597499999999997</v>
      </c>
      <c r="D387" s="58">
        <v>105</v>
      </c>
      <c r="E387" s="64" t="s">
        <v>53</v>
      </c>
      <c r="F387" s="58">
        <v>1600</v>
      </c>
      <c r="G387" s="58">
        <v>1616.2</v>
      </c>
      <c r="H387" s="56">
        <v>0</v>
      </c>
      <c r="I387" s="58">
        <f t="shared" si="35"/>
        <v>16.200000000000045</v>
      </c>
      <c r="J387" s="14">
        <f t="shared" si="36"/>
        <v>1.0125000000000028</v>
      </c>
      <c r="K387" s="56">
        <v>3.2</v>
      </c>
      <c r="L387" s="15">
        <f t="shared" si="37"/>
        <v>0</v>
      </c>
      <c r="M387" s="16">
        <f t="shared" si="38"/>
        <v>309.11199999999997</v>
      </c>
      <c r="N387" s="17">
        <f t="shared" si="39"/>
        <v>3.2</v>
      </c>
      <c r="O387" s="17">
        <f t="shared" si="40"/>
        <v>5120</v>
      </c>
      <c r="P387" s="18">
        <f t="shared" si="41"/>
        <v>494579.19999999995</v>
      </c>
      <c r="R387" s="66"/>
      <c r="S387" s="19"/>
      <c r="T387" s="20"/>
      <c r="U387" s="20"/>
      <c r="V387" s="20"/>
      <c r="W387" s="20"/>
      <c r="X387" s="20"/>
      <c r="Y387" s="20"/>
      <c r="Z387" s="20"/>
      <c r="AA387" s="20"/>
    </row>
    <row r="388" spans="1:27">
      <c r="A388" s="54">
        <v>45722</v>
      </c>
      <c r="B388" s="10">
        <v>45723</v>
      </c>
      <c r="C388" s="11">
        <f>VLOOKUP(B:B,'Курс валют'!A:D,4,0)</f>
        <v>96.597499999999997</v>
      </c>
      <c r="D388" s="58">
        <v>106</v>
      </c>
      <c r="E388" s="64" t="s">
        <v>51</v>
      </c>
      <c r="F388" s="58">
        <v>2400</v>
      </c>
      <c r="G388" s="58">
        <v>2415.9</v>
      </c>
      <c r="H388" s="56">
        <v>0</v>
      </c>
      <c r="I388" s="58">
        <f t="shared" si="35"/>
        <v>15.900000000000091</v>
      </c>
      <c r="J388" s="14">
        <f t="shared" si="36"/>
        <v>0.66250000000000375</v>
      </c>
      <c r="K388" s="56">
        <v>2.17</v>
      </c>
      <c r="L388" s="15">
        <f t="shared" si="37"/>
        <v>0</v>
      </c>
      <c r="M388" s="16">
        <f t="shared" si="38"/>
        <v>209.61657499999998</v>
      </c>
      <c r="N388" s="17">
        <f t="shared" si="39"/>
        <v>2.17</v>
      </c>
      <c r="O388" s="17">
        <f t="shared" si="40"/>
        <v>5208</v>
      </c>
      <c r="P388" s="18">
        <f t="shared" si="41"/>
        <v>503079.77999999997</v>
      </c>
      <c r="R388" s="66"/>
      <c r="S388" s="19"/>
      <c r="T388" s="20"/>
      <c r="U388" s="20"/>
      <c r="V388" s="20"/>
      <c r="W388" s="20"/>
      <c r="X388" s="20"/>
      <c r="Y388" s="20"/>
      <c r="Z388" s="20"/>
      <c r="AA388" s="20"/>
    </row>
    <row r="389" spans="1:27">
      <c r="A389" s="54">
        <v>45723</v>
      </c>
      <c r="B389" s="10">
        <v>45726</v>
      </c>
      <c r="C389" s="11">
        <f>VLOOKUP(B:B,'Курс валют'!A:D,4,0)</f>
        <v>96.860900000000001</v>
      </c>
      <c r="D389" s="58">
        <v>107</v>
      </c>
      <c r="E389" s="62" t="s">
        <v>50</v>
      </c>
      <c r="F389" s="58">
        <v>2400</v>
      </c>
      <c r="G389" s="58">
        <v>2425.2800000000002</v>
      </c>
      <c r="H389" s="56">
        <v>0</v>
      </c>
      <c r="I389" s="58">
        <f t="shared" si="35"/>
        <v>25.2800000000002</v>
      </c>
      <c r="J389" s="14">
        <f t="shared" si="36"/>
        <v>1.0533333333333417</v>
      </c>
      <c r="K389" s="56">
        <v>2.08</v>
      </c>
      <c r="L389" s="15">
        <f t="shared" si="37"/>
        <v>0</v>
      </c>
      <c r="M389" s="16">
        <f t="shared" si="38"/>
        <v>201.47067200000001</v>
      </c>
      <c r="N389" s="17">
        <f t="shared" si="39"/>
        <v>2.08</v>
      </c>
      <c r="O389" s="17">
        <f t="shared" si="40"/>
        <v>4992</v>
      </c>
      <c r="P389" s="18">
        <f t="shared" si="41"/>
        <v>483529.6128</v>
      </c>
      <c r="R389" s="66"/>
      <c r="S389" s="19"/>
      <c r="T389" s="20"/>
      <c r="U389" s="20"/>
      <c r="V389" s="20"/>
      <c r="W389" s="20"/>
      <c r="X389" s="20"/>
      <c r="Y389" s="20"/>
      <c r="Z389" s="20"/>
      <c r="AA389" s="20"/>
    </row>
    <row r="390" spans="1:27">
      <c r="A390" s="54">
        <v>45723</v>
      </c>
      <c r="B390" s="10">
        <v>45726</v>
      </c>
      <c r="C390" s="11">
        <f>VLOOKUP(B:B,'Курс валют'!A:D,4,0)</f>
        <v>96.860900000000001</v>
      </c>
      <c r="D390" s="58">
        <v>108</v>
      </c>
      <c r="E390" s="64" t="s">
        <v>53</v>
      </c>
      <c r="F390" s="58">
        <v>1600</v>
      </c>
      <c r="G390" s="58">
        <v>1617.5</v>
      </c>
      <c r="H390" s="56">
        <v>0</v>
      </c>
      <c r="I390" s="58">
        <f t="shared" si="35"/>
        <v>17.5</v>
      </c>
      <c r="J390" s="14">
        <f t="shared" si="36"/>
        <v>1.09375</v>
      </c>
      <c r="K390" s="56">
        <v>3.17</v>
      </c>
      <c r="L390" s="15">
        <f t="shared" si="37"/>
        <v>0</v>
      </c>
      <c r="M390" s="16">
        <f t="shared" si="38"/>
        <v>307.04905299999996</v>
      </c>
      <c r="N390" s="17">
        <f t="shared" si="39"/>
        <v>3.17</v>
      </c>
      <c r="O390" s="17">
        <f t="shared" si="40"/>
        <v>5072</v>
      </c>
      <c r="P390" s="18">
        <f t="shared" si="41"/>
        <v>491278.48479999998</v>
      </c>
      <c r="R390" s="66"/>
      <c r="S390" s="19"/>
      <c r="T390" s="20"/>
      <c r="U390" s="20"/>
      <c r="V390" s="20"/>
      <c r="W390" s="20"/>
      <c r="X390" s="20"/>
      <c r="Y390" s="20"/>
      <c r="Z390" s="20"/>
      <c r="AA390" s="20"/>
    </row>
    <row r="391" spans="1:27">
      <c r="A391" s="54">
        <v>45723</v>
      </c>
      <c r="B391" s="10">
        <v>45726</v>
      </c>
      <c r="C391" s="11">
        <f>VLOOKUP(B:B,'Курс валют'!A:D,4,0)</f>
        <v>96.860900000000001</v>
      </c>
      <c r="D391" s="58">
        <v>109</v>
      </c>
      <c r="E391" s="64" t="s">
        <v>54</v>
      </c>
      <c r="F391" s="58">
        <v>2400</v>
      </c>
      <c r="G391" s="58">
        <v>2420.3000000000002</v>
      </c>
      <c r="H391" s="56">
        <v>0</v>
      </c>
      <c r="I391" s="58">
        <f t="shared" si="35"/>
        <v>20.300000000000182</v>
      </c>
      <c r="J391" s="14">
        <f t="shared" si="36"/>
        <v>0.84583333333334099</v>
      </c>
      <c r="K391" s="56">
        <v>2.9</v>
      </c>
      <c r="L391" s="15">
        <f t="shared" si="37"/>
        <v>0</v>
      </c>
      <c r="M391" s="16">
        <f t="shared" si="38"/>
        <v>280.89661000000001</v>
      </c>
      <c r="N391" s="17">
        <f t="shared" si="39"/>
        <v>2.9</v>
      </c>
      <c r="O391" s="17">
        <f t="shared" si="40"/>
        <v>6960</v>
      </c>
      <c r="P391" s="18">
        <f t="shared" si="41"/>
        <v>674151.86400000006</v>
      </c>
      <c r="R391" s="66"/>
      <c r="S391" s="19"/>
      <c r="T391" s="20"/>
      <c r="U391" s="20"/>
      <c r="V391" s="20"/>
      <c r="W391" s="20"/>
      <c r="X391" s="20"/>
      <c r="Y391" s="20"/>
      <c r="Z391" s="20"/>
      <c r="AA391" s="20"/>
    </row>
    <row r="392" spans="1:27">
      <c r="A392" s="54">
        <v>45723</v>
      </c>
      <c r="B392" s="10">
        <v>45726</v>
      </c>
      <c r="C392" s="11">
        <f>VLOOKUP(B:B,'Курс валют'!A:D,4,0)</f>
        <v>96.860900000000001</v>
      </c>
      <c r="D392" s="58">
        <v>110</v>
      </c>
      <c r="E392" s="64" t="s">
        <v>54</v>
      </c>
      <c r="F392" s="58">
        <v>1600</v>
      </c>
      <c r="G392" s="58">
        <v>1617.2</v>
      </c>
      <c r="H392" s="56">
        <v>0</v>
      </c>
      <c r="I392" s="58">
        <f t="shared" si="35"/>
        <v>17.200000000000045</v>
      </c>
      <c r="J392" s="14">
        <f t="shared" si="36"/>
        <v>1.0750000000000028</v>
      </c>
      <c r="K392" s="56">
        <v>2.9</v>
      </c>
      <c r="L392" s="15">
        <f t="shared" si="37"/>
        <v>0</v>
      </c>
      <c r="M392" s="16">
        <f t="shared" si="38"/>
        <v>280.89661000000001</v>
      </c>
      <c r="N392" s="17">
        <f t="shared" si="39"/>
        <v>2.9</v>
      </c>
      <c r="O392" s="17">
        <f t="shared" si="40"/>
        <v>4640</v>
      </c>
      <c r="P392" s="18">
        <f t="shared" si="41"/>
        <v>449434.576</v>
      </c>
      <c r="R392" s="66"/>
      <c r="S392" s="19"/>
      <c r="T392" s="20"/>
      <c r="U392" s="20"/>
      <c r="V392" s="20"/>
      <c r="W392" s="20"/>
      <c r="X392" s="20"/>
      <c r="Y392" s="20"/>
      <c r="Z392" s="20"/>
      <c r="AA392" s="20"/>
    </row>
    <row r="393" spans="1:27">
      <c r="A393" s="54">
        <v>45722</v>
      </c>
      <c r="B393" s="10">
        <v>45726</v>
      </c>
      <c r="C393" s="11">
        <f>VLOOKUP(B:B,'Курс валют'!A:D,4,0)</f>
        <v>96.860900000000001</v>
      </c>
      <c r="D393" s="58">
        <v>111</v>
      </c>
      <c r="E393" s="64" t="s">
        <v>55</v>
      </c>
      <c r="F393" s="58">
        <v>66</v>
      </c>
      <c r="G393" s="58">
        <v>66</v>
      </c>
      <c r="H393" s="56">
        <v>0</v>
      </c>
      <c r="I393" s="58">
        <f t="shared" si="35"/>
        <v>0</v>
      </c>
      <c r="J393" s="14">
        <f t="shared" si="36"/>
        <v>0</v>
      </c>
      <c r="K393" s="56">
        <v>2.86</v>
      </c>
      <c r="L393" s="15">
        <f t="shared" si="37"/>
        <v>0</v>
      </c>
      <c r="M393" s="16">
        <f t="shared" si="38"/>
        <v>277.02217400000001</v>
      </c>
      <c r="N393" s="17">
        <f t="shared" si="39"/>
        <v>2.86</v>
      </c>
      <c r="O393" s="17">
        <f t="shared" si="40"/>
        <v>188.76</v>
      </c>
      <c r="P393" s="18">
        <f t="shared" si="41"/>
        <v>18283.463484</v>
      </c>
      <c r="R393" s="65" t="s">
        <v>2453</v>
      </c>
      <c r="S393" s="19"/>
      <c r="T393" s="20"/>
      <c r="U393" s="20"/>
      <c r="V393" s="20"/>
      <c r="W393" s="20"/>
      <c r="X393" s="20"/>
      <c r="Y393" s="20"/>
      <c r="Z393" s="20"/>
      <c r="AA393" s="20"/>
    </row>
    <row r="394" spans="1:27">
      <c r="A394" s="54">
        <v>45726</v>
      </c>
      <c r="B394" s="10">
        <v>45727</v>
      </c>
      <c r="C394" s="11">
        <f>VLOOKUP(B:B,'Курс валют'!A:D,4,0)</f>
        <v>95.444299999999998</v>
      </c>
      <c r="D394" s="58">
        <v>112</v>
      </c>
      <c r="E394" s="62" t="s">
        <v>50</v>
      </c>
      <c r="F394" s="58">
        <v>6400</v>
      </c>
      <c r="G394" s="58">
        <v>6421.15</v>
      </c>
      <c r="H394" s="56">
        <v>0</v>
      </c>
      <c r="I394" s="58">
        <f t="shared" si="35"/>
        <v>21.149999999999636</v>
      </c>
      <c r="J394" s="14">
        <f t="shared" si="36"/>
        <v>0.33046874999999432</v>
      </c>
      <c r="K394" s="56">
        <v>2.0099999999999998</v>
      </c>
      <c r="L394" s="15">
        <f t="shared" si="37"/>
        <v>0</v>
      </c>
      <c r="M394" s="16">
        <f t="shared" si="38"/>
        <v>191.84304299999997</v>
      </c>
      <c r="N394" s="17">
        <f t="shared" si="39"/>
        <v>2.0099999999999998</v>
      </c>
      <c r="O394" s="17">
        <f t="shared" si="40"/>
        <v>12863.999999999998</v>
      </c>
      <c r="P394" s="18">
        <f t="shared" si="41"/>
        <v>1227795.4751999998</v>
      </c>
      <c r="R394" s="66"/>
      <c r="S394" s="19"/>
      <c r="T394" s="20"/>
      <c r="U394" s="20"/>
      <c r="V394" s="20"/>
      <c r="W394" s="20"/>
      <c r="X394" s="20"/>
      <c r="Y394" s="20"/>
      <c r="Z394" s="20"/>
      <c r="AA394" s="20"/>
    </row>
    <row r="395" spans="1:27">
      <c r="A395" s="54">
        <v>45696</v>
      </c>
      <c r="B395" s="10">
        <v>45726</v>
      </c>
      <c r="C395" s="11">
        <f>VLOOKUP(B:B,'Курс валют'!A:D,4,0)</f>
        <v>96.860900000000001</v>
      </c>
      <c r="D395" s="58">
        <v>92</v>
      </c>
      <c r="E395" s="50" t="s">
        <v>2454</v>
      </c>
      <c r="F395" s="58">
        <v>927</v>
      </c>
      <c r="G395" s="58">
        <v>970</v>
      </c>
      <c r="H395" s="56">
        <v>0</v>
      </c>
      <c r="I395" s="58">
        <f t="shared" si="35"/>
        <v>43</v>
      </c>
      <c r="J395" s="14">
        <f t="shared" si="36"/>
        <v>4.638619201725998</v>
      </c>
      <c r="K395" s="56">
        <v>3.08</v>
      </c>
      <c r="L395" s="15">
        <f t="shared" si="37"/>
        <v>0</v>
      </c>
      <c r="M395" s="16">
        <f t="shared" si="38"/>
        <v>298.33157199999994</v>
      </c>
      <c r="N395" s="17">
        <f t="shared" si="39"/>
        <v>3.0799999999999996</v>
      </c>
      <c r="O395" s="17">
        <f t="shared" si="40"/>
        <v>2855.16</v>
      </c>
      <c r="P395" s="18">
        <f t="shared" si="41"/>
        <v>276553.36724399996</v>
      </c>
      <c r="R395" s="65" t="s">
        <v>2455</v>
      </c>
      <c r="S395" s="19" t="s">
        <v>2456</v>
      </c>
      <c r="T395" s="24"/>
      <c r="U395" s="24"/>
      <c r="V395" s="24"/>
      <c r="W395" s="24"/>
      <c r="X395" s="24"/>
      <c r="Y395" s="24"/>
      <c r="Z395" s="24"/>
      <c r="AA395" s="24"/>
    </row>
    <row r="396" spans="1:27">
      <c r="A396" s="54">
        <v>45726</v>
      </c>
      <c r="B396" s="10">
        <v>45726</v>
      </c>
      <c r="C396" s="11">
        <f>VLOOKUP(B:B,'Курс валют'!A:D,4,0)</f>
        <v>96.860900000000001</v>
      </c>
      <c r="D396" s="58">
        <v>113</v>
      </c>
      <c r="E396" s="50" t="s">
        <v>2457</v>
      </c>
      <c r="F396" s="58">
        <v>1000</v>
      </c>
      <c r="G396" s="58">
        <v>1027</v>
      </c>
      <c r="H396" s="56">
        <v>480</v>
      </c>
      <c r="I396" s="58">
        <f t="shared" si="35"/>
        <v>27</v>
      </c>
      <c r="J396" s="14">
        <f t="shared" si="36"/>
        <v>2.7</v>
      </c>
      <c r="K396" s="56">
        <v>3.91</v>
      </c>
      <c r="L396" s="15">
        <f t="shared" si="37"/>
        <v>48</v>
      </c>
      <c r="M396" s="16">
        <f t="shared" si="38"/>
        <v>237.38669372000001</v>
      </c>
      <c r="N396" s="17">
        <f t="shared" si="39"/>
        <v>2.4508000000000001</v>
      </c>
      <c r="O396" s="17">
        <f t="shared" si="40"/>
        <v>2450.8000000000002</v>
      </c>
      <c r="P396" s="18">
        <f t="shared" si="41"/>
        <v>237386.69372000001</v>
      </c>
      <c r="R396" s="208"/>
      <c r="S396" s="19" t="s">
        <v>2456</v>
      </c>
      <c r="T396" s="20"/>
      <c r="U396" s="20"/>
      <c r="V396" s="20"/>
      <c r="W396" s="20"/>
      <c r="X396" s="20"/>
      <c r="Y396" s="20"/>
      <c r="Z396" s="20"/>
      <c r="AA396" s="20"/>
    </row>
    <row r="397" spans="1:27">
      <c r="A397" s="54">
        <v>45726</v>
      </c>
      <c r="B397" s="10">
        <v>45726</v>
      </c>
      <c r="C397" s="11">
        <f>VLOOKUP(B:B,'Курс валют'!A:D,4,0)</f>
        <v>96.860900000000001</v>
      </c>
      <c r="D397" s="58">
        <v>114</v>
      </c>
      <c r="E397" s="50" t="s">
        <v>2457</v>
      </c>
      <c r="F397" s="58">
        <v>1000</v>
      </c>
      <c r="G397" s="58">
        <v>1029</v>
      </c>
      <c r="H397" s="56">
        <v>480</v>
      </c>
      <c r="I397" s="58">
        <f t="shared" si="35"/>
        <v>29</v>
      </c>
      <c r="J397" s="14">
        <f t="shared" si="36"/>
        <v>2.9000000000000004</v>
      </c>
      <c r="K397" s="56">
        <v>3.91</v>
      </c>
      <c r="L397" s="15">
        <f t="shared" si="37"/>
        <v>48</v>
      </c>
      <c r="M397" s="16">
        <f t="shared" si="38"/>
        <v>237.38669372000001</v>
      </c>
      <c r="N397" s="17">
        <f t="shared" si="39"/>
        <v>2.4508000000000001</v>
      </c>
      <c r="O397" s="17">
        <f t="shared" si="40"/>
        <v>2450.8000000000002</v>
      </c>
      <c r="P397" s="18">
        <f t="shared" si="41"/>
        <v>237386.69372000001</v>
      </c>
      <c r="R397" s="207"/>
      <c r="S397" s="19" t="s">
        <v>2456</v>
      </c>
      <c r="T397" s="20"/>
      <c r="U397" s="20"/>
      <c r="V397" s="20"/>
      <c r="W397" s="20"/>
      <c r="X397" s="20"/>
      <c r="Y397" s="20"/>
      <c r="Z397" s="20"/>
      <c r="AA397" s="20"/>
    </row>
    <row r="398" spans="1:27">
      <c r="A398" s="54">
        <v>45726</v>
      </c>
      <c r="B398" s="10">
        <v>45726</v>
      </c>
      <c r="C398" s="11">
        <f>VLOOKUP(B:B,'Курс валют'!A:D,4,0)</f>
        <v>96.860900000000001</v>
      </c>
      <c r="D398" s="58">
        <v>115</v>
      </c>
      <c r="E398" s="50" t="s">
        <v>2457</v>
      </c>
      <c r="F398" s="58">
        <v>1000</v>
      </c>
      <c r="G398" s="58">
        <v>1026</v>
      </c>
      <c r="H398" s="56">
        <v>478</v>
      </c>
      <c r="I398" s="58">
        <f t="shared" si="35"/>
        <v>26</v>
      </c>
      <c r="J398" s="14">
        <f t="shared" si="36"/>
        <v>2.6</v>
      </c>
      <c r="K398" s="56">
        <v>3.91</v>
      </c>
      <c r="L398" s="15">
        <f t="shared" si="37"/>
        <v>47.8</v>
      </c>
      <c r="M398" s="16">
        <f t="shared" si="38"/>
        <v>237.97560799199999</v>
      </c>
      <c r="N398" s="17">
        <f t="shared" si="39"/>
        <v>2.45688</v>
      </c>
      <c r="O398" s="17">
        <f t="shared" si="40"/>
        <v>2456.88</v>
      </c>
      <c r="P398" s="18">
        <f t="shared" si="41"/>
        <v>237975.607992</v>
      </c>
      <c r="R398" s="207"/>
      <c r="S398" s="19" t="s">
        <v>2456</v>
      </c>
      <c r="T398" s="24"/>
      <c r="U398" s="24"/>
      <c r="V398" s="24"/>
      <c r="W398" s="24"/>
      <c r="X398" s="24"/>
      <c r="Y398" s="24"/>
      <c r="Z398" s="24"/>
      <c r="AA398" s="24"/>
    </row>
    <row r="399" spans="1:27">
      <c r="A399" s="54">
        <v>45726</v>
      </c>
      <c r="B399" s="10">
        <v>45726</v>
      </c>
      <c r="C399" s="11">
        <f>VLOOKUP(B:B,'Курс валют'!A:D,4,0)</f>
        <v>96.860900000000001</v>
      </c>
      <c r="D399" s="58">
        <v>116</v>
      </c>
      <c r="E399" s="50" t="s">
        <v>2457</v>
      </c>
      <c r="F399" s="58">
        <v>1000</v>
      </c>
      <c r="G399" s="58">
        <v>1027</v>
      </c>
      <c r="H399" s="56">
        <v>480</v>
      </c>
      <c r="I399" s="58">
        <f t="shared" si="35"/>
        <v>27</v>
      </c>
      <c r="J399" s="14">
        <f t="shared" si="36"/>
        <v>2.7</v>
      </c>
      <c r="K399" s="56">
        <v>3.91</v>
      </c>
      <c r="L399" s="15">
        <f t="shared" si="37"/>
        <v>48</v>
      </c>
      <c r="M399" s="16">
        <f t="shared" si="38"/>
        <v>237.38669372000001</v>
      </c>
      <c r="N399" s="17">
        <f t="shared" si="39"/>
        <v>2.4508000000000001</v>
      </c>
      <c r="O399" s="17">
        <f t="shared" si="40"/>
        <v>2450.8000000000002</v>
      </c>
      <c r="P399" s="18">
        <f t="shared" si="41"/>
        <v>237386.69372000001</v>
      </c>
      <c r="R399" s="207"/>
      <c r="S399" s="19" t="s">
        <v>2456</v>
      </c>
      <c r="T399" s="24"/>
      <c r="U399" s="24"/>
      <c r="V399" s="24"/>
      <c r="W399" s="24"/>
      <c r="X399" s="24"/>
      <c r="Y399" s="24"/>
      <c r="Z399" s="24"/>
      <c r="AA399" s="24"/>
    </row>
    <row r="400" spans="1:27">
      <c r="A400" s="54">
        <v>45727</v>
      </c>
      <c r="B400" s="10">
        <v>45728</v>
      </c>
      <c r="C400" s="11">
        <f>VLOOKUP(B:B,'Курс валют'!A:D,4,0)</f>
        <v>93.663899999999998</v>
      </c>
      <c r="D400" s="58">
        <v>117</v>
      </c>
      <c r="E400" s="62" t="s">
        <v>50</v>
      </c>
      <c r="F400" s="58">
        <v>6400</v>
      </c>
      <c r="G400" s="58">
        <v>6421.41</v>
      </c>
      <c r="H400" s="56">
        <v>0</v>
      </c>
      <c r="I400" s="58">
        <f t="shared" si="35"/>
        <v>21.409999999999854</v>
      </c>
      <c r="J400" s="14">
        <f t="shared" si="36"/>
        <v>0.33453124999999773</v>
      </c>
      <c r="K400" s="56">
        <v>2.0099999999999998</v>
      </c>
      <c r="L400" s="15">
        <f t="shared" si="37"/>
        <v>0</v>
      </c>
      <c r="M400" s="16">
        <f t="shared" si="38"/>
        <v>188.26443899999998</v>
      </c>
      <c r="N400" s="17">
        <f t="shared" si="39"/>
        <v>2.0099999999999998</v>
      </c>
      <c r="O400" s="17">
        <f t="shared" si="40"/>
        <v>12863.999999999998</v>
      </c>
      <c r="P400" s="18">
        <f t="shared" si="41"/>
        <v>1204892.4095999999</v>
      </c>
      <c r="R400" s="66"/>
      <c r="S400" s="19"/>
      <c r="T400" s="24"/>
      <c r="U400" s="24"/>
      <c r="V400" s="24"/>
      <c r="W400" s="24"/>
      <c r="X400" s="24"/>
      <c r="Y400" s="24"/>
      <c r="Z400" s="24"/>
      <c r="AA400" s="24"/>
    </row>
    <row r="401" spans="1:27">
      <c r="A401" s="54">
        <v>45728</v>
      </c>
      <c r="B401" s="10">
        <v>45729</v>
      </c>
      <c r="C401" s="11">
        <f>VLOOKUP(B:B,'Курс валют'!A:D,4,0)</f>
        <v>93.971000000000004</v>
      </c>
      <c r="D401" s="58">
        <v>118</v>
      </c>
      <c r="E401" s="64" t="s">
        <v>1732</v>
      </c>
      <c r="F401" s="58">
        <v>6600</v>
      </c>
      <c r="G401" s="58">
        <v>6629</v>
      </c>
      <c r="H401" s="56">
        <v>119</v>
      </c>
      <c r="I401" s="58">
        <f t="shared" si="35"/>
        <v>29</v>
      </c>
      <c r="J401" s="14">
        <f t="shared" si="36"/>
        <v>0.43939393939393934</v>
      </c>
      <c r="K401" s="56">
        <v>2.84</v>
      </c>
      <c r="L401" s="15">
        <f t="shared" si="37"/>
        <v>1.8030303030303032</v>
      </c>
      <c r="M401" s="16">
        <f t="shared" si="38"/>
        <v>261.72689015757578</v>
      </c>
      <c r="N401" s="17">
        <f t="shared" si="39"/>
        <v>2.785187878787879</v>
      </c>
      <c r="O401" s="17">
        <f t="shared" si="40"/>
        <v>18382.240000000002</v>
      </c>
      <c r="P401" s="18">
        <f t="shared" si="41"/>
        <v>1727397.4750400002</v>
      </c>
      <c r="R401" s="65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>
      <c r="A402" s="54">
        <v>45729</v>
      </c>
      <c r="B402" s="10">
        <v>45730</v>
      </c>
      <c r="C402" s="11">
        <f>VLOOKUP(B:B,'Курс валют'!A:D,4,0)</f>
        <v>94.255899999999997</v>
      </c>
      <c r="D402" s="58">
        <v>119</v>
      </c>
      <c r="E402" s="64" t="s">
        <v>1732</v>
      </c>
      <c r="F402" s="58">
        <v>6600</v>
      </c>
      <c r="G402" s="58">
        <v>6628</v>
      </c>
      <c r="H402" s="56">
        <v>118</v>
      </c>
      <c r="I402" s="58">
        <f t="shared" si="35"/>
        <v>28</v>
      </c>
      <c r="J402" s="14">
        <f t="shared" si="36"/>
        <v>0.42424242424242431</v>
      </c>
      <c r="K402" s="56">
        <v>2.82</v>
      </c>
      <c r="L402" s="15">
        <f t="shared" si="37"/>
        <v>1.7878787878787878</v>
      </c>
      <c r="M402" s="16">
        <f t="shared" si="38"/>
        <v>260.67868702303031</v>
      </c>
      <c r="N402" s="17">
        <f t="shared" si="39"/>
        <v>2.7656484848484846</v>
      </c>
      <c r="O402" s="17">
        <f t="shared" si="40"/>
        <v>18253.28</v>
      </c>
      <c r="P402" s="18">
        <f t="shared" si="41"/>
        <v>1720479.3343519999</v>
      </c>
      <c r="R402" s="66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>
      <c r="A403" s="54">
        <v>45729</v>
      </c>
      <c r="B403" s="10">
        <v>45730</v>
      </c>
      <c r="C403" s="11">
        <f>VLOOKUP(B:B,'Курс валют'!A:D,4,0)</f>
        <v>94.255899999999997</v>
      </c>
      <c r="D403" s="58">
        <v>120</v>
      </c>
      <c r="E403" s="50" t="s">
        <v>59</v>
      </c>
      <c r="F403" s="58">
        <v>20</v>
      </c>
      <c r="G403" s="58">
        <v>22.34</v>
      </c>
      <c r="H403" s="56">
        <v>0</v>
      </c>
      <c r="I403" s="58">
        <f t="shared" si="35"/>
        <v>2.34</v>
      </c>
      <c r="J403" s="14">
        <f t="shared" si="36"/>
        <v>11.7</v>
      </c>
      <c r="K403" s="56">
        <v>3.17</v>
      </c>
      <c r="L403" s="15">
        <f t="shared" si="37"/>
        <v>0</v>
      </c>
      <c r="M403" s="16">
        <f t="shared" si="38"/>
        <v>298.791203</v>
      </c>
      <c r="N403" s="17">
        <f t="shared" si="39"/>
        <v>3.17</v>
      </c>
      <c r="O403" s="17">
        <f t="shared" si="40"/>
        <v>63.4</v>
      </c>
      <c r="P403" s="18">
        <f t="shared" si="41"/>
        <v>5975.8240599999999</v>
      </c>
      <c r="R403" s="66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>
      <c r="A404" s="54">
        <v>45730</v>
      </c>
      <c r="B404" s="10">
        <v>45730</v>
      </c>
      <c r="C404" s="11">
        <f>VLOOKUP(B:B,'Курс валют'!A:D,4,0)</f>
        <v>94.255899999999997</v>
      </c>
      <c r="D404" s="58">
        <v>121</v>
      </c>
      <c r="E404" s="50" t="s">
        <v>1732</v>
      </c>
      <c r="F404" s="58">
        <v>7700</v>
      </c>
      <c r="G404" s="58">
        <v>7722</v>
      </c>
      <c r="H404" s="56">
        <v>139</v>
      </c>
      <c r="I404" s="58">
        <f t="shared" si="35"/>
        <v>22</v>
      </c>
      <c r="J404" s="14">
        <f t="shared" si="36"/>
        <v>0.2857142857142857</v>
      </c>
      <c r="K404" s="56">
        <v>2.82</v>
      </c>
      <c r="L404" s="15">
        <f t="shared" si="37"/>
        <v>1.8051948051948052</v>
      </c>
      <c r="M404" s="16">
        <f t="shared" si="38"/>
        <v>260.62907006441554</v>
      </c>
      <c r="N404" s="17">
        <f t="shared" si="39"/>
        <v>2.7651220779220775</v>
      </c>
      <c r="O404" s="17">
        <f t="shared" si="40"/>
        <v>21291.439999999999</v>
      </c>
      <c r="P404" s="18">
        <f t="shared" si="41"/>
        <v>2006843.8394959997</v>
      </c>
      <c r="R404" s="66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>
      <c r="A405" s="54">
        <v>45730</v>
      </c>
      <c r="B405" s="10">
        <v>45732</v>
      </c>
      <c r="C405" s="11">
        <f>VLOOKUP(B:B,'Курс валют'!A:D,4,0)</f>
        <v>93.608699999999999</v>
      </c>
      <c r="D405" s="58">
        <v>122</v>
      </c>
      <c r="E405" s="50" t="s">
        <v>15</v>
      </c>
      <c r="F405" s="58">
        <v>6600</v>
      </c>
      <c r="G405" s="58">
        <v>6619</v>
      </c>
      <c r="H405" s="56">
        <v>119</v>
      </c>
      <c r="I405" s="58">
        <f t="shared" si="35"/>
        <v>19</v>
      </c>
      <c r="J405" s="14">
        <f t="shared" si="36"/>
        <v>0.28787878787878785</v>
      </c>
      <c r="K405" s="56">
        <v>2.76</v>
      </c>
      <c r="L405" s="15">
        <f t="shared" si="37"/>
        <v>1.8030303030303032</v>
      </c>
      <c r="M405" s="16">
        <f t="shared" si="38"/>
        <v>253.22912058909091</v>
      </c>
      <c r="N405" s="17">
        <f t="shared" si="39"/>
        <v>2.7051878787878789</v>
      </c>
      <c r="O405" s="17">
        <f t="shared" si="40"/>
        <v>17854.240000000002</v>
      </c>
      <c r="P405" s="18">
        <f t="shared" si="41"/>
        <v>1671312.1958880001</v>
      </c>
      <c r="R405" s="66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>
      <c r="A406" s="54">
        <v>45711</v>
      </c>
      <c r="B406" s="10">
        <v>45733</v>
      </c>
      <c r="C406" s="11">
        <f>VLOOKUP(B:B,'Курс валют'!A:D,4,0)</f>
        <v>93.608699999999999</v>
      </c>
      <c r="D406" s="58">
        <v>93</v>
      </c>
      <c r="E406" s="50" t="s">
        <v>60</v>
      </c>
      <c r="F406" s="58">
        <v>900</v>
      </c>
      <c r="G406" s="58">
        <v>916</v>
      </c>
      <c r="H406" s="56">
        <v>363</v>
      </c>
      <c r="I406" s="58">
        <f t="shared" si="35"/>
        <v>16</v>
      </c>
      <c r="J406" s="14">
        <f t="shared" si="36"/>
        <v>1.7777777777777777</v>
      </c>
      <c r="K406" s="56">
        <v>3.16</v>
      </c>
      <c r="L406" s="15">
        <f t="shared" si="37"/>
        <v>40.333333333333329</v>
      </c>
      <c r="M406" s="16">
        <f t="shared" si="38"/>
        <v>181.02674464</v>
      </c>
      <c r="N406" s="17">
        <f t="shared" si="39"/>
        <v>1.9338666666666666</v>
      </c>
      <c r="O406" s="17">
        <f t="shared" si="40"/>
        <v>1740.48</v>
      </c>
      <c r="P406" s="18">
        <f t="shared" si="41"/>
        <v>162924.07017600001</v>
      </c>
      <c r="R406" s="66" t="s">
        <v>2458</v>
      </c>
      <c r="S406" s="48" t="s">
        <v>2456</v>
      </c>
      <c r="T406" s="20"/>
      <c r="U406" s="20"/>
      <c r="V406" s="20"/>
      <c r="W406" s="20"/>
      <c r="X406" s="20"/>
      <c r="Y406" s="20"/>
      <c r="Z406" s="20"/>
      <c r="AA406" s="20"/>
    </row>
    <row r="407" spans="1:27">
      <c r="A407" s="54">
        <v>45727</v>
      </c>
      <c r="B407" s="10">
        <v>45733</v>
      </c>
      <c r="C407" s="11">
        <f>VLOOKUP(B:B,'Курс валют'!A:D,4,0)</f>
        <v>93.608699999999999</v>
      </c>
      <c r="D407" s="58">
        <v>123</v>
      </c>
      <c r="E407" s="64" t="s">
        <v>61</v>
      </c>
      <c r="F407" s="63">
        <v>1000</v>
      </c>
      <c r="G407" s="63">
        <v>1038</v>
      </c>
      <c r="H407" s="49">
        <v>0</v>
      </c>
      <c r="I407" s="58">
        <f t="shared" si="35"/>
        <v>38</v>
      </c>
      <c r="J407" s="14">
        <f t="shared" si="36"/>
        <v>3.8</v>
      </c>
      <c r="K407" s="49">
        <v>2.4900000000000002</v>
      </c>
      <c r="L407" s="15">
        <f t="shared" si="37"/>
        <v>0</v>
      </c>
      <c r="M407" s="16">
        <f t="shared" si="38"/>
        <v>233.08566300000001</v>
      </c>
      <c r="N407" s="17">
        <f t="shared" si="39"/>
        <v>2.4900000000000002</v>
      </c>
      <c r="O407" s="17">
        <f t="shared" si="40"/>
        <v>2490</v>
      </c>
      <c r="P407" s="18">
        <f t="shared" si="41"/>
        <v>233085.663</v>
      </c>
      <c r="R407" s="66"/>
      <c r="S407" s="48" t="s">
        <v>2456</v>
      </c>
      <c r="T407" s="20"/>
      <c r="U407" s="20"/>
      <c r="V407" s="20"/>
      <c r="W407" s="20"/>
      <c r="X407" s="20"/>
      <c r="Y407" s="20"/>
      <c r="Z407" s="20"/>
      <c r="AA407" s="20"/>
    </row>
    <row r="408" spans="1:27">
      <c r="A408" s="54">
        <v>45728</v>
      </c>
      <c r="B408" s="10">
        <v>45733</v>
      </c>
      <c r="C408" s="11">
        <f>VLOOKUP(B:B,'Курс валют'!A:D,4,0)</f>
        <v>93.608699999999999</v>
      </c>
      <c r="D408" s="58">
        <v>124</v>
      </c>
      <c r="E408" s="50" t="s">
        <v>2454</v>
      </c>
      <c r="F408" s="58">
        <v>1000</v>
      </c>
      <c r="G408" s="58">
        <v>1038</v>
      </c>
      <c r="H408" s="56">
        <v>0</v>
      </c>
      <c r="I408" s="58">
        <f t="shared" si="35"/>
        <v>38</v>
      </c>
      <c r="J408" s="14">
        <f t="shared" si="36"/>
        <v>3.8</v>
      </c>
      <c r="K408" s="56">
        <v>3.05</v>
      </c>
      <c r="L408" s="15">
        <f t="shared" si="37"/>
        <v>0</v>
      </c>
      <c r="M408" s="16">
        <f t="shared" si="38"/>
        <v>285.50653499999999</v>
      </c>
      <c r="N408" s="17">
        <f t="shared" si="39"/>
        <v>3.05</v>
      </c>
      <c r="O408" s="17">
        <f t="shared" si="40"/>
        <v>3050</v>
      </c>
      <c r="P408" s="18">
        <f t="shared" si="41"/>
        <v>285506.53499999997</v>
      </c>
      <c r="R408" s="66"/>
      <c r="S408" s="48" t="s">
        <v>2456</v>
      </c>
      <c r="T408" s="20"/>
      <c r="U408" s="20"/>
      <c r="V408" s="20"/>
      <c r="W408" s="20"/>
      <c r="X408" s="20"/>
      <c r="Y408" s="20"/>
      <c r="Z408" s="20"/>
      <c r="AA408" s="20"/>
    </row>
    <row r="409" spans="1:27">
      <c r="A409" s="54">
        <v>45729</v>
      </c>
      <c r="B409" s="10">
        <v>45733</v>
      </c>
      <c r="C409" s="11">
        <f>VLOOKUP(B:B,'Курс валют'!A:D,4,0)</f>
        <v>93.608699999999999</v>
      </c>
      <c r="D409" s="58">
        <v>125</v>
      </c>
      <c r="E409" s="64" t="s">
        <v>2457</v>
      </c>
      <c r="F409" s="58">
        <v>1000</v>
      </c>
      <c r="G409" s="58">
        <v>1029</v>
      </c>
      <c r="H409" s="56">
        <v>474</v>
      </c>
      <c r="I409" s="58">
        <f t="shared" si="35"/>
        <v>29</v>
      </c>
      <c r="J409" s="14">
        <f t="shared" si="36"/>
        <v>2.9000000000000004</v>
      </c>
      <c r="K409" s="56">
        <v>3.91</v>
      </c>
      <c r="L409" s="15">
        <f t="shared" si="37"/>
        <v>47.4</v>
      </c>
      <c r="M409" s="16">
        <f t="shared" si="38"/>
        <v>231.123624648</v>
      </c>
      <c r="N409" s="17">
        <f t="shared" si="39"/>
        <v>2.4690400000000001</v>
      </c>
      <c r="O409" s="17">
        <f t="shared" si="40"/>
        <v>2469.04</v>
      </c>
      <c r="P409" s="18">
        <f t="shared" si="41"/>
        <v>231123.624648</v>
      </c>
      <c r="R409" s="66"/>
      <c r="S409" s="48" t="s">
        <v>2456</v>
      </c>
      <c r="T409" s="20"/>
      <c r="U409" s="20"/>
      <c r="V409" s="20"/>
      <c r="W409" s="20"/>
      <c r="X409" s="20"/>
      <c r="Y409" s="20"/>
      <c r="Z409" s="20"/>
      <c r="AA409" s="20"/>
    </row>
    <row r="410" spans="1:27">
      <c r="A410" s="54">
        <v>45729</v>
      </c>
      <c r="B410" s="10">
        <v>45733</v>
      </c>
      <c r="C410" s="11">
        <f>VLOOKUP(B:B,'Курс валют'!A:D,4,0)</f>
        <v>93.608699999999999</v>
      </c>
      <c r="D410" s="58">
        <v>126</v>
      </c>
      <c r="E410" s="64" t="s">
        <v>2454</v>
      </c>
      <c r="F410" s="58">
        <v>1000</v>
      </c>
      <c r="G410" s="57">
        <v>1039.5</v>
      </c>
      <c r="H410" s="56">
        <v>0</v>
      </c>
      <c r="I410" s="58">
        <f t="shared" si="35"/>
        <v>39.5</v>
      </c>
      <c r="J410" s="14">
        <f t="shared" si="36"/>
        <v>3.95</v>
      </c>
      <c r="K410" s="56">
        <v>3.05</v>
      </c>
      <c r="L410" s="15">
        <f t="shared" si="37"/>
        <v>0</v>
      </c>
      <c r="M410" s="16">
        <f t="shared" si="38"/>
        <v>285.50653499999999</v>
      </c>
      <c r="N410" s="17">
        <f t="shared" si="39"/>
        <v>3.05</v>
      </c>
      <c r="O410" s="17">
        <f t="shared" si="40"/>
        <v>3050</v>
      </c>
      <c r="P410" s="18">
        <f t="shared" si="41"/>
        <v>285506.53499999997</v>
      </c>
      <c r="R410" s="66"/>
      <c r="S410" s="48" t="s">
        <v>2456</v>
      </c>
      <c r="T410" s="20"/>
      <c r="U410" s="20"/>
      <c r="V410" s="20"/>
      <c r="W410" s="20"/>
      <c r="X410" s="20"/>
      <c r="Y410" s="20"/>
      <c r="Z410" s="20"/>
      <c r="AA410" s="20"/>
    </row>
    <row r="411" spans="1:27">
      <c r="A411" s="54">
        <v>45730</v>
      </c>
      <c r="B411" s="10">
        <v>45733</v>
      </c>
      <c r="C411" s="11">
        <f>VLOOKUP(B:B,'Курс валют'!A:D,4,0)</f>
        <v>93.608699999999999</v>
      </c>
      <c r="D411" s="58">
        <v>127</v>
      </c>
      <c r="E411" s="50" t="s">
        <v>2457</v>
      </c>
      <c r="F411" s="58">
        <v>1000</v>
      </c>
      <c r="G411" s="57">
        <v>1028</v>
      </c>
      <c r="H411" s="56">
        <v>474</v>
      </c>
      <c r="I411" s="58">
        <f t="shared" si="35"/>
        <v>28</v>
      </c>
      <c r="J411" s="14">
        <f t="shared" si="36"/>
        <v>2.8000000000000003</v>
      </c>
      <c r="K411" s="56">
        <v>3.91</v>
      </c>
      <c r="L411" s="15">
        <f t="shared" si="37"/>
        <v>47.4</v>
      </c>
      <c r="M411" s="16">
        <f t="shared" si="38"/>
        <v>231.123624648</v>
      </c>
      <c r="N411" s="17">
        <f t="shared" si="39"/>
        <v>2.4690400000000001</v>
      </c>
      <c r="O411" s="17">
        <f t="shared" si="40"/>
        <v>2469.04</v>
      </c>
      <c r="P411" s="18">
        <f t="shared" si="41"/>
        <v>231123.624648</v>
      </c>
      <c r="R411" s="65"/>
      <c r="S411" s="48" t="s">
        <v>2456</v>
      </c>
      <c r="T411" s="20"/>
      <c r="U411" s="20"/>
      <c r="V411" s="20"/>
      <c r="W411" s="20"/>
      <c r="X411" s="20"/>
      <c r="Y411" s="20"/>
      <c r="Z411" s="20"/>
      <c r="AA411" s="20"/>
    </row>
    <row r="412" spans="1:27">
      <c r="A412" s="54">
        <v>45732</v>
      </c>
      <c r="B412" s="10">
        <v>45733</v>
      </c>
      <c r="C412" s="11">
        <f>VLOOKUP(B:B,'Курс валют'!A:D,4,0)</f>
        <v>93.608699999999999</v>
      </c>
      <c r="D412" s="58">
        <v>128</v>
      </c>
      <c r="E412" s="50" t="s">
        <v>62</v>
      </c>
      <c r="F412" s="58">
        <v>920</v>
      </c>
      <c r="G412" s="57">
        <v>927</v>
      </c>
      <c r="H412" s="56">
        <v>0</v>
      </c>
      <c r="I412" s="58">
        <f t="shared" si="35"/>
        <v>7</v>
      </c>
      <c r="J412" s="14">
        <f t="shared" si="36"/>
        <v>0.76086956521739135</v>
      </c>
      <c r="K412" s="56">
        <v>3.34</v>
      </c>
      <c r="L412" s="15">
        <f t="shared" si="37"/>
        <v>0</v>
      </c>
      <c r="M412" s="16">
        <f t="shared" si="38"/>
        <v>312.65305799999999</v>
      </c>
      <c r="N412" s="17">
        <f t="shared" si="39"/>
        <v>3.34</v>
      </c>
      <c r="O412" s="17">
        <f t="shared" si="40"/>
        <v>3072.7999999999997</v>
      </c>
      <c r="P412" s="18">
        <f t="shared" si="41"/>
        <v>287640.81335999997</v>
      </c>
      <c r="R412" s="65" t="s">
        <v>2459</v>
      </c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>
      <c r="A413" s="54">
        <v>45734</v>
      </c>
      <c r="B413" s="10">
        <v>45734</v>
      </c>
      <c r="C413" s="11">
        <f>VLOOKUP(B:B,'Курс валют'!A:D,4,0)</f>
        <v>90.844300000000004</v>
      </c>
      <c r="D413" s="58">
        <v>130</v>
      </c>
      <c r="E413" s="50" t="s">
        <v>2026</v>
      </c>
      <c r="F413" s="58">
        <v>20</v>
      </c>
      <c r="G413" s="57">
        <v>20</v>
      </c>
      <c r="H413" s="56">
        <v>0</v>
      </c>
      <c r="I413" s="58">
        <f t="shared" si="35"/>
        <v>0</v>
      </c>
      <c r="J413" s="14">
        <f t="shared" si="36"/>
        <v>0</v>
      </c>
      <c r="K413" s="56">
        <v>2.62</v>
      </c>
      <c r="L413" s="15">
        <f t="shared" si="37"/>
        <v>0</v>
      </c>
      <c r="M413" s="16">
        <f t="shared" si="38"/>
        <v>238.01206600000006</v>
      </c>
      <c r="N413" s="17">
        <f t="shared" si="39"/>
        <v>2.62</v>
      </c>
      <c r="O413" s="17">
        <f t="shared" si="40"/>
        <v>52.400000000000006</v>
      </c>
      <c r="P413" s="18">
        <f t="shared" si="41"/>
        <v>4760.241320000001</v>
      </c>
      <c r="R413" s="65" t="s">
        <v>2460</v>
      </c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>
      <c r="A414" s="54">
        <v>45733</v>
      </c>
      <c r="B414" s="10">
        <v>45734</v>
      </c>
      <c r="C414" s="11">
        <f>VLOOKUP(B:B,'Курс валют'!A:D,4,0)</f>
        <v>90.844300000000004</v>
      </c>
      <c r="D414" s="58">
        <v>129</v>
      </c>
      <c r="E414" s="50" t="s">
        <v>15</v>
      </c>
      <c r="F414" s="58">
        <v>8800</v>
      </c>
      <c r="G414" s="57">
        <v>8823</v>
      </c>
      <c r="H414" s="56">
        <v>158</v>
      </c>
      <c r="I414" s="58">
        <f t="shared" si="35"/>
        <v>23</v>
      </c>
      <c r="J414" s="14">
        <f t="shared" si="36"/>
        <v>0.26136363636363635</v>
      </c>
      <c r="K414" s="56">
        <v>2.76</v>
      </c>
      <c r="L414" s="15">
        <f t="shared" si="37"/>
        <v>1.7954545454545456</v>
      </c>
      <c r="M414" s="16">
        <f t="shared" si="38"/>
        <v>245.77182093454542</v>
      </c>
      <c r="N414" s="17">
        <f t="shared" si="39"/>
        <v>2.7054181818181813</v>
      </c>
      <c r="O414" s="17">
        <f t="shared" si="40"/>
        <v>23807.679999999997</v>
      </c>
      <c r="P414" s="18">
        <f t="shared" si="41"/>
        <v>2162792.0242239996</v>
      </c>
      <c r="R414" s="65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>
      <c r="A415" s="54">
        <v>45731</v>
      </c>
      <c r="B415" s="10">
        <v>45734</v>
      </c>
      <c r="C415" s="11">
        <f>VLOOKUP(B:B,'Курс валют'!A:D,4,0)</f>
        <v>90.844300000000004</v>
      </c>
      <c r="D415" s="58">
        <v>131</v>
      </c>
      <c r="E415" s="50" t="s">
        <v>2454</v>
      </c>
      <c r="F415" s="58">
        <v>1000</v>
      </c>
      <c r="G415" s="57">
        <v>1043.5</v>
      </c>
      <c r="H415" s="56">
        <v>0</v>
      </c>
      <c r="I415" s="58">
        <f t="shared" ref="I415:I478" si="42">G415-F415</f>
        <v>43.5</v>
      </c>
      <c r="J415" s="14">
        <f t="shared" ref="J415:J478" si="43">I415/F415*100</f>
        <v>4.3499999999999996</v>
      </c>
      <c r="K415" s="56">
        <v>3.06</v>
      </c>
      <c r="L415" s="15">
        <f t="shared" ref="L415:L476" si="44">H415/F415*100</f>
        <v>0</v>
      </c>
      <c r="M415" s="16">
        <f t="shared" ref="M415:M437" si="45">P415/F415</f>
        <v>277.98355800000002</v>
      </c>
      <c r="N415" s="17">
        <f t="shared" ref="N415:N476" si="46">(F415*K415-H415*3.04)/F415</f>
        <v>3.06</v>
      </c>
      <c r="O415" s="17">
        <f t="shared" ref="O415:O476" si="47">N415*F415</f>
        <v>3060</v>
      </c>
      <c r="P415" s="18">
        <f t="shared" ref="P415:P476" si="48">O415*C415</f>
        <v>277983.55800000002</v>
      </c>
      <c r="R415" s="66"/>
      <c r="S415" s="19" t="s">
        <v>2456</v>
      </c>
      <c r="T415" s="20"/>
      <c r="U415" s="20"/>
      <c r="V415" s="20"/>
      <c r="W415" s="20"/>
      <c r="X415" s="20"/>
      <c r="Y415" s="20"/>
      <c r="Z415" s="20"/>
      <c r="AA415" s="20"/>
    </row>
    <row r="416" spans="1:27">
      <c r="A416" s="54">
        <v>45734</v>
      </c>
      <c r="B416" s="10">
        <v>45735</v>
      </c>
      <c r="C416" s="11">
        <f>VLOOKUP(B:B,'Курс валют'!A:D,4,0)</f>
        <v>87.569699999999997</v>
      </c>
      <c r="D416" s="58">
        <v>132</v>
      </c>
      <c r="E416" s="50" t="s">
        <v>15</v>
      </c>
      <c r="F416" s="58">
        <v>6600</v>
      </c>
      <c r="G416" s="57">
        <v>6623</v>
      </c>
      <c r="H416" s="56">
        <v>120</v>
      </c>
      <c r="I416" s="58">
        <f t="shared" si="42"/>
        <v>23</v>
      </c>
      <c r="J416" s="14">
        <f t="shared" si="43"/>
        <v>0.34848484848484845</v>
      </c>
      <c r="K416" s="56">
        <v>2.76</v>
      </c>
      <c r="L416" s="15">
        <f t="shared" si="44"/>
        <v>1.8181818181818181</v>
      </c>
      <c r="M416" s="16">
        <f t="shared" si="45"/>
        <v>236.85215585454546</v>
      </c>
      <c r="N416" s="17">
        <f t="shared" si="46"/>
        <v>2.7047272727272729</v>
      </c>
      <c r="O416" s="17">
        <f t="shared" si="47"/>
        <v>17851.2</v>
      </c>
      <c r="P416" s="18">
        <f t="shared" si="48"/>
        <v>1563224.2286400001</v>
      </c>
      <c r="R416" s="66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>
      <c r="A417" s="54">
        <v>45733</v>
      </c>
      <c r="B417" s="10">
        <v>45735</v>
      </c>
      <c r="C417" s="11">
        <f>VLOOKUP(B:B,'Курс валют'!A:D,4,0)</f>
        <v>87.569699999999997</v>
      </c>
      <c r="D417" s="58">
        <v>133</v>
      </c>
      <c r="E417" s="50" t="s">
        <v>60</v>
      </c>
      <c r="F417" s="58">
        <v>900</v>
      </c>
      <c r="G417" s="57">
        <v>934</v>
      </c>
      <c r="H417" s="56">
        <v>364</v>
      </c>
      <c r="I417" s="58">
        <f t="shared" si="42"/>
        <v>34</v>
      </c>
      <c r="J417" s="14">
        <f t="shared" si="43"/>
        <v>3.7777777777777777</v>
      </c>
      <c r="K417" s="56">
        <v>3.21</v>
      </c>
      <c r="L417" s="15">
        <f t="shared" si="44"/>
        <v>40.444444444444443</v>
      </c>
      <c r="M417" s="16">
        <f t="shared" si="45"/>
        <v>173.43081785333334</v>
      </c>
      <c r="N417" s="17">
        <f t="shared" si="46"/>
        <v>1.980488888888889</v>
      </c>
      <c r="O417" s="17">
        <f t="shared" si="47"/>
        <v>1782.44</v>
      </c>
      <c r="P417" s="18">
        <f t="shared" si="48"/>
        <v>156087.736068</v>
      </c>
      <c r="R417" s="66" t="s">
        <v>2458</v>
      </c>
      <c r="S417" s="19" t="s">
        <v>2456</v>
      </c>
      <c r="T417" s="20"/>
      <c r="U417" s="20"/>
      <c r="V417" s="20"/>
      <c r="W417" s="20"/>
      <c r="X417" s="20"/>
      <c r="Y417" s="20"/>
      <c r="Z417" s="20"/>
      <c r="AA417" s="20"/>
    </row>
    <row r="418" spans="1:27">
      <c r="A418" s="54">
        <v>45735</v>
      </c>
      <c r="B418" s="10">
        <v>45736</v>
      </c>
      <c r="C418" s="11">
        <f>VLOOKUP(B:B,'Курс валют'!A:D,4,0)</f>
        <v>90.825699999999998</v>
      </c>
      <c r="D418" s="58">
        <v>134</v>
      </c>
      <c r="E418" s="50" t="s">
        <v>15</v>
      </c>
      <c r="F418" s="58">
        <v>4400</v>
      </c>
      <c r="G418" s="57">
        <v>4423</v>
      </c>
      <c r="H418" s="56">
        <v>79</v>
      </c>
      <c r="I418" s="58">
        <f t="shared" si="42"/>
        <v>23</v>
      </c>
      <c r="J418" s="14">
        <f t="shared" si="43"/>
        <v>0.52272727272727271</v>
      </c>
      <c r="K418" s="56">
        <v>2.77</v>
      </c>
      <c r="L418" s="15">
        <f t="shared" si="44"/>
        <v>1.7954545454545456</v>
      </c>
      <c r="M418" s="16">
        <f t="shared" si="45"/>
        <v>246.62975715636367</v>
      </c>
      <c r="N418" s="17">
        <f t="shared" si="46"/>
        <v>2.715418181818182</v>
      </c>
      <c r="O418" s="17">
        <f t="shared" si="47"/>
        <v>11947.84</v>
      </c>
      <c r="P418" s="18">
        <f t="shared" si="48"/>
        <v>1085170.9314880001</v>
      </c>
      <c r="R418" s="65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>
      <c r="A419" s="54">
        <v>45736</v>
      </c>
      <c r="B419" s="10">
        <v>45737</v>
      </c>
      <c r="C419" s="11">
        <f>VLOOKUP(B:B,'Курс валют'!A:D,4,0)</f>
        <v>92.463300000000004</v>
      </c>
      <c r="D419" s="58">
        <v>135</v>
      </c>
      <c r="E419" s="50" t="s">
        <v>68</v>
      </c>
      <c r="F419" s="58">
        <v>4000</v>
      </c>
      <c r="G419" s="57">
        <v>4012</v>
      </c>
      <c r="H419" s="56">
        <v>375</v>
      </c>
      <c r="I419" s="58">
        <f t="shared" si="42"/>
        <v>12</v>
      </c>
      <c r="J419" s="14">
        <f t="shared" si="43"/>
        <v>0.3</v>
      </c>
      <c r="K419" s="56">
        <v>2.21</v>
      </c>
      <c r="L419" s="15">
        <f t="shared" si="44"/>
        <v>9.375</v>
      </c>
      <c r="M419" s="16">
        <f t="shared" si="45"/>
        <v>177.99185250000002</v>
      </c>
      <c r="N419" s="17">
        <f t="shared" si="46"/>
        <v>1.925</v>
      </c>
      <c r="O419" s="17">
        <f t="shared" si="47"/>
        <v>7700</v>
      </c>
      <c r="P419" s="18">
        <f t="shared" si="48"/>
        <v>711967.41</v>
      </c>
      <c r="R419" s="66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>
      <c r="A420" s="54">
        <v>45731</v>
      </c>
      <c r="B420" s="10">
        <v>45737</v>
      </c>
      <c r="C420" s="11">
        <f>VLOOKUP(B:B,'Курс валют'!A:D,4,0)</f>
        <v>92.463300000000004</v>
      </c>
      <c r="D420" s="58">
        <v>136</v>
      </c>
      <c r="E420" s="50" t="s">
        <v>56</v>
      </c>
      <c r="F420" s="58">
        <v>1000</v>
      </c>
      <c r="G420" s="57">
        <v>1045.5</v>
      </c>
      <c r="H420" s="56">
        <v>0</v>
      </c>
      <c r="I420" s="58">
        <f t="shared" si="42"/>
        <v>45.5</v>
      </c>
      <c r="J420" s="14">
        <f t="shared" si="43"/>
        <v>4.55</v>
      </c>
      <c r="K420" s="56">
        <v>3.12</v>
      </c>
      <c r="L420" s="15">
        <f t="shared" si="44"/>
        <v>0</v>
      </c>
      <c r="M420" s="16">
        <f t="shared" si="45"/>
        <v>288.48549600000001</v>
      </c>
      <c r="N420" s="17">
        <f t="shared" si="46"/>
        <v>3.12</v>
      </c>
      <c r="O420" s="17">
        <f t="shared" si="47"/>
        <v>3120</v>
      </c>
      <c r="P420" s="18">
        <f t="shared" si="48"/>
        <v>288485.49599999998</v>
      </c>
      <c r="R420" s="66"/>
      <c r="S420" s="19" t="s">
        <v>2456</v>
      </c>
      <c r="T420" s="20"/>
      <c r="U420" s="20"/>
      <c r="V420" s="20"/>
      <c r="W420" s="20"/>
      <c r="X420" s="20"/>
      <c r="Y420" s="20"/>
      <c r="Z420" s="20"/>
      <c r="AA420" s="20"/>
    </row>
    <row r="421" spans="1:27">
      <c r="A421" s="54">
        <v>45733</v>
      </c>
      <c r="B421" s="10">
        <v>45737</v>
      </c>
      <c r="C421" s="11">
        <f>VLOOKUP(B:B,'Курс валют'!A:D,4,0)</f>
        <v>92.463300000000004</v>
      </c>
      <c r="D421" s="58">
        <v>137</v>
      </c>
      <c r="E421" s="50" t="s">
        <v>60</v>
      </c>
      <c r="F421" s="58">
        <v>900</v>
      </c>
      <c r="G421" s="57">
        <v>933</v>
      </c>
      <c r="H421" s="56">
        <v>234.5</v>
      </c>
      <c r="I421" s="58">
        <f t="shared" si="42"/>
        <v>33</v>
      </c>
      <c r="J421" s="14">
        <f t="shared" si="43"/>
        <v>3.6666666666666665</v>
      </c>
      <c r="K421" s="56">
        <v>2.5099999999999998</v>
      </c>
      <c r="L421" s="15">
        <f t="shared" si="44"/>
        <v>26.055555555555554</v>
      </c>
      <c r="M421" s="16">
        <f t="shared" si="45"/>
        <v>158.84373044</v>
      </c>
      <c r="N421" s="17">
        <f t="shared" si="46"/>
        <v>1.7179111111111109</v>
      </c>
      <c r="O421" s="17">
        <f t="shared" si="47"/>
        <v>1546.12</v>
      </c>
      <c r="P421" s="18">
        <f t="shared" si="48"/>
        <v>142959.35739600001</v>
      </c>
      <c r="R421" s="66" t="s">
        <v>2458</v>
      </c>
      <c r="S421" s="19" t="s">
        <v>2456</v>
      </c>
      <c r="T421" s="20"/>
      <c r="U421" s="20"/>
      <c r="V421" s="20"/>
      <c r="W421" s="20"/>
      <c r="X421" s="20"/>
      <c r="Y421" s="20"/>
      <c r="Z421" s="20"/>
      <c r="AA421" s="20"/>
    </row>
    <row r="422" spans="1:27">
      <c r="A422" s="54">
        <v>45734</v>
      </c>
      <c r="B422" s="10">
        <v>45737</v>
      </c>
      <c r="C422" s="11">
        <f>VLOOKUP(B:B,'Курс валют'!A:D,4,0)</f>
        <v>92.463300000000004</v>
      </c>
      <c r="D422" s="58">
        <v>138</v>
      </c>
      <c r="E422" s="50" t="s">
        <v>60</v>
      </c>
      <c r="F422" s="58">
        <v>900</v>
      </c>
      <c r="G422" s="57">
        <v>932</v>
      </c>
      <c r="H422" s="56">
        <v>0</v>
      </c>
      <c r="I422" s="58">
        <f t="shared" si="42"/>
        <v>32</v>
      </c>
      <c r="J422" s="14">
        <f t="shared" si="43"/>
        <v>3.5555555555555554</v>
      </c>
      <c r="K422" s="56">
        <v>2.5099999999999998</v>
      </c>
      <c r="L422" s="15">
        <f t="shared" si="44"/>
        <v>0</v>
      </c>
      <c r="M422" s="16">
        <f t="shared" si="45"/>
        <v>232.08288300000001</v>
      </c>
      <c r="N422" s="17">
        <f t="shared" si="46"/>
        <v>2.5099999999999998</v>
      </c>
      <c r="O422" s="17">
        <f t="shared" si="47"/>
        <v>2259</v>
      </c>
      <c r="P422" s="18">
        <f t="shared" si="48"/>
        <v>208874.59470000002</v>
      </c>
      <c r="R422" s="66" t="s">
        <v>2458</v>
      </c>
      <c r="S422" s="19" t="s">
        <v>2456</v>
      </c>
      <c r="T422" s="20" t="e">
        <f>SUMIF(A:A,"клей Starkbond 521 A бочка 220кг",#REF!)</f>
        <v>#REF!</v>
      </c>
      <c r="U422" s="20"/>
      <c r="V422" s="20"/>
      <c r="W422" s="20"/>
      <c r="X422" s="20"/>
      <c r="Y422" s="20"/>
      <c r="Z422" s="20"/>
      <c r="AA422" s="20"/>
    </row>
    <row r="423" spans="1:27">
      <c r="A423" s="54">
        <v>45737</v>
      </c>
      <c r="B423" s="10">
        <v>45738</v>
      </c>
      <c r="C423" s="11">
        <v>92.015199999999993</v>
      </c>
      <c r="D423" s="58">
        <v>139</v>
      </c>
      <c r="E423" s="50" t="s">
        <v>15</v>
      </c>
      <c r="F423" s="58">
        <v>5500</v>
      </c>
      <c r="G423" s="57">
        <v>5527</v>
      </c>
      <c r="H423" s="56">
        <v>100</v>
      </c>
      <c r="I423" s="58">
        <f t="shared" si="42"/>
        <v>27</v>
      </c>
      <c r="J423" s="14">
        <f t="shared" si="43"/>
        <v>0.49090909090909091</v>
      </c>
      <c r="K423" s="56">
        <v>2.76</v>
      </c>
      <c r="L423" s="15">
        <f t="shared" si="44"/>
        <v>1.8181818181818181</v>
      </c>
      <c r="M423" s="16">
        <f t="shared" si="45"/>
        <v>248.87602094545448</v>
      </c>
      <c r="N423" s="17">
        <f t="shared" si="46"/>
        <v>2.7047272727272724</v>
      </c>
      <c r="O423" s="17">
        <f t="shared" si="47"/>
        <v>14875.999999999998</v>
      </c>
      <c r="P423" s="18">
        <f t="shared" si="48"/>
        <v>1368818.1151999997</v>
      </c>
      <c r="R423" s="66" t="s">
        <v>2461</v>
      </c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>
      <c r="A424" s="54">
        <v>45737</v>
      </c>
      <c r="B424" s="10">
        <v>45739</v>
      </c>
      <c r="C424" s="11">
        <f>VLOOKUP(B:B,'Курс валют'!A:D,4,0)</f>
        <v>91.426199999999994</v>
      </c>
      <c r="D424" s="58">
        <v>140</v>
      </c>
      <c r="E424" s="50" t="s">
        <v>15</v>
      </c>
      <c r="F424" s="58">
        <v>1680</v>
      </c>
      <c r="G424" s="57">
        <v>1714</v>
      </c>
      <c r="H424" s="56">
        <v>0</v>
      </c>
      <c r="I424" s="58">
        <f t="shared" si="42"/>
        <v>34</v>
      </c>
      <c r="J424" s="14">
        <f t="shared" si="43"/>
        <v>2.0238095238095237</v>
      </c>
      <c r="K424" s="56">
        <v>3.1</v>
      </c>
      <c r="L424" s="15">
        <f t="shared" si="44"/>
        <v>0</v>
      </c>
      <c r="M424" s="16">
        <f t="shared" si="45"/>
        <v>283.42121999999995</v>
      </c>
      <c r="N424" s="17">
        <f t="shared" si="46"/>
        <v>3.1</v>
      </c>
      <c r="O424" s="17">
        <f t="shared" si="47"/>
        <v>5208</v>
      </c>
      <c r="P424" s="18">
        <f t="shared" si="48"/>
        <v>476147.64959999995</v>
      </c>
      <c r="R424" s="65" t="s">
        <v>2462</v>
      </c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>
      <c r="A425" s="54">
        <v>45740</v>
      </c>
      <c r="B425" s="10">
        <v>45740</v>
      </c>
      <c r="C425" s="11">
        <f>VLOOKUP(B:B,'Курс валют'!A:D,4,0)</f>
        <v>91.426199999999994</v>
      </c>
      <c r="D425" s="58">
        <v>141</v>
      </c>
      <c r="E425" s="50" t="s">
        <v>50</v>
      </c>
      <c r="F425" s="58">
        <v>1600</v>
      </c>
      <c r="G425" s="57">
        <v>1620.12</v>
      </c>
      <c r="H425" s="56">
        <v>0</v>
      </c>
      <c r="I425" s="58">
        <f t="shared" si="42"/>
        <v>20.119999999999891</v>
      </c>
      <c r="J425" s="14">
        <f t="shared" si="43"/>
        <v>1.2574999999999932</v>
      </c>
      <c r="K425" s="56">
        <v>1.97</v>
      </c>
      <c r="L425" s="15">
        <f t="shared" si="44"/>
        <v>0</v>
      </c>
      <c r="M425" s="65"/>
      <c r="N425" s="17">
        <f t="shared" si="46"/>
        <v>1.97</v>
      </c>
      <c r="O425" s="17">
        <f t="shared" si="47"/>
        <v>3152</v>
      </c>
      <c r="P425" s="18">
        <f t="shared" si="48"/>
        <v>288175.3824</v>
      </c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>
      <c r="A426" s="54">
        <v>45740</v>
      </c>
      <c r="B426" s="10">
        <v>45740</v>
      </c>
      <c r="C426" s="11">
        <f>VLOOKUP(B:B,'Курс валют'!A:D,4,0)</f>
        <v>91.426199999999994</v>
      </c>
      <c r="D426" s="58">
        <v>142</v>
      </c>
      <c r="E426" s="50" t="s">
        <v>52</v>
      </c>
      <c r="F426" s="58">
        <v>800</v>
      </c>
      <c r="G426" s="57">
        <v>827.2</v>
      </c>
      <c r="H426" s="49">
        <v>0</v>
      </c>
      <c r="I426" s="58">
        <f t="shared" si="42"/>
        <v>27.200000000000045</v>
      </c>
      <c r="J426" s="14">
        <f t="shared" si="43"/>
        <v>3.4000000000000057</v>
      </c>
      <c r="K426" s="56">
        <v>2.72</v>
      </c>
      <c r="L426" s="15">
        <f t="shared" si="44"/>
        <v>0</v>
      </c>
      <c r="M426" s="16">
        <f t="shared" ref="M426:M476" si="49">P426/F426</f>
        <v>248.67926399999996</v>
      </c>
      <c r="N426" s="17">
        <f t="shared" si="46"/>
        <v>2.72</v>
      </c>
      <c r="O426" s="17">
        <f t="shared" si="47"/>
        <v>2176</v>
      </c>
      <c r="P426" s="18">
        <f t="shared" si="48"/>
        <v>198943.41119999997</v>
      </c>
      <c r="R426" s="66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>
      <c r="A427" s="54">
        <v>45736</v>
      </c>
      <c r="B427" s="10">
        <v>45740</v>
      </c>
      <c r="C427" s="11">
        <f>VLOOKUP(B:B,'Курс валют'!A:D,4,0)</f>
        <v>91.426199999999994</v>
      </c>
      <c r="D427" s="58">
        <v>143</v>
      </c>
      <c r="E427" s="50" t="s">
        <v>60</v>
      </c>
      <c r="F427" s="58">
        <v>900</v>
      </c>
      <c r="G427" s="57">
        <v>932</v>
      </c>
      <c r="H427" s="49">
        <v>0</v>
      </c>
      <c r="I427" s="58">
        <f t="shared" si="42"/>
        <v>32</v>
      </c>
      <c r="J427" s="14">
        <f t="shared" si="43"/>
        <v>3.5555555555555554</v>
      </c>
      <c r="K427" s="56">
        <v>2.17</v>
      </c>
      <c r="L427" s="15">
        <f t="shared" si="44"/>
        <v>0</v>
      </c>
      <c r="M427" s="16">
        <f t="shared" si="49"/>
        <v>198.39485399999998</v>
      </c>
      <c r="N427" s="17">
        <f t="shared" si="46"/>
        <v>2.17</v>
      </c>
      <c r="O427" s="17">
        <f t="shared" si="47"/>
        <v>1953</v>
      </c>
      <c r="P427" s="18">
        <f t="shared" si="48"/>
        <v>178555.36859999999</v>
      </c>
      <c r="R427" s="65" t="s">
        <v>2458</v>
      </c>
      <c r="S427" s="19" t="s">
        <v>2456</v>
      </c>
      <c r="T427" s="20"/>
      <c r="U427" s="20"/>
      <c r="V427" s="20"/>
      <c r="W427" s="20"/>
      <c r="X427" s="20"/>
      <c r="Y427" s="20"/>
      <c r="Z427" s="20"/>
      <c r="AA427" s="20"/>
    </row>
    <row r="428" spans="1:27">
      <c r="A428" s="54">
        <v>45737</v>
      </c>
      <c r="B428" s="10">
        <v>45740</v>
      </c>
      <c r="C428" s="11">
        <f>VLOOKUP(B:B,'Курс валют'!A:D,4,0)</f>
        <v>91.426199999999994</v>
      </c>
      <c r="D428" s="58">
        <v>144</v>
      </c>
      <c r="E428" s="50" t="s">
        <v>60</v>
      </c>
      <c r="F428" s="58">
        <v>900</v>
      </c>
      <c r="G428" s="57">
        <v>932</v>
      </c>
      <c r="H428" s="49">
        <v>0</v>
      </c>
      <c r="I428" s="58">
        <f t="shared" si="42"/>
        <v>32</v>
      </c>
      <c r="J428" s="14">
        <f t="shared" si="43"/>
        <v>3.5555555555555554</v>
      </c>
      <c r="K428" s="56">
        <v>2.17</v>
      </c>
      <c r="L428" s="15">
        <f t="shared" si="44"/>
        <v>0</v>
      </c>
      <c r="M428" s="16">
        <f t="shared" si="49"/>
        <v>198.39485399999998</v>
      </c>
      <c r="N428" s="17">
        <f t="shared" si="46"/>
        <v>2.17</v>
      </c>
      <c r="O428" s="17">
        <f t="shared" si="47"/>
        <v>1953</v>
      </c>
      <c r="P428" s="18">
        <f t="shared" si="48"/>
        <v>178555.36859999999</v>
      </c>
      <c r="R428" s="65" t="s">
        <v>2458</v>
      </c>
      <c r="S428" s="19" t="s">
        <v>2456</v>
      </c>
      <c r="T428" s="20"/>
      <c r="U428" s="20"/>
      <c r="V428" s="20"/>
      <c r="W428" s="20"/>
      <c r="X428" s="20"/>
      <c r="Y428" s="20"/>
      <c r="Z428" s="20"/>
      <c r="AA428" s="20"/>
    </row>
    <row r="429" spans="1:27">
      <c r="A429" s="54">
        <v>45738</v>
      </c>
      <c r="B429" s="10">
        <v>45740</v>
      </c>
      <c r="C429" s="11">
        <f>VLOOKUP(B:B,'Курс валют'!A:D,4,0)</f>
        <v>91.426199999999994</v>
      </c>
      <c r="D429" s="58">
        <v>145</v>
      </c>
      <c r="E429" s="50" t="s">
        <v>60</v>
      </c>
      <c r="F429" s="58">
        <v>900</v>
      </c>
      <c r="G429" s="57">
        <v>934</v>
      </c>
      <c r="H429" s="49">
        <v>0</v>
      </c>
      <c r="I429" s="58">
        <f t="shared" si="42"/>
        <v>34</v>
      </c>
      <c r="J429" s="14">
        <f t="shared" si="43"/>
        <v>3.7777777777777777</v>
      </c>
      <c r="K429" s="53">
        <v>2.17</v>
      </c>
      <c r="L429" s="15">
        <f t="shared" si="44"/>
        <v>0</v>
      </c>
      <c r="M429" s="16">
        <f t="shared" si="49"/>
        <v>198.39485399999998</v>
      </c>
      <c r="N429" s="17">
        <f t="shared" si="46"/>
        <v>2.17</v>
      </c>
      <c r="O429" s="17">
        <f t="shared" si="47"/>
        <v>1953</v>
      </c>
      <c r="P429" s="18">
        <f t="shared" si="48"/>
        <v>178555.36859999999</v>
      </c>
      <c r="R429" s="65" t="s">
        <v>2458</v>
      </c>
      <c r="S429" s="19" t="s">
        <v>2456</v>
      </c>
      <c r="T429" s="20"/>
      <c r="U429" s="20"/>
      <c r="V429" s="20"/>
      <c r="W429" s="20"/>
      <c r="X429" s="20"/>
      <c r="Y429" s="20"/>
      <c r="Z429" s="20"/>
      <c r="AA429" s="20"/>
    </row>
    <row r="430" spans="1:27">
      <c r="A430" s="54">
        <v>45739</v>
      </c>
      <c r="B430" s="10">
        <v>45740</v>
      </c>
      <c r="C430" s="11">
        <f>VLOOKUP(B:B,'Курс валют'!A:D,4,0)</f>
        <v>91.426199999999994</v>
      </c>
      <c r="D430" s="58">
        <v>146</v>
      </c>
      <c r="E430" s="50" t="s">
        <v>60</v>
      </c>
      <c r="F430" s="58">
        <v>900</v>
      </c>
      <c r="G430" s="57">
        <v>933</v>
      </c>
      <c r="H430" s="56">
        <v>0</v>
      </c>
      <c r="I430" s="58">
        <f t="shared" si="42"/>
        <v>33</v>
      </c>
      <c r="J430" s="14">
        <f t="shared" si="43"/>
        <v>3.6666666666666665</v>
      </c>
      <c r="K430" s="53">
        <v>2.17</v>
      </c>
      <c r="L430" s="15">
        <f t="shared" si="44"/>
        <v>0</v>
      </c>
      <c r="M430" s="16">
        <f t="shared" si="49"/>
        <v>198.39485399999998</v>
      </c>
      <c r="N430" s="17">
        <f t="shared" si="46"/>
        <v>2.17</v>
      </c>
      <c r="O430" s="17">
        <f t="shared" si="47"/>
        <v>1953</v>
      </c>
      <c r="P430" s="18">
        <f t="shared" si="48"/>
        <v>178555.36859999999</v>
      </c>
      <c r="R430" s="65" t="s">
        <v>2458</v>
      </c>
      <c r="S430" s="19" t="s">
        <v>2456</v>
      </c>
      <c r="T430" s="20"/>
      <c r="U430" s="20"/>
      <c r="V430" s="20"/>
      <c r="W430" s="20"/>
      <c r="X430" s="20"/>
      <c r="Y430" s="20"/>
      <c r="Z430" s="20"/>
      <c r="AA430" s="20"/>
    </row>
    <row r="431" spans="1:27">
      <c r="A431" s="54">
        <v>45740</v>
      </c>
      <c r="B431" s="10">
        <v>45741</v>
      </c>
      <c r="C431" s="11">
        <f>VLOOKUP(B:B,'Курс валют'!A:D,4,0)</f>
        <v>91.525199999999998</v>
      </c>
      <c r="D431" s="58">
        <v>147</v>
      </c>
      <c r="E431" s="50" t="s">
        <v>15</v>
      </c>
      <c r="F431" s="58">
        <v>1100</v>
      </c>
      <c r="G431" s="57">
        <v>1154</v>
      </c>
      <c r="H431" s="56">
        <v>20</v>
      </c>
      <c r="I431" s="58">
        <f t="shared" si="42"/>
        <v>54</v>
      </c>
      <c r="J431" s="14">
        <f t="shared" si="43"/>
        <v>4.9090909090909092</v>
      </c>
      <c r="K431" s="53">
        <v>2.87</v>
      </c>
      <c r="L431" s="15">
        <f t="shared" si="44"/>
        <v>1.8181818181818181</v>
      </c>
      <c r="M431" s="16">
        <f t="shared" si="49"/>
        <v>257.61847658181819</v>
      </c>
      <c r="N431" s="17">
        <f t="shared" si="46"/>
        <v>2.8147272727272727</v>
      </c>
      <c r="O431" s="17">
        <f t="shared" si="47"/>
        <v>3096.2</v>
      </c>
      <c r="P431" s="18">
        <f t="shared" si="48"/>
        <v>283380.32423999999</v>
      </c>
      <c r="R431" s="65" t="s">
        <v>2463</v>
      </c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>
      <c r="A432" s="54">
        <v>45741</v>
      </c>
      <c r="B432" s="10">
        <v>45741</v>
      </c>
      <c r="C432" s="11">
        <f>VLOOKUP(B:B,'Курс валют'!A:D,4,0)</f>
        <v>91.525199999999998</v>
      </c>
      <c r="D432" s="58">
        <v>148</v>
      </c>
      <c r="E432" s="50" t="s">
        <v>2026</v>
      </c>
      <c r="F432" s="58">
        <v>400</v>
      </c>
      <c r="G432" s="57">
        <v>400</v>
      </c>
      <c r="H432" s="56">
        <v>0</v>
      </c>
      <c r="I432" s="58">
        <f t="shared" si="42"/>
        <v>0</v>
      </c>
      <c r="J432" s="14">
        <f t="shared" si="43"/>
        <v>0</v>
      </c>
      <c r="K432" s="56">
        <v>2.68</v>
      </c>
      <c r="L432" s="15">
        <f t="shared" si="44"/>
        <v>0</v>
      </c>
      <c r="M432" s="16">
        <f t="shared" si="49"/>
        <v>245.28753599999999</v>
      </c>
      <c r="N432" s="17">
        <f t="shared" si="46"/>
        <v>2.68</v>
      </c>
      <c r="O432" s="17">
        <f t="shared" si="47"/>
        <v>1072</v>
      </c>
      <c r="P432" s="18">
        <f t="shared" si="48"/>
        <v>98115.0144</v>
      </c>
      <c r="R432" s="66" t="s">
        <v>1267</v>
      </c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>
      <c r="A433" s="54">
        <v>45742</v>
      </c>
      <c r="B433" s="10">
        <v>45743</v>
      </c>
      <c r="C433" s="11">
        <f>VLOOKUP(B:B,'Курс валют'!A:D,4,0)</f>
        <v>92.002899999999997</v>
      </c>
      <c r="D433" s="58">
        <v>151</v>
      </c>
      <c r="E433" s="55" t="s">
        <v>79</v>
      </c>
      <c r="F433" s="58">
        <v>1200</v>
      </c>
      <c r="G433" s="57">
        <v>1200</v>
      </c>
      <c r="H433" s="56">
        <v>0</v>
      </c>
      <c r="I433" s="58">
        <f t="shared" si="42"/>
        <v>0</v>
      </c>
      <c r="J433" s="14">
        <f t="shared" si="43"/>
        <v>0</v>
      </c>
      <c r="K433" s="56">
        <v>3.43</v>
      </c>
      <c r="L433" s="15">
        <f t="shared" si="44"/>
        <v>0</v>
      </c>
      <c r="M433" s="16">
        <f t="shared" si="49"/>
        <v>315.56994700000001</v>
      </c>
      <c r="N433" s="17">
        <f t="shared" si="46"/>
        <v>3.43</v>
      </c>
      <c r="O433" s="17">
        <f t="shared" si="47"/>
        <v>4116</v>
      </c>
      <c r="P433" s="18">
        <f t="shared" si="48"/>
        <v>378683.93640000001</v>
      </c>
      <c r="R433" s="66" t="s">
        <v>1267</v>
      </c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>
      <c r="A434" s="54">
        <v>45743</v>
      </c>
      <c r="B434" s="10">
        <v>45743</v>
      </c>
      <c r="C434" s="11">
        <f>VLOOKUP(B:B,'Курс валют'!A:D,4,0)</f>
        <v>92.002899999999997</v>
      </c>
      <c r="D434" s="58">
        <v>152</v>
      </c>
      <c r="E434" s="55" t="s">
        <v>15</v>
      </c>
      <c r="F434" s="58">
        <v>2200</v>
      </c>
      <c r="G434" s="58">
        <v>2216</v>
      </c>
      <c r="H434" s="56">
        <v>40</v>
      </c>
      <c r="I434" s="58">
        <f t="shared" si="42"/>
        <v>16</v>
      </c>
      <c r="J434" s="14">
        <f t="shared" si="43"/>
        <v>0.72727272727272729</v>
      </c>
      <c r="K434" s="56">
        <v>2.74</v>
      </c>
      <c r="L434" s="15">
        <f t="shared" si="44"/>
        <v>1.8181818181818181</v>
      </c>
      <c r="M434" s="16">
        <f t="shared" si="49"/>
        <v>247.0026948</v>
      </c>
      <c r="N434" s="17">
        <f t="shared" si="46"/>
        <v>2.6847272727272729</v>
      </c>
      <c r="O434" s="17">
        <f t="shared" si="47"/>
        <v>5906.4000000000005</v>
      </c>
      <c r="P434" s="18">
        <f t="shared" si="48"/>
        <v>543405.92856000003</v>
      </c>
      <c r="R434" s="65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>
      <c r="A435" s="54">
        <v>45744</v>
      </c>
      <c r="B435" s="10">
        <v>45744</v>
      </c>
      <c r="C435" s="11">
        <f>VLOOKUP(B:B,'Курс валют'!A:D,4,0)</f>
        <v>90.5441</v>
      </c>
      <c r="D435" s="58">
        <v>153</v>
      </c>
      <c r="E435" s="55" t="s">
        <v>15</v>
      </c>
      <c r="F435" s="58">
        <v>4400</v>
      </c>
      <c r="G435" s="58">
        <v>4427</v>
      </c>
      <c r="H435" s="56">
        <v>79</v>
      </c>
      <c r="I435" s="58">
        <f t="shared" si="42"/>
        <v>27</v>
      </c>
      <c r="J435" s="14">
        <f t="shared" si="43"/>
        <v>0.61363636363636365</v>
      </c>
      <c r="K435" s="56">
        <v>2.73</v>
      </c>
      <c r="L435" s="15">
        <f t="shared" si="44"/>
        <v>1.7954545454545456</v>
      </c>
      <c r="M435" s="16">
        <f t="shared" si="49"/>
        <v>242.24333139636363</v>
      </c>
      <c r="N435" s="17">
        <f t="shared" si="46"/>
        <v>2.6754181818181819</v>
      </c>
      <c r="O435" s="17">
        <f t="shared" si="47"/>
        <v>11771.84</v>
      </c>
      <c r="P435" s="18">
        <f t="shared" si="48"/>
        <v>1065870.658144</v>
      </c>
      <c r="R435" s="65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>
      <c r="A436" s="54">
        <v>45744</v>
      </c>
      <c r="B436" s="10">
        <v>45747</v>
      </c>
      <c r="C436" s="11">
        <f>VLOOKUP(B:B,'Курс валют'!A:D,4,0)</f>
        <v>89.655299999999997</v>
      </c>
      <c r="D436" s="58">
        <v>154</v>
      </c>
      <c r="E436" s="55" t="s">
        <v>15</v>
      </c>
      <c r="F436" s="58">
        <v>1100</v>
      </c>
      <c r="G436" s="58">
        <v>1109</v>
      </c>
      <c r="H436" s="56">
        <v>20</v>
      </c>
      <c r="I436" s="58">
        <f t="shared" si="42"/>
        <v>9</v>
      </c>
      <c r="J436" s="14">
        <f t="shared" si="43"/>
        <v>0.81818181818181823</v>
      </c>
      <c r="K436" s="56">
        <v>2.74</v>
      </c>
      <c r="L436" s="15">
        <f t="shared" si="44"/>
        <v>1.8181818181818181</v>
      </c>
      <c r="M436" s="16">
        <f t="shared" si="49"/>
        <v>240.70002905454544</v>
      </c>
      <c r="N436" s="17">
        <f t="shared" si="46"/>
        <v>2.6847272727272729</v>
      </c>
      <c r="O436" s="17">
        <f t="shared" si="47"/>
        <v>2953.2000000000003</v>
      </c>
      <c r="P436" s="18">
        <f t="shared" si="48"/>
        <v>264770.03195999999</v>
      </c>
      <c r="R436" s="65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>
      <c r="A437" s="54">
        <v>45744</v>
      </c>
      <c r="B437" s="10">
        <v>45747</v>
      </c>
      <c r="C437" s="11">
        <f>VLOOKUP(B:B,'Курс валют'!A:D,4,0)</f>
        <v>89.655299999999997</v>
      </c>
      <c r="D437" s="58">
        <v>155</v>
      </c>
      <c r="E437" s="55" t="s">
        <v>15</v>
      </c>
      <c r="F437" s="58">
        <v>5500</v>
      </c>
      <c r="G437" s="58">
        <v>5527</v>
      </c>
      <c r="H437" s="56">
        <v>99</v>
      </c>
      <c r="I437" s="58">
        <f t="shared" si="42"/>
        <v>27</v>
      </c>
      <c r="J437" s="14">
        <f t="shared" si="43"/>
        <v>0.49090909090909091</v>
      </c>
      <c r="K437" s="56">
        <v>2.74</v>
      </c>
      <c r="L437" s="15">
        <f t="shared" si="44"/>
        <v>1.7999999999999998</v>
      </c>
      <c r="M437" s="16">
        <f t="shared" si="49"/>
        <v>240.74958398400003</v>
      </c>
      <c r="N437" s="17">
        <f t="shared" si="46"/>
        <v>2.6852800000000006</v>
      </c>
      <c r="O437" s="17">
        <f t="shared" si="47"/>
        <v>14769.040000000003</v>
      </c>
      <c r="P437" s="18">
        <f t="shared" si="48"/>
        <v>1324122.7119120001</v>
      </c>
      <c r="R437" s="66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>
      <c r="A438" s="10">
        <v>45747</v>
      </c>
      <c r="B438" s="10">
        <v>45748</v>
      </c>
      <c r="C438" s="11">
        <f>VLOOKUP(B:B,'Курс валют'!A:D,4,0)</f>
        <v>92.427599999999998</v>
      </c>
      <c r="D438" s="11">
        <v>156</v>
      </c>
      <c r="E438" s="62" t="s">
        <v>15</v>
      </c>
      <c r="F438" s="11">
        <v>220</v>
      </c>
      <c r="G438" s="11">
        <v>212</v>
      </c>
      <c r="H438" s="56">
        <v>0</v>
      </c>
      <c r="I438" s="58">
        <f t="shared" si="42"/>
        <v>-8</v>
      </c>
      <c r="J438" s="14">
        <f t="shared" si="43"/>
        <v>-3.6363636363636362</v>
      </c>
      <c r="K438" s="46">
        <v>4.0199999999999996</v>
      </c>
      <c r="L438" s="15">
        <f t="shared" si="44"/>
        <v>0</v>
      </c>
      <c r="M438" s="16">
        <f t="shared" si="49"/>
        <v>371.55895199999992</v>
      </c>
      <c r="N438" s="17">
        <f t="shared" si="46"/>
        <v>4.0199999999999996</v>
      </c>
      <c r="O438" s="17">
        <f t="shared" si="47"/>
        <v>884.39999999999986</v>
      </c>
      <c r="P438" s="18">
        <f t="shared" si="48"/>
        <v>81742.969439999986</v>
      </c>
      <c r="R438" s="66" t="s">
        <v>2418</v>
      </c>
      <c r="S438" s="19"/>
      <c r="T438" s="20"/>
      <c r="U438" s="20"/>
      <c r="V438" s="20"/>
      <c r="W438" s="20"/>
      <c r="X438" s="20"/>
      <c r="Y438" s="20"/>
      <c r="Z438" s="20"/>
      <c r="AA438" s="20"/>
    </row>
    <row r="439" spans="1:27">
      <c r="A439" s="10">
        <v>45748</v>
      </c>
      <c r="B439" s="10">
        <v>45749</v>
      </c>
      <c r="C439" s="11">
        <f>VLOOKUP(B:B,'Курс валют'!A:D,4,0)</f>
        <v>91.964299999999994</v>
      </c>
      <c r="D439" s="58">
        <v>157</v>
      </c>
      <c r="E439" s="62" t="s">
        <v>15</v>
      </c>
      <c r="F439" s="58">
        <v>8800</v>
      </c>
      <c r="G439" s="58">
        <v>8829</v>
      </c>
      <c r="H439" s="56">
        <v>159</v>
      </c>
      <c r="I439" s="58">
        <f t="shared" si="42"/>
        <v>29</v>
      </c>
      <c r="J439" s="14">
        <f t="shared" si="43"/>
        <v>0.32954545454545453</v>
      </c>
      <c r="K439" s="56">
        <v>2.73</v>
      </c>
      <c r="L439" s="15">
        <f t="shared" si="44"/>
        <v>1.8068181818181817</v>
      </c>
      <c r="M439" s="16">
        <f t="shared" si="49"/>
        <v>246.01119081272728</v>
      </c>
      <c r="N439" s="17">
        <f t="shared" si="46"/>
        <v>2.675072727272727</v>
      </c>
      <c r="O439" s="17">
        <f t="shared" si="47"/>
        <v>23540.639999999999</v>
      </c>
      <c r="P439" s="18">
        <f t="shared" si="48"/>
        <v>2164898.479152</v>
      </c>
      <c r="R439" s="66"/>
      <c r="S439" s="19"/>
      <c r="T439" s="20"/>
      <c r="U439" s="20"/>
      <c r="V439" s="20"/>
      <c r="W439" s="20"/>
      <c r="X439" s="20"/>
      <c r="Y439" s="20"/>
      <c r="Z439" s="20"/>
      <c r="AA439" s="20"/>
    </row>
    <row r="440" spans="1:27">
      <c r="A440" s="54">
        <v>45749</v>
      </c>
      <c r="B440" s="10">
        <v>45749</v>
      </c>
      <c r="C440" s="11">
        <f>VLOOKUP(B:B,'Курс валют'!A:D,4,0)</f>
        <v>91.964299999999994</v>
      </c>
      <c r="D440" s="58">
        <v>158</v>
      </c>
      <c r="E440" s="50" t="s">
        <v>2026</v>
      </c>
      <c r="F440" s="58">
        <v>592</v>
      </c>
      <c r="G440" s="58">
        <v>608</v>
      </c>
      <c r="H440" s="56">
        <v>0</v>
      </c>
      <c r="I440" s="58">
        <f t="shared" si="42"/>
        <v>16</v>
      </c>
      <c r="J440" s="14">
        <f t="shared" si="43"/>
        <v>2.7027027027027026</v>
      </c>
      <c r="K440" s="56">
        <v>2.83</v>
      </c>
      <c r="L440" s="15">
        <f t="shared" si="44"/>
        <v>0</v>
      </c>
      <c r="M440" s="16">
        <f t="shared" si="49"/>
        <v>260.25896899999998</v>
      </c>
      <c r="N440" s="17">
        <f t="shared" si="46"/>
        <v>2.83</v>
      </c>
      <c r="O440" s="17">
        <f t="shared" si="47"/>
        <v>1675.3600000000001</v>
      </c>
      <c r="P440" s="18">
        <f t="shared" si="48"/>
        <v>154073.30964799999</v>
      </c>
      <c r="R440" s="66" t="s">
        <v>2419</v>
      </c>
      <c r="S440" s="19"/>
      <c r="T440" s="20"/>
      <c r="U440" s="20"/>
      <c r="V440" s="20"/>
      <c r="W440" s="20"/>
      <c r="X440" s="20"/>
      <c r="Y440" s="20"/>
      <c r="Z440" s="20"/>
      <c r="AA440" s="20"/>
    </row>
    <row r="441" spans="1:27">
      <c r="A441" s="54">
        <v>45749</v>
      </c>
      <c r="B441" s="10">
        <v>45750</v>
      </c>
      <c r="C441" s="11">
        <f>VLOOKUP(B:B,'Курс валют'!A:D,4,0)</f>
        <v>91.204400000000007</v>
      </c>
      <c r="D441" s="58">
        <v>159</v>
      </c>
      <c r="E441" s="50" t="s">
        <v>70</v>
      </c>
      <c r="F441" s="58">
        <v>400</v>
      </c>
      <c r="G441" s="58">
        <v>400</v>
      </c>
      <c r="H441" s="56">
        <v>0</v>
      </c>
      <c r="I441" s="58">
        <f t="shared" si="42"/>
        <v>0</v>
      </c>
      <c r="J441" s="14">
        <f t="shared" si="43"/>
        <v>0</v>
      </c>
      <c r="K441" s="56">
        <v>3.29</v>
      </c>
      <c r="L441" s="15">
        <f t="shared" si="44"/>
        <v>0</v>
      </c>
      <c r="M441" s="16">
        <f t="shared" si="49"/>
        <v>300.062476</v>
      </c>
      <c r="N441" s="17">
        <f t="shared" si="46"/>
        <v>3.29</v>
      </c>
      <c r="O441" s="17">
        <f t="shared" si="47"/>
        <v>1316</v>
      </c>
      <c r="P441" s="18">
        <f t="shared" si="48"/>
        <v>120024.99040000001</v>
      </c>
      <c r="R441" s="66" t="s">
        <v>1267</v>
      </c>
      <c r="S441" s="19"/>
      <c r="T441" s="20"/>
      <c r="U441" s="20"/>
      <c r="V441" s="20"/>
      <c r="W441" s="20"/>
      <c r="X441" s="20"/>
      <c r="Y441" s="20"/>
      <c r="Z441" s="20"/>
      <c r="AA441" s="20"/>
    </row>
    <row r="442" spans="1:27">
      <c r="A442" s="54">
        <v>45749</v>
      </c>
      <c r="B442" s="10">
        <v>45750</v>
      </c>
      <c r="C442" s="11">
        <f>VLOOKUP(B:B,'Курс валют'!A:D,4,0)</f>
        <v>91.204400000000007</v>
      </c>
      <c r="D442" s="58">
        <v>160</v>
      </c>
      <c r="E442" s="50" t="s">
        <v>15</v>
      </c>
      <c r="F442" s="58">
        <v>4400</v>
      </c>
      <c r="G442" s="58">
        <v>4427</v>
      </c>
      <c r="H442" s="56">
        <v>85</v>
      </c>
      <c r="I442" s="58">
        <f t="shared" si="42"/>
        <v>27</v>
      </c>
      <c r="J442" s="14">
        <f t="shared" si="43"/>
        <v>0.61363636363636365</v>
      </c>
      <c r="K442" s="56">
        <v>2.74</v>
      </c>
      <c r="L442" s="15">
        <f t="shared" si="44"/>
        <v>1.9318181818181817</v>
      </c>
      <c r="M442" s="16">
        <f t="shared" si="49"/>
        <v>244.54387032727277</v>
      </c>
      <c r="N442" s="17">
        <f t="shared" si="46"/>
        <v>2.6812727272727277</v>
      </c>
      <c r="O442" s="17">
        <f t="shared" si="47"/>
        <v>11797.600000000002</v>
      </c>
      <c r="P442" s="18">
        <f t="shared" si="48"/>
        <v>1075993.0294400002</v>
      </c>
      <c r="R442" s="66"/>
      <c r="S442" s="19"/>
      <c r="T442" s="20"/>
      <c r="U442" s="20"/>
      <c r="V442" s="20"/>
      <c r="W442" s="20"/>
      <c r="X442" s="20"/>
      <c r="Y442" s="20"/>
      <c r="Z442" s="20"/>
      <c r="AA442" s="20"/>
    </row>
    <row r="443" spans="1:27">
      <c r="A443" s="54">
        <v>45750</v>
      </c>
      <c r="B443" s="10">
        <v>45751</v>
      </c>
      <c r="C443" s="11">
        <f>VLOOKUP(B:B,'Курс валют'!A:D,4,0)</f>
        <v>93.160799999999995</v>
      </c>
      <c r="D443" s="58">
        <v>161</v>
      </c>
      <c r="E443" s="50" t="s">
        <v>50</v>
      </c>
      <c r="F443" s="58">
        <v>8000</v>
      </c>
      <c r="G443" s="58">
        <v>8026.5</v>
      </c>
      <c r="H443" s="56">
        <v>0</v>
      </c>
      <c r="I443" s="58">
        <f t="shared" si="42"/>
        <v>26.5</v>
      </c>
      <c r="J443" s="14">
        <f t="shared" si="43"/>
        <v>0.33124999999999999</v>
      </c>
      <c r="K443" s="56">
        <v>1.96</v>
      </c>
      <c r="L443" s="15">
        <f t="shared" si="44"/>
        <v>0</v>
      </c>
      <c r="M443" s="16">
        <f t="shared" si="49"/>
        <v>182.59516799999997</v>
      </c>
      <c r="N443" s="17">
        <f t="shared" si="46"/>
        <v>1.96</v>
      </c>
      <c r="O443" s="17">
        <f t="shared" si="47"/>
        <v>15680</v>
      </c>
      <c r="P443" s="18">
        <f t="shared" si="48"/>
        <v>1460761.3439999998</v>
      </c>
      <c r="R443" s="66"/>
      <c r="S443" s="19"/>
      <c r="T443" s="20"/>
      <c r="U443" s="20"/>
      <c r="V443" s="20"/>
      <c r="W443" s="20"/>
      <c r="X443" s="20"/>
      <c r="Y443" s="20"/>
      <c r="Z443" s="20"/>
      <c r="AA443" s="20"/>
    </row>
    <row r="444" spans="1:27">
      <c r="A444" s="54">
        <v>45751</v>
      </c>
      <c r="B444" s="10">
        <v>45754</v>
      </c>
      <c r="C444" s="11">
        <f>VLOOKUP(B:B,'Курс валют'!A:D,4,0)</f>
        <v>92.985500000000002</v>
      </c>
      <c r="D444" s="58">
        <v>162</v>
      </c>
      <c r="E444" s="64" t="s">
        <v>86</v>
      </c>
      <c r="F444" s="58">
        <v>220</v>
      </c>
      <c r="G444" s="58">
        <v>220</v>
      </c>
      <c r="H444" s="56">
        <v>0</v>
      </c>
      <c r="I444" s="58">
        <f t="shared" si="42"/>
        <v>0</v>
      </c>
      <c r="J444" s="14">
        <f t="shared" si="43"/>
        <v>0</v>
      </c>
      <c r="K444" s="56">
        <v>2.91</v>
      </c>
      <c r="L444" s="15">
        <f t="shared" si="44"/>
        <v>0</v>
      </c>
      <c r="M444" s="16">
        <f t="shared" si="49"/>
        <v>270.58780500000006</v>
      </c>
      <c r="N444" s="17">
        <f t="shared" si="46"/>
        <v>2.91</v>
      </c>
      <c r="O444" s="17">
        <f t="shared" si="47"/>
        <v>640.20000000000005</v>
      </c>
      <c r="P444" s="18">
        <f t="shared" si="48"/>
        <v>59529.317100000007</v>
      </c>
      <c r="R444" s="66" t="s">
        <v>1267</v>
      </c>
      <c r="S444" s="19"/>
      <c r="T444" s="20"/>
      <c r="U444" s="20"/>
      <c r="V444" s="20"/>
      <c r="W444" s="20"/>
      <c r="X444" s="20"/>
      <c r="Y444" s="20"/>
      <c r="Z444" s="20"/>
      <c r="AA444" s="20"/>
    </row>
    <row r="445" spans="1:27">
      <c r="A445" s="54">
        <v>45751</v>
      </c>
      <c r="B445" s="10">
        <v>45754</v>
      </c>
      <c r="C445" s="11">
        <f>VLOOKUP(B:B,'Курс валют'!A:D,4,0)</f>
        <v>92.985500000000002</v>
      </c>
      <c r="D445" s="58">
        <v>163</v>
      </c>
      <c r="E445" s="64" t="s">
        <v>15</v>
      </c>
      <c r="F445" s="58">
        <v>8800</v>
      </c>
      <c r="G445" s="58">
        <v>8825</v>
      </c>
      <c r="H445" s="56">
        <v>158</v>
      </c>
      <c r="I445" s="58">
        <f t="shared" si="42"/>
        <v>25</v>
      </c>
      <c r="J445" s="14">
        <f t="shared" si="43"/>
        <v>0.28409090909090912</v>
      </c>
      <c r="K445" s="56">
        <v>2.73</v>
      </c>
      <c r="L445" s="15">
        <f t="shared" si="44"/>
        <v>1.7954545454545456</v>
      </c>
      <c r="M445" s="16">
        <f t="shared" si="49"/>
        <v>248.77509734545453</v>
      </c>
      <c r="N445" s="17">
        <f t="shared" si="46"/>
        <v>2.6754181818181819</v>
      </c>
      <c r="O445" s="17">
        <f t="shared" si="47"/>
        <v>23543.68</v>
      </c>
      <c r="P445" s="18">
        <f t="shared" si="48"/>
        <v>2189220.8566399999</v>
      </c>
      <c r="R445" s="66"/>
      <c r="S445" s="19"/>
      <c r="T445" s="20"/>
      <c r="U445" s="20"/>
      <c r="V445" s="20"/>
      <c r="W445" s="20"/>
      <c r="X445" s="20"/>
      <c r="Y445" s="20"/>
      <c r="Z445" s="20"/>
      <c r="AA445" s="20"/>
    </row>
    <row r="446" spans="1:27">
      <c r="A446" s="54">
        <v>45751</v>
      </c>
      <c r="B446" s="10">
        <v>45754</v>
      </c>
      <c r="C446" s="11">
        <f>VLOOKUP(B:B,'Курс валют'!A:D,4,0)</f>
        <v>92.985500000000002</v>
      </c>
      <c r="D446" s="58">
        <v>164</v>
      </c>
      <c r="E446" s="62" t="s">
        <v>50</v>
      </c>
      <c r="F446" s="58">
        <v>9600</v>
      </c>
      <c r="G446" s="58">
        <v>9634.7199999999993</v>
      </c>
      <c r="H446" s="56">
        <v>0</v>
      </c>
      <c r="I446" s="58">
        <f t="shared" si="42"/>
        <v>34.719999999999345</v>
      </c>
      <c r="J446" s="14">
        <f t="shared" si="43"/>
        <v>0.36166666666665986</v>
      </c>
      <c r="K446" s="56">
        <v>1.96</v>
      </c>
      <c r="L446" s="15">
        <f t="shared" si="44"/>
        <v>0</v>
      </c>
      <c r="M446" s="16">
        <f t="shared" si="49"/>
        <v>182.25158000000002</v>
      </c>
      <c r="N446" s="17">
        <f t="shared" si="46"/>
        <v>1.96</v>
      </c>
      <c r="O446" s="17">
        <f t="shared" si="47"/>
        <v>18816</v>
      </c>
      <c r="P446" s="18">
        <f t="shared" si="48"/>
        <v>1749615.1680000001</v>
      </c>
      <c r="R446" s="66"/>
      <c r="S446" s="19"/>
      <c r="T446" s="20"/>
      <c r="U446" s="20"/>
      <c r="V446" s="20"/>
      <c r="W446" s="20"/>
      <c r="X446" s="20"/>
      <c r="Y446" s="20"/>
      <c r="Z446" s="20"/>
      <c r="AA446" s="20"/>
    </row>
    <row r="447" spans="1:27">
      <c r="A447" s="54">
        <v>45751</v>
      </c>
      <c r="B447" s="10">
        <v>45754</v>
      </c>
      <c r="C447" s="11">
        <f>VLOOKUP(B:B,'Курс валют'!A:D,4,0)</f>
        <v>92.985500000000002</v>
      </c>
      <c r="D447" s="58">
        <v>165</v>
      </c>
      <c r="E447" s="64" t="s">
        <v>65</v>
      </c>
      <c r="F447" s="58">
        <v>8000</v>
      </c>
      <c r="G447" s="58">
        <v>8021</v>
      </c>
      <c r="H447" s="56">
        <v>761</v>
      </c>
      <c r="I447" s="58">
        <f t="shared" si="42"/>
        <v>21</v>
      </c>
      <c r="J447" s="14">
        <f t="shared" si="43"/>
        <v>0.26250000000000001</v>
      </c>
      <c r="K447" s="56">
        <v>2.27</v>
      </c>
      <c r="L447" s="15">
        <f t="shared" si="44"/>
        <v>9.5124999999999993</v>
      </c>
      <c r="M447" s="16">
        <f t="shared" si="49"/>
        <v>184.18753810999999</v>
      </c>
      <c r="N447" s="17">
        <f t="shared" si="46"/>
        <v>1.98082</v>
      </c>
      <c r="O447" s="17">
        <f t="shared" si="47"/>
        <v>15846.56</v>
      </c>
      <c r="P447" s="18">
        <f t="shared" si="48"/>
        <v>1473500.30488</v>
      </c>
      <c r="R447" s="66"/>
      <c r="S447" s="19"/>
      <c r="T447" s="20"/>
      <c r="U447" s="20"/>
      <c r="V447" s="20"/>
      <c r="W447" s="20"/>
      <c r="X447" s="20"/>
      <c r="Y447" s="20"/>
      <c r="Z447" s="20"/>
      <c r="AA447" s="20"/>
    </row>
    <row r="448" spans="1:27">
      <c r="A448" s="54">
        <v>45754</v>
      </c>
      <c r="B448" s="10">
        <v>45755</v>
      </c>
      <c r="C448" s="11">
        <f>VLOOKUP(B:B,'Курс валют'!A:D,4,0)</f>
        <v>94.774199999999993</v>
      </c>
      <c r="D448" s="58">
        <v>166</v>
      </c>
      <c r="E448" s="64" t="s">
        <v>87</v>
      </c>
      <c r="F448" s="58">
        <v>198</v>
      </c>
      <c r="G448" s="58">
        <v>200</v>
      </c>
      <c r="H448" s="56">
        <v>0</v>
      </c>
      <c r="I448" s="58">
        <f t="shared" si="42"/>
        <v>2</v>
      </c>
      <c r="J448" s="14">
        <f t="shared" si="43"/>
        <v>1.0101010101010102</v>
      </c>
      <c r="K448" s="56">
        <v>2.27</v>
      </c>
      <c r="L448" s="15">
        <f t="shared" si="44"/>
        <v>0</v>
      </c>
      <c r="M448" s="16">
        <f t="shared" si="49"/>
        <v>215.13743399999998</v>
      </c>
      <c r="N448" s="17">
        <f t="shared" si="46"/>
        <v>2.27</v>
      </c>
      <c r="O448" s="17">
        <f t="shared" si="47"/>
        <v>449.46</v>
      </c>
      <c r="P448" s="18">
        <f t="shared" si="48"/>
        <v>42597.211931999998</v>
      </c>
      <c r="R448" s="66" t="s">
        <v>1267</v>
      </c>
      <c r="S448" s="19"/>
      <c r="T448" s="20"/>
      <c r="U448" s="20"/>
      <c r="V448" s="20"/>
      <c r="W448" s="20"/>
      <c r="X448" s="20"/>
      <c r="Y448" s="20"/>
      <c r="Z448" s="20"/>
      <c r="AA448" s="20"/>
    </row>
    <row r="449" spans="1:27">
      <c r="A449" s="54">
        <v>45754</v>
      </c>
      <c r="B449" s="10">
        <v>45755</v>
      </c>
      <c r="C449" s="11">
        <f>VLOOKUP(B:B,'Курс валют'!A:D,4,0)</f>
        <v>94.774199999999993</v>
      </c>
      <c r="D449" s="58">
        <v>167</v>
      </c>
      <c r="E449" s="64" t="s">
        <v>15</v>
      </c>
      <c r="F449" s="58">
        <v>8800</v>
      </c>
      <c r="G449" s="58">
        <v>8828</v>
      </c>
      <c r="H449" s="56">
        <v>158</v>
      </c>
      <c r="I449" s="58">
        <f t="shared" si="42"/>
        <v>28</v>
      </c>
      <c r="J449" s="14">
        <f t="shared" si="43"/>
        <v>0.31818181818181818</v>
      </c>
      <c r="K449" s="56">
        <v>2.73</v>
      </c>
      <c r="L449" s="15">
        <f t="shared" si="44"/>
        <v>1.7954545454545456</v>
      </c>
      <c r="M449" s="16">
        <f t="shared" si="49"/>
        <v>253.56061784727271</v>
      </c>
      <c r="N449" s="17">
        <f t="shared" si="46"/>
        <v>2.6754181818181819</v>
      </c>
      <c r="O449" s="17">
        <f t="shared" si="47"/>
        <v>23543.68</v>
      </c>
      <c r="P449" s="18">
        <f t="shared" si="48"/>
        <v>2231333.4370559999</v>
      </c>
      <c r="R449" s="66"/>
      <c r="S449" s="19"/>
      <c r="T449" s="20"/>
      <c r="U449" s="20"/>
      <c r="V449" s="20"/>
      <c r="W449" s="20"/>
      <c r="X449" s="20"/>
      <c r="Y449" s="20"/>
      <c r="Z449" s="20"/>
      <c r="AA449" s="20"/>
    </row>
    <row r="450" spans="1:27">
      <c r="A450" s="54">
        <v>45755</v>
      </c>
      <c r="B450" s="10">
        <v>45756</v>
      </c>
      <c r="C450" s="11">
        <f>VLOOKUP(B:B,'Курс валют'!A:D,4,0)</f>
        <v>93.775499999999994</v>
      </c>
      <c r="D450" s="58">
        <v>168</v>
      </c>
      <c r="E450" s="64" t="s">
        <v>15</v>
      </c>
      <c r="F450" s="58">
        <v>8800</v>
      </c>
      <c r="G450" s="58">
        <v>8828</v>
      </c>
      <c r="H450" s="56">
        <v>158</v>
      </c>
      <c r="I450" s="58">
        <f t="shared" si="42"/>
        <v>28</v>
      </c>
      <c r="J450" s="14">
        <f t="shared" si="43"/>
        <v>0.31818181818181818</v>
      </c>
      <c r="K450" s="56">
        <v>2.73</v>
      </c>
      <c r="L450" s="15">
        <f t="shared" si="44"/>
        <v>1.7954545454545456</v>
      </c>
      <c r="M450" s="16">
        <f t="shared" si="49"/>
        <v>250.88867770909087</v>
      </c>
      <c r="N450" s="17">
        <f t="shared" si="46"/>
        <v>2.6754181818181819</v>
      </c>
      <c r="O450" s="17">
        <f t="shared" si="47"/>
        <v>23543.68</v>
      </c>
      <c r="P450" s="18">
        <f t="shared" si="48"/>
        <v>2207820.3638399998</v>
      </c>
      <c r="R450" s="65"/>
      <c r="S450" s="19"/>
      <c r="T450" s="20"/>
      <c r="U450" s="20"/>
      <c r="V450" s="20"/>
      <c r="W450" s="20"/>
      <c r="X450" s="20"/>
      <c r="Y450" s="20"/>
      <c r="Z450" s="20"/>
      <c r="AA450" s="20"/>
    </row>
    <row r="451" spans="1:27">
      <c r="A451" s="54">
        <v>45755</v>
      </c>
      <c r="B451" s="10">
        <v>45756</v>
      </c>
      <c r="C451" s="11">
        <f>VLOOKUP(B:B,'Курс валют'!A:D,4,0)</f>
        <v>93.775499999999994</v>
      </c>
      <c r="D451" s="58">
        <v>169</v>
      </c>
      <c r="E451" s="62" t="s">
        <v>100</v>
      </c>
      <c r="F451" s="58">
        <v>20</v>
      </c>
      <c r="G451" s="58">
        <v>24</v>
      </c>
      <c r="H451" s="56">
        <v>0</v>
      </c>
      <c r="I451" s="58">
        <f t="shared" si="42"/>
        <v>4</v>
      </c>
      <c r="J451" s="14">
        <f t="shared" si="43"/>
        <v>20</v>
      </c>
      <c r="K451" s="56">
        <v>3.67</v>
      </c>
      <c r="L451" s="15">
        <f t="shared" si="44"/>
        <v>0</v>
      </c>
      <c r="M451" s="16">
        <f t="shared" si="49"/>
        <v>344.15608499999996</v>
      </c>
      <c r="N451" s="17">
        <f t="shared" si="46"/>
        <v>3.6700000000000004</v>
      </c>
      <c r="O451" s="17">
        <f t="shared" si="47"/>
        <v>73.400000000000006</v>
      </c>
      <c r="P451" s="18">
        <f t="shared" si="48"/>
        <v>6883.1216999999997</v>
      </c>
      <c r="R451" s="66" t="s">
        <v>2415</v>
      </c>
      <c r="S451" s="19"/>
      <c r="T451" s="20"/>
      <c r="U451" s="20"/>
      <c r="V451" s="20"/>
      <c r="W451" s="20"/>
      <c r="X451" s="20"/>
      <c r="Y451" s="20"/>
      <c r="Z451" s="20"/>
      <c r="AA451" s="20"/>
    </row>
    <row r="452" spans="1:27">
      <c r="A452" s="54">
        <v>45755</v>
      </c>
      <c r="B452" s="10">
        <v>45757</v>
      </c>
      <c r="C452" s="11">
        <f>VLOOKUP(B:B,'Курс валют'!A:D,4,0)</f>
        <v>95.090999999999994</v>
      </c>
      <c r="D452" s="58">
        <v>171</v>
      </c>
      <c r="E452" s="50" t="s">
        <v>68</v>
      </c>
      <c r="F452" s="58">
        <v>1200</v>
      </c>
      <c r="G452" s="58">
        <v>1200</v>
      </c>
      <c r="H452" s="56">
        <v>0</v>
      </c>
      <c r="I452" s="58">
        <f t="shared" si="42"/>
        <v>0</v>
      </c>
      <c r="J452" s="14">
        <f t="shared" si="43"/>
        <v>0</v>
      </c>
      <c r="K452" s="56">
        <v>2.4700000000000002</v>
      </c>
      <c r="L452" s="15">
        <f t="shared" si="44"/>
        <v>0</v>
      </c>
      <c r="M452" s="16">
        <f t="shared" si="49"/>
        <v>234.87477000000004</v>
      </c>
      <c r="N452" s="17">
        <f t="shared" si="46"/>
        <v>2.4700000000000002</v>
      </c>
      <c r="O452" s="17">
        <f t="shared" si="47"/>
        <v>2964.0000000000005</v>
      </c>
      <c r="P452" s="18">
        <f t="shared" si="48"/>
        <v>281849.72400000005</v>
      </c>
      <c r="R452" s="65" t="s">
        <v>2420</v>
      </c>
      <c r="S452" s="19"/>
      <c r="T452" s="24"/>
      <c r="U452" s="24"/>
      <c r="V452" s="24"/>
      <c r="W452" s="24"/>
      <c r="X452" s="24"/>
      <c r="Y452" s="24"/>
      <c r="Z452" s="24"/>
      <c r="AA452" s="24"/>
    </row>
    <row r="453" spans="1:27">
      <c r="A453" s="54">
        <v>45756</v>
      </c>
      <c r="B453" s="10">
        <v>45757</v>
      </c>
      <c r="C453" s="11">
        <f>VLOOKUP(B:B,'Курс валют'!A:D,4,0)</f>
        <v>95.090999999999994</v>
      </c>
      <c r="D453" s="58">
        <v>172</v>
      </c>
      <c r="E453" s="50" t="s">
        <v>2421</v>
      </c>
      <c r="F453" s="58">
        <v>20</v>
      </c>
      <c r="G453" s="58">
        <v>26</v>
      </c>
      <c r="H453" s="56">
        <v>0</v>
      </c>
      <c r="I453" s="58">
        <f t="shared" si="42"/>
        <v>6</v>
      </c>
      <c r="J453" s="14">
        <f t="shared" si="43"/>
        <v>30</v>
      </c>
      <c r="K453" s="56">
        <v>4.67</v>
      </c>
      <c r="L453" s="15">
        <f t="shared" si="44"/>
        <v>0</v>
      </c>
      <c r="M453" s="16">
        <f t="shared" si="49"/>
        <v>444.07497000000001</v>
      </c>
      <c r="N453" s="17">
        <f t="shared" si="46"/>
        <v>4.67</v>
      </c>
      <c r="O453" s="17">
        <f t="shared" si="47"/>
        <v>93.4</v>
      </c>
      <c r="P453" s="18">
        <f t="shared" si="48"/>
        <v>8881.4994000000006</v>
      </c>
      <c r="R453" s="65" t="s">
        <v>2422</v>
      </c>
      <c r="S453" s="19"/>
      <c r="T453" s="20"/>
      <c r="U453" s="20"/>
      <c r="V453" s="20"/>
      <c r="W453" s="20"/>
      <c r="X453" s="20"/>
      <c r="Y453" s="20"/>
      <c r="Z453" s="20"/>
      <c r="AA453" s="20"/>
    </row>
    <row r="454" spans="1:27">
      <c r="A454" s="54">
        <v>45756</v>
      </c>
      <c r="B454" s="10">
        <v>45757</v>
      </c>
      <c r="C454" s="11">
        <f>VLOOKUP(B:B,'Курс валют'!A:D,4,0)</f>
        <v>95.090999999999994</v>
      </c>
      <c r="D454" s="58">
        <v>173</v>
      </c>
      <c r="E454" s="50" t="s">
        <v>15</v>
      </c>
      <c r="F454" s="58">
        <v>220</v>
      </c>
      <c r="G454" s="58">
        <v>222.06</v>
      </c>
      <c r="H454" s="56">
        <v>4</v>
      </c>
      <c r="I454" s="58">
        <f t="shared" si="42"/>
        <v>2.0600000000000023</v>
      </c>
      <c r="J454" s="14">
        <f t="shared" si="43"/>
        <v>0.9363636363636374</v>
      </c>
      <c r="K454" s="56">
        <v>2.74</v>
      </c>
      <c r="L454" s="15">
        <f t="shared" si="44"/>
        <v>1.8181818181818181</v>
      </c>
      <c r="M454" s="16">
        <f t="shared" si="49"/>
        <v>255.2934010909091</v>
      </c>
      <c r="N454" s="17">
        <f t="shared" si="46"/>
        <v>2.6847272727272733</v>
      </c>
      <c r="O454" s="17">
        <f t="shared" si="47"/>
        <v>590.6400000000001</v>
      </c>
      <c r="P454" s="18">
        <f t="shared" si="48"/>
        <v>56164.548240000004</v>
      </c>
      <c r="R454" s="65" t="s">
        <v>2423</v>
      </c>
      <c r="S454" s="19"/>
      <c r="T454" s="20"/>
      <c r="U454" s="20"/>
      <c r="V454" s="20"/>
      <c r="W454" s="20"/>
      <c r="X454" s="20"/>
      <c r="Y454" s="20"/>
      <c r="Z454" s="20"/>
      <c r="AA454" s="20"/>
    </row>
    <row r="455" spans="1:27">
      <c r="A455" s="54">
        <v>45756</v>
      </c>
      <c r="B455" s="10">
        <v>45757</v>
      </c>
      <c r="C455" s="11">
        <f>VLOOKUP(B:B,'Курс валют'!A:D,4,0)</f>
        <v>95.090999999999994</v>
      </c>
      <c r="D455" s="58">
        <v>174</v>
      </c>
      <c r="E455" s="50" t="s">
        <v>15</v>
      </c>
      <c r="F455" s="58">
        <v>3300</v>
      </c>
      <c r="G455" s="58">
        <v>3313</v>
      </c>
      <c r="H455" s="56">
        <v>60</v>
      </c>
      <c r="I455" s="58">
        <f t="shared" si="42"/>
        <v>13</v>
      </c>
      <c r="J455" s="14">
        <f t="shared" si="43"/>
        <v>0.39393939393939398</v>
      </c>
      <c r="K455" s="56">
        <v>2.74</v>
      </c>
      <c r="L455" s="15">
        <f t="shared" si="44"/>
        <v>1.8181818181818181</v>
      </c>
      <c r="M455" s="16">
        <f t="shared" si="49"/>
        <v>255.2934010909091</v>
      </c>
      <c r="N455" s="17">
        <f t="shared" si="46"/>
        <v>2.6847272727272729</v>
      </c>
      <c r="O455" s="17">
        <f t="shared" si="47"/>
        <v>8859.6</v>
      </c>
      <c r="P455" s="18">
        <f t="shared" si="48"/>
        <v>842468.22360000003</v>
      </c>
      <c r="R455" s="65"/>
      <c r="S455" s="19"/>
      <c r="T455" s="24"/>
      <c r="U455" s="24"/>
      <c r="V455" s="24"/>
      <c r="W455" s="24"/>
      <c r="X455" s="24"/>
      <c r="Y455" s="24"/>
      <c r="Z455" s="24"/>
      <c r="AA455" s="24"/>
    </row>
    <row r="456" spans="1:27">
      <c r="A456" s="54">
        <v>45757</v>
      </c>
      <c r="B456" s="10">
        <v>45757</v>
      </c>
      <c r="C456" s="11">
        <f>VLOOKUP(B:B,'Курс валют'!A:D,4,0)</f>
        <v>95.090999999999994</v>
      </c>
      <c r="D456" s="58">
        <v>176</v>
      </c>
      <c r="E456" s="50" t="s">
        <v>2424</v>
      </c>
      <c r="F456" s="58">
        <v>144</v>
      </c>
      <c r="G456" s="58">
        <v>144</v>
      </c>
      <c r="H456" s="56">
        <v>0</v>
      </c>
      <c r="I456" s="58">
        <f t="shared" si="42"/>
        <v>0</v>
      </c>
      <c r="J456" s="14">
        <f t="shared" si="43"/>
        <v>0</v>
      </c>
      <c r="K456" s="56">
        <v>3.86</v>
      </c>
      <c r="L456" s="15">
        <f t="shared" si="44"/>
        <v>0</v>
      </c>
      <c r="M456" s="16">
        <f t="shared" si="49"/>
        <v>367.05125999999996</v>
      </c>
      <c r="N456" s="17">
        <f t="shared" si="46"/>
        <v>3.8600000000000003</v>
      </c>
      <c r="O456" s="17">
        <f t="shared" si="47"/>
        <v>555.84</v>
      </c>
      <c r="P456" s="18">
        <f t="shared" si="48"/>
        <v>52855.381439999997</v>
      </c>
      <c r="R456" s="65"/>
      <c r="S456" s="19" t="s">
        <v>2425</v>
      </c>
      <c r="T456" s="24"/>
      <c r="U456" s="24"/>
      <c r="V456" s="24"/>
      <c r="W456" s="24"/>
      <c r="X456" s="24"/>
      <c r="Y456" s="24"/>
      <c r="Z456" s="24"/>
      <c r="AA456" s="24"/>
    </row>
    <row r="457" spans="1:27">
      <c r="A457" s="54">
        <v>45757</v>
      </c>
      <c r="B457" s="10">
        <v>45758</v>
      </c>
      <c r="C457" s="11">
        <f>VLOOKUP(B:B,'Курс валют'!A:D,4,0)</f>
        <v>94.6036</v>
      </c>
      <c r="D457" s="58">
        <v>177</v>
      </c>
      <c r="E457" s="62" t="s">
        <v>50</v>
      </c>
      <c r="F457" s="58">
        <v>5600</v>
      </c>
      <c r="G457" s="58">
        <v>5619.35</v>
      </c>
      <c r="H457" s="56">
        <v>0</v>
      </c>
      <c r="I457" s="58">
        <f t="shared" si="42"/>
        <v>19.350000000000364</v>
      </c>
      <c r="J457" s="14">
        <f t="shared" si="43"/>
        <v>0.34553571428572077</v>
      </c>
      <c r="K457" s="56">
        <v>1.96</v>
      </c>
      <c r="L457" s="15">
        <f t="shared" si="44"/>
        <v>0</v>
      </c>
      <c r="M457" s="16">
        <f t="shared" si="49"/>
        <v>185.423056</v>
      </c>
      <c r="N457" s="17">
        <f t="shared" si="46"/>
        <v>1.96</v>
      </c>
      <c r="O457" s="17">
        <f t="shared" si="47"/>
        <v>10976</v>
      </c>
      <c r="P457" s="18">
        <f t="shared" si="48"/>
        <v>1038369.1136</v>
      </c>
      <c r="R457" s="66"/>
      <c r="S457" s="19"/>
      <c r="T457" s="24"/>
      <c r="U457" s="24"/>
      <c r="V457" s="24"/>
      <c r="W457" s="24"/>
      <c r="X457" s="24"/>
      <c r="Y457" s="24"/>
      <c r="Z457" s="24"/>
      <c r="AA457" s="24"/>
    </row>
    <row r="458" spans="1:27">
      <c r="A458" s="54">
        <v>45754</v>
      </c>
      <c r="B458" s="10">
        <v>45758</v>
      </c>
      <c r="C458" s="11">
        <f>VLOOKUP(B:B,'Курс валют'!A:D,4,0)</f>
        <v>94.6036</v>
      </c>
      <c r="D458" s="58">
        <v>175</v>
      </c>
      <c r="E458" s="64" t="s">
        <v>2426</v>
      </c>
      <c r="F458" s="58">
        <v>900</v>
      </c>
      <c r="G458" s="58">
        <v>944</v>
      </c>
      <c r="H458" s="56">
        <v>0</v>
      </c>
      <c r="I458" s="58">
        <f t="shared" si="42"/>
        <v>44</v>
      </c>
      <c r="J458" s="14">
        <f t="shared" si="43"/>
        <v>4.8888888888888893</v>
      </c>
      <c r="K458" s="56">
        <v>2.61</v>
      </c>
      <c r="L458" s="15">
        <f t="shared" si="44"/>
        <v>0</v>
      </c>
      <c r="M458" s="16">
        <f t="shared" si="49"/>
        <v>246.91539599999999</v>
      </c>
      <c r="N458" s="17">
        <f t="shared" si="46"/>
        <v>2.61</v>
      </c>
      <c r="O458" s="17">
        <f t="shared" si="47"/>
        <v>2349</v>
      </c>
      <c r="P458" s="18">
        <f t="shared" si="48"/>
        <v>222223.85639999999</v>
      </c>
      <c r="R458" s="65" t="s">
        <v>2427</v>
      </c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>
      <c r="A459" s="54">
        <v>45758</v>
      </c>
      <c r="B459" s="10">
        <v>45758</v>
      </c>
      <c r="C459" s="11">
        <f>VLOOKUP(B:B,'Курс валют'!A:D,4,0)</f>
        <v>94.6036</v>
      </c>
      <c r="D459" s="58">
        <v>170</v>
      </c>
      <c r="E459" s="64" t="s">
        <v>2428</v>
      </c>
      <c r="F459" s="58">
        <v>1000</v>
      </c>
      <c r="G459" s="58">
        <v>1000</v>
      </c>
      <c r="H459" s="56">
        <v>0</v>
      </c>
      <c r="I459" s="58">
        <f t="shared" si="42"/>
        <v>0</v>
      </c>
      <c r="J459" s="14">
        <f t="shared" si="43"/>
        <v>0</v>
      </c>
      <c r="K459" s="56">
        <v>2.9</v>
      </c>
      <c r="L459" s="15">
        <f t="shared" si="44"/>
        <v>0</v>
      </c>
      <c r="M459" s="16">
        <f t="shared" si="49"/>
        <v>274.35043999999999</v>
      </c>
      <c r="N459" s="17">
        <f t="shared" si="46"/>
        <v>2.9</v>
      </c>
      <c r="O459" s="17">
        <f t="shared" si="47"/>
        <v>2900</v>
      </c>
      <c r="P459" s="18">
        <f t="shared" si="48"/>
        <v>274350.44</v>
      </c>
      <c r="R459" s="66" t="s">
        <v>2429</v>
      </c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>
      <c r="A460" s="54">
        <v>45758</v>
      </c>
      <c r="B460" s="10">
        <v>45761</v>
      </c>
      <c r="C460" s="11">
        <f>VLOOKUP(B:B,'Курс валют'!A:D,4,0)</f>
        <v>96.216300000000004</v>
      </c>
      <c r="D460" s="58">
        <v>178</v>
      </c>
      <c r="E460" s="50" t="s">
        <v>56</v>
      </c>
      <c r="F460" s="58">
        <v>600</v>
      </c>
      <c r="G460" s="58">
        <v>600</v>
      </c>
      <c r="H460" s="56">
        <v>0</v>
      </c>
      <c r="I460" s="58">
        <f t="shared" si="42"/>
        <v>0</v>
      </c>
      <c r="J460" s="14">
        <f t="shared" si="43"/>
        <v>0</v>
      </c>
      <c r="K460" s="56">
        <v>3.21</v>
      </c>
      <c r="L460" s="15">
        <f t="shared" si="44"/>
        <v>0</v>
      </c>
      <c r="M460" s="16">
        <f t="shared" si="49"/>
        <v>308.85432300000002</v>
      </c>
      <c r="N460" s="17">
        <f t="shared" si="46"/>
        <v>3.21</v>
      </c>
      <c r="O460" s="17">
        <f t="shared" si="47"/>
        <v>1926</v>
      </c>
      <c r="P460" s="18">
        <f t="shared" si="48"/>
        <v>185312.5938</v>
      </c>
      <c r="R460" s="66" t="s">
        <v>2430</v>
      </c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>
      <c r="A461" s="54">
        <v>45758</v>
      </c>
      <c r="B461" s="10">
        <v>45761</v>
      </c>
      <c r="C461" s="11">
        <f>VLOOKUP(B:B,'Курс валют'!A:D,4,0)</f>
        <v>96.216300000000004</v>
      </c>
      <c r="D461" s="58">
        <v>179</v>
      </c>
      <c r="E461" s="50" t="s">
        <v>15</v>
      </c>
      <c r="F461" s="58">
        <v>4400</v>
      </c>
      <c r="G461" s="58">
        <v>4419</v>
      </c>
      <c r="H461" s="56">
        <v>79</v>
      </c>
      <c r="I461" s="58">
        <f t="shared" si="42"/>
        <v>19</v>
      </c>
      <c r="J461" s="14">
        <f t="shared" si="43"/>
        <v>0.43181818181818182</v>
      </c>
      <c r="K461" s="56">
        <v>2.74</v>
      </c>
      <c r="L461" s="15">
        <f t="shared" si="44"/>
        <v>1.7954545454545456</v>
      </c>
      <c r="M461" s="16">
        <f t="shared" si="49"/>
        <v>258.38100140727278</v>
      </c>
      <c r="N461" s="17">
        <f t="shared" si="46"/>
        <v>2.6854181818181821</v>
      </c>
      <c r="O461" s="17">
        <f t="shared" si="47"/>
        <v>11815.840000000002</v>
      </c>
      <c r="P461" s="18">
        <f t="shared" si="48"/>
        <v>1136876.4061920003</v>
      </c>
      <c r="R461" s="66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>
      <c r="A462" s="54">
        <v>45758</v>
      </c>
      <c r="B462" s="10">
        <v>45761</v>
      </c>
      <c r="C462" s="11">
        <f>VLOOKUP(B:B,'Курс валют'!A:D,4,0)</f>
        <v>96.216300000000004</v>
      </c>
      <c r="D462" s="58">
        <v>180</v>
      </c>
      <c r="E462" s="50" t="s">
        <v>2397</v>
      </c>
      <c r="F462" s="58">
        <v>1600</v>
      </c>
      <c r="G462" s="58">
        <v>1619.9</v>
      </c>
      <c r="H462" s="56">
        <v>0</v>
      </c>
      <c r="I462" s="58">
        <f t="shared" si="42"/>
        <v>19.900000000000091</v>
      </c>
      <c r="J462" s="14">
        <f t="shared" si="43"/>
        <v>1.2437500000000057</v>
      </c>
      <c r="K462" s="56">
        <v>2.88</v>
      </c>
      <c r="L462" s="15">
        <f t="shared" si="44"/>
        <v>0</v>
      </c>
      <c r="M462" s="16">
        <f t="shared" si="49"/>
        <v>277.10294400000004</v>
      </c>
      <c r="N462" s="17">
        <f t="shared" si="46"/>
        <v>2.88</v>
      </c>
      <c r="O462" s="17">
        <f t="shared" si="47"/>
        <v>4608</v>
      </c>
      <c r="P462" s="18">
        <f t="shared" si="48"/>
        <v>443364.71040000004</v>
      </c>
      <c r="R462" s="66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>
      <c r="A463" s="54">
        <v>45758</v>
      </c>
      <c r="B463" s="10">
        <v>45761</v>
      </c>
      <c r="C463" s="11">
        <f>VLOOKUP(B:B,'Курс валют'!A:D,4,0)</f>
        <v>96.216300000000004</v>
      </c>
      <c r="D463" s="58">
        <v>181</v>
      </c>
      <c r="E463" s="50" t="s">
        <v>2397</v>
      </c>
      <c r="F463" s="58">
        <v>4000</v>
      </c>
      <c r="G463" s="58">
        <v>4028</v>
      </c>
      <c r="H463" s="56">
        <v>0</v>
      </c>
      <c r="I463" s="58">
        <f t="shared" si="42"/>
        <v>28</v>
      </c>
      <c r="J463" s="14">
        <f t="shared" si="43"/>
        <v>0.70000000000000007</v>
      </c>
      <c r="K463" s="56">
        <v>2.88</v>
      </c>
      <c r="L463" s="15">
        <f t="shared" si="44"/>
        <v>0</v>
      </c>
      <c r="M463" s="16">
        <f t="shared" si="49"/>
        <v>277.10294400000004</v>
      </c>
      <c r="N463" s="17">
        <f t="shared" si="46"/>
        <v>2.88</v>
      </c>
      <c r="O463" s="17">
        <f t="shared" si="47"/>
        <v>11520</v>
      </c>
      <c r="P463" s="18">
        <f t="shared" si="48"/>
        <v>1108411.7760000001</v>
      </c>
      <c r="R463" s="66"/>
      <c r="S463" s="48"/>
      <c r="T463" s="20"/>
      <c r="U463" s="20"/>
      <c r="V463" s="20"/>
      <c r="W463" s="20"/>
      <c r="X463" s="20"/>
      <c r="Y463" s="20"/>
      <c r="Z463" s="20"/>
      <c r="AA463" s="20"/>
    </row>
    <row r="464" spans="1:27">
      <c r="A464" s="54">
        <v>45758</v>
      </c>
      <c r="B464" s="10">
        <v>45761</v>
      </c>
      <c r="C464" s="11">
        <f>VLOOKUP(B:B,'Курс валют'!A:D,4,0)</f>
        <v>96.216300000000004</v>
      </c>
      <c r="D464" s="58">
        <v>182</v>
      </c>
      <c r="E464" s="64" t="s">
        <v>15</v>
      </c>
      <c r="F464" s="63">
        <v>6600</v>
      </c>
      <c r="G464" s="63">
        <v>6633</v>
      </c>
      <c r="H464" s="49">
        <v>120</v>
      </c>
      <c r="I464" s="58">
        <f t="shared" si="42"/>
        <v>33</v>
      </c>
      <c r="J464" s="14">
        <f t="shared" si="43"/>
        <v>0.5</v>
      </c>
      <c r="K464" s="49">
        <v>2.74</v>
      </c>
      <c r="L464" s="15">
        <f t="shared" si="44"/>
        <v>1.8181818181818181</v>
      </c>
      <c r="M464" s="16">
        <f t="shared" si="49"/>
        <v>258.31452469090908</v>
      </c>
      <c r="N464" s="17">
        <f t="shared" si="46"/>
        <v>2.6847272727272729</v>
      </c>
      <c r="O464" s="17">
        <f t="shared" si="47"/>
        <v>17719.2</v>
      </c>
      <c r="P464" s="18">
        <f t="shared" si="48"/>
        <v>1704875.8629600001</v>
      </c>
      <c r="R464" s="66"/>
      <c r="S464" s="48"/>
      <c r="T464" s="20"/>
      <c r="U464" s="20"/>
      <c r="V464" s="20"/>
      <c r="W464" s="20"/>
      <c r="X464" s="20"/>
      <c r="Y464" s="20"/>
      <c r="Z464" s="20"/>
      <c r="AA464" s="20"/>
    </row>
    <row r="465" spans="1:27">
      <c r="A465" s="54">
        <v>45761</v>
      </c>
      <c r="B465" s="10">
        <v>45762</v>
      </c>
      <c r="C465" s="11">
        <f>VLOOKUP(B:B,'Курс валют'!A:D,4,0)</f>
        <v>94.163499999999999</v>
      </c>
      <c r="D465" s="58">
        <v>183</v>
      </c>
      <c r="E465" s="64" t="s">
        <v>15</v>
      </c>
      <c r="F465" s="58">
        <v>6600</v>
      </c>
      <c r="G465" s="58">
        <v>6623</v>
      </c>
      <c r="H465" s="56">
        <v>119</v>
      </c>
      <c r="I465" s="58">
        <f t="shared" si="42"/>
        <v>23</v>
      </c>
      <c r="J465" s="14">
        <f t="shared" si="43"/>
        <v>0.34848484848484845</v>
      </c>
      <c r="K465" s="56">
        <v>2.77</v>
      </c>
      <c r="L465" s="15">
        <f t="shared" si="44"/>
        <v>1.8030303030303032</v>
      </c>
      <c r="M465" s="16">
        <f t="shared" si="49"/>
        <v>255.67159382424242</v>
      </c>
      <c r="N465" s="17">
        <f t="shared" si="46"/>
        <v>2.7151878787878791</v>
      </c>
      <c r="O465" s="17">
        <f t="shared" si="47"/>
        <v>17920.240000000002</v>
      </c>
      <c r="P465" s="18">
        <f t="shared" si="48"/>
        <v>1687432.5192400001</v>
      </c>
      <c r="R465" s="66"/>
      <c r="S465" s="48"/>
      <c r="T465" s="20"/>
      <c r="U465" s="20"/>
      <c r="V465" s="20"/>
      <c r="W465" s="20"/>
      <c r="X465" s="20"/>
      <c r="Y465" s="20"/>
      <c r="Z465" s="20"/>
      <c r="AA465" s="20"/>
    </row>
    <row r="466" spans="1:27">
      <c r="A466" s="54">
        <v>45762</v>
      </c>
      <c r="B466" s="10">
        <v>45763</v>
      </c>
      <c r="C466" s="11">
        <f>VLOOKUP(B:B,'Курс валют'!A:D,4,0)</f>
        <v>93.684399999999997</v>
      </c>
      <c r="D466" s="58">
        <v>184</v>
      </c>
      <c r="E466" s="64" t="s">
        <v>2431</v>
      </c>
      <c r="F466" s="58">
        <v>600</v>
      </c>
      <c r="G466" s="58">
        <v>605.79999999999995</v>
      </c>
      <c r="H466" s="56">
        <v>0</v>
      </c>
      <c r="I466" s="58">
        <f t="shared" si="42"/>
        <v>5.7999999999999545</v>
      </c>
      <c r="J466" s="14">
        <f t="shared" si="43"/>
        <v>0.96666666666665912</v>
      </c>
      <c r="K466" s="56">
        <v>2.78</v>
      </c>
      <c r="L466" s="15">
        <f t="shared" si="44"/>
        <v>0</v>
      </c>
      <c r="M466" s="16">
        <f t="shared" si="49"/>
        <v>260.44263199999995</v>
      </c>
      <c r="N466" s="17">
        <f t="shared" si="46"/>
        <v>2.78</v>
      </c>
      <c r="O466" s="17">
        <f t="shared" si="47"/>
        <v>1667.9999999999998</v>
      </c>
      <c r="P466" s="18">
        <f t="shared" si="48"/>
        <v>156265.57919999998</v>
      </c>
      <c r="R466" s="66" t="s">
        <v>2432</v>
      </c>
      <c r="S466" s="48"/>
      <c r="T466" s="20"/>
      <c r="U466" s="20"/>
      <c r="V466" s="20"/>
      <c r="W466" s="20"/>
      <c r="X466" s="20"/>
      <c r="Y466" s="20"/>
      <c r="Z466" s="20"/>
      <c r="AA466" s="20"/>
    </row>
    <row r="467" spans="1:27">
      <c r="A467" s="54">
        <v>45762</v>
      </c>
      <c r="B467" s="10">
        <v>45763</v>
      </c>
      <c r="C467" s="11">
        <f>VLOOKUP(B:B,'Курс валют'!A:D,4,0)</f>
        <v>93.684399999999997</v>
      </c>
      <c r="D467" s="58">
        <v>185</v>
      </c>
      <c r="E467" s="64" t="s">
        <v>50</v>
      </c>
      <c r="F467" s="58">
        <v>800</v>
      </c>
      <c r="G467" s="57">
        <v>807.06</v>
      </c>
      <c r="H467" s="56">
        <v>0</v>
      </c>
      <c r="I467" s="58">
        <f t="shared" si="42"/>
        <v>7.0599999999999454</v>
      </c>
      <c r="J467" s="14">
        <f t="shared" si="43"/>
        <v>0.88249999999999318</v>
      </c>
      <c r="K467" s="56">
        <v>1.95</v>
      </c>
      <c r="L467" s="15">
        <f t="shared" si="44"/>
        <v>0</v>
      </c>
      <c r="M467" s="16">
        <f t="shared" si="49"/>
        <v>182.68457999999998</v>
      </c>
      <c r="N467" s="17">
        <f t="shared" si="46"/>
        <v>1.95</v>
      </c>
      <c r="O467" s="17">
        <f t="shared" si="47"/>
        <v>1560</v>
      </c>
      <c r="P467" s="18">
        <f t="shared" si="48"/>
        <v>146147.66399999999</v>
      </c>
      <c r="R467" s="66"/>
      <c r="S467" s="48"/>
      <c r="T467" s="20"/>
      <c r="U467" s="20"/>
      <c r="V467" s="20"/>
      <c r="W467" s="20"/>
      <c r="X467" s="20"/>
      <c r="Y467" s="20"/>
      <c r="Z467" s="20"/>
      <c r="AA467" s="20"/>
    </row>
    <row r="468" spans="1:27">
      <c r="A468" s="54">
        <v>45763</v>
      </c>
      <c r="B468" s="10">
        <v>45764</v>
      </c>
      <c r="C468" s="11">
        <f>VLOOKUP(B:B,'Курс валют'!A:D,4,0)</f>
        <v>93.335599999999999</v>
      </c>
      <c r="D468" s="58">
        <v>186</v>
      </c>
      <c r="E468" s="50" t="s">
        <v>58</v>
      </c>
      <c r="F468" s="58">
        <v>8800</v>
      </c>
      <c r="G468" s="57">
        <v>8833</v>
      </c>
      <c r="H468" s="56">
        <v>159</v>
      </c>
      <c r="I468" s="58">
        <f t="shared" si="42"/>
        <v>33</v>
      </c>
      <c r="J468" s="14">
        <f t="shared" si="43"/>
        <v>0.375</v>
      </c>
      <c r="K468" s="56">
        <v>2.85</v>
      </c>
      <c r="L468" s="15">
        <f t="shared" si="44"/>
        <v>1.8068181818181817</v>
      </c>
      <c r="M468" s="16">
        <f t="shared" si="49"/>
        <v>260.87979004363638</v>
      </c>
      <c r="N468" s="17">
        <f t="shared" si="46"/>
        <v>2.7950727272727272</v>
      </c>
      <c r="O468" s="17">
        <f t="shared" si="47"/>
        <v>24596.639999999999</v>
      </c>
      <c r="P468" s="18">
        <f t="shared" si="48"/>
        <v>2295742.1523839999</v>
      </c>
      <c r="R468" s="65"/>
      <c r="S468" s="48"/>
      <c r="T468" s="20"/>
      <c r="U468" s="20"/>
      <c r="V468" s="20"/>
      <c r="W468" s="20"/>
      <c r="X468" s="20"/>
      <c r="Y468" s="20"/>
      <c r="Z468" s="20"/>
      <c r="AA468" s="20"/>
    </row>
    <row r="469" spans="1:27">
      <c r="A469" s="54">
        <v>45764</v>
      </c>
      <c r="B469" s="10">
        <v>45765</v>
      </c>
      <c r="C469" s="11">
        <f>VLOOKUP(B:B,'Курс валют'!A:D,4,0)</f>
        <v>93.251300000000001</v>
      </c>
      <c r="D469" s="58">
        <v>187</v>
      </c>
      <c r="E469" s="50" t="s">
        <v>2209</v>
      </c>
      <c r="F469" s="58">
        <v>8000</v>
      </c>
      <c r="G469" s="57">
        <v>8018</v>
      </c>
      <c r="H469" s="56">
        <v>758</v>
      </c>
      <c r="I469" s="58">
        <f t="shared" si="42"/>
        <v>18</v>
      </c>
      <c r="J469" s="14">
        <f t="shared" si="43"/>
        <v>0.22499999999999998</v>
      </c>
      <c r="K469" s="56">
        <v>2.21</v>
      </c>
      <c r="L469" s="15">
        <f t="shared" si="44"/>
        <v>9.4749999999999996</v>
      </c>
      <c r="M469" s="16">
        <f t="shared" si="49"/>
        <v>179.225268548</v>
      </c>
      <c r="N469" s="17">
        <f t="shared" si="46"/>
        <v>1.9219600000000001</v>
      </c>
      <c r="O469" s="17">
        <f t="shared" si="47"/>
        <v>15375.68</v>
      </c>
      <c r="P469" s="18">
        <f t="shared" si="48"/>
        <v>1433802.1483839999</v>
      </c>
      <c r="R469" s="65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>
      <c r="A470" s="54">
        <v>45765</v>
      </c>
      <c r="B470" s="10">
        <v>45768</v>
      </c>
      <c r="C470" s="11">
        <f>VLOOKUP(B:B,'Курс валют'!A:D,4,0)</f>
        <v>92.223200000000006</v>
      </c>
      <c r="D470" s="58">
        <v>188</v>
      </c>
      <c r="E470" s="50" t="s">
        <v>2209</v>
      </c>
      <c r="F470" s="58">
        <v>8000</v>
      </c>
      <c r="G470" s="57">
        <v>8020</v>
      </c>
      <c r="H470" s="56">
        <v>758</v>
      </c>
      <c r="I470" s="58">
        <f t="shared" si="42"/>
        <v>20</v>
      </c>
      <c r="J470" s="14">
        <f t="shared" si="43"/>
        <v>0.25</v>
      </c>
      <c r="K470" s="56">
        <v>2.21</v>
      </c>
      <c r="L470" s="15">
        <f t="shared" si="44"/>
        <v>9.4749999999999996</v>
      </c>
      <c r="M470" s="16">
        <f t="shared" si="49"/>
        <v>177.24930147200001</v>
      </c>
      <c r="N470" s="17">
        <f t="shared" si="46"/>
        <v>1.9219600000000001</v>
      </c>
      <c r="O470" s="17">
        <f t="shared" si="47"/>
        <v>15375.68</v>
      </c>
      <c r="P470" s="18">
        <f t="shared" si="48"/>
        <v>1417994.4117760002</v>
      </c>
      <c r="R470" s="65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>
      <c r="A471" s="54">
        <v>45765</v>
      </c>
      <c r="B471" s="10">
        <v>45768</v>
      </c>
      <c r="C471" s="11">
        <f>VLOOKUP(B:B,'Курс валют'!A:D,4,0)</f>
        <v>92.223200000000006</v>
      </c>
      <c r="D471" s="58">
        <v>189</v>
      </c>
      <c r="E471" s="50" t="s">
        <v>51</v>
      </c>
      <c r="F471" s="58">
        <v>8000</v>
      </c>
      <c r="G471" s="57">
        <v>8034.2</v>
      </c>
      <c r="H471" s="56">
        <v>0</v>
      </c>
      <c r="I471" s="58">
        <f t="shared" si="42"/>
        <v>34.199999999999818</v>
      </c>
      <c r="J471" s="14">
        <f t="shared" si="43"/>
        <v>0.42749999999999777</v>
      </c>
      <c r="K471" s="56">
        <v>2.0299999999999998</v>
      </c>
      <c r="L471" s="15">
        <f t="shared" si="44"/>
        <v>0</v>
      </c>
      <c r="M471" s="16">
        <f t="shared" si="49"/>
        <v>187.21309599999998</v>
      </c>
      <c r="N471" s="17">
        <f t="shared" si="46"/>
        <v>2.0299999999999998</v>
      </c>
      <c r="O471" s="17">
        <f t="shared" si="47"/>
        <v>16239.999999999998</v>
      </c>
      <c r="P471" s="18">
        <f t="shared" si="48"/>
        <v>1497704.7679999999</v>
      </c>
      <c r="R471" s="65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>
      <c r="A472" s="54">
        <v>45765</v>
      </c>
      <c r="B472" s="10">
        <v>45768</v>
      </c>
      <c r="C472" s="11">
        <f>VLOOKUP(B:B,'Курс валют'!A:D,4,0)</f>
        <v>92.223200000000006</v>
      </c>
      <c r="D472" s="58">
        <v>190</v>
      </c>
      <c r="E472" s="50" t="s">
        <v>15</v>
      </c>
      <c r="F472" s="58">
        <v>6600</v>
      </c>
      <c r="G472" s="57">
        <v>6624</v>
      </c>
      <c r="H472" s="56">
        <v>119</v>
      </c>
      <c r="I472" s="58">
        <f t="shared" si="42"/>
        <v>24</v>
      </c>
      <c r="J472" s="14">
        <f t="shared" si="43"/>
        <v>0.36363636363636365</v>
      </c>
      <c r="K472" s="56">
        <v>2.78</v>
      </c>
      <c r="L472" s="15">
        <f t="shared" si="44"/>
        <v>1.8030303030303032</v>
      </c>
      <c r="M472" s="16">
        <f t="shared" si="49"/>
        <v>251.32554678303035</v>
      </c>
      <c r="N472" s="17">
        <f t="shared" si="46"/>
        <v>2.7251878787878789</v>
      </c>
      <c r="O472" s="17">
        <f t="shared" si="47"/>
        <v>17986.240000000002</v>
      </c>
      <c r="P472" s="18">
        <f t="shared" si="48"/>
        <v>1658748.6087680003</v>
      </c>
      <c r="R472" s="66"/>
      <c r="S472" s="19"/>
      <c r="T472" s="20"/>
      <c r="U472" s="20"/>
      <c r="V472" s="20"/>
      <c r="W472" s="20"/>
      <c r="X472" s="20"/>
      <c r="Y472" s="20"/>
      <c r="Z472" s="20"/>
      <c r="AA472" s="20"/>
    </row>
    <row r="473" spans="1:27">
      <c r="A473" s="54">
        <v>45764</v>
      </c>
      <c r="B473" s="10">
        <v>45768</v>
      </c>
      <c r="C473" s="11">
        <f>VLOOKUP(B:B,'Курс валют'!A:D,4,0)</f>
        <v>92.223200000000006</v>
      </c>
      <c r="D473" s="58">
        <v>191</v>
      </c>
      <c r="E473" s="50" t="s">
        <v>57</v>
      </c>
      <c r="F473" s="58">
        <v>1000</v>
      </c>
      <c r="G473" s="57">
        <v>1036</v>
      </c>
      <c r="H473" s="56">
        <v>0</v>
      </c>
      <c r="I473" s="58">
        <f t="shared" si="42"/>
        <v>36</v>
      </c>
      <c r="J473" s="14">
        <f t="shared" si="43"/>
        <v>3.5999999999999996</v>
      </c>
      <c r="K473" s="56">
        <v>2.78</v>
      </c>
      <c r="L473" s="15">
        <f t="shared" si="44"/>
        <v>0</v>
      </c>
      <c r="M473" s="16">
        <f t="shared" si="49"/>
        <v>256.38049599999999</v>
      </c>
      <c r="N473" s="17">
        <f t="shared" si="46"/>
        <v>2.78</v>
      </c>
      <c r="O473" s="17">
        <f t="shared" si="47"/>
        <v>2780</v>
      </c>
      <c r="P473" s="18">
        <f t="shared" si="48"/>
        <v>256380.49600000001</v>
      </c>
      <c r="R473" s="66"/>
      <c r="S473" s="19" t="s">
        <v>2425</v>
      </c>
      <c r="T473" s="20"/>
      <c r="U473" s="20"/>
      <c r="V473" s="20"/>
      <c r="W473" s="20"/>
      <c r="X473" s="20"/>
      <c r="Y473" s="20"/>
      <c r="Z473" s="20"/>
      <c r="AA473" s="20"/>
    </row>
    <row r="474" spans="1:27">
      <c r="A474" s="54">
        <v>45768</v>
      </c>
      <c r="B474" s="10">
        <v>45769</v>
      </c>
      <c r="C474" s="11">
        <f>VLOOKUP(B:B,'Курс валют'!A:D,4,0)</f>
        <v>93.671400000000006</v>
      </c>
      <c r="D474" s="58">
        <v>192</v>
      </c>
      <c r="E474" s="50" t="s">
        <v>2187</v>
      </c>
      <c r="F474" s="58">
        <v>8000</v>
      </c>
      <c r="G474" s="57">
        <v>8026</v>
      </c>
      <c r="H474" s="56">
        <v>762</v>
      </c>
      <c r="I474" s="58">
        <f t="shared" si="42"/>
        <v>26</v>
      </c>
      <c r="J474" s="14">
        <f t="shared" si="43"/>
        <v>0.32500000000000001</v>
      </c>
      <c r="K474" s="56">
        <v>2.25</v>
      </c>
      <c r="L474" s="15">
        <f t="shared" si="44"/>
        <v>9.5250000000000004</v>
      </c>
      <c r="M474" s="16">
        <f t="shared" si="49"/>
        <v>183.637159416</v>
      </c>
      <c r="N474" s="17">
        <f t="shared" si="46"/>
        <v>1.96044</v>
      </c>
      <c r="O474" s="17">
        <f t="shared" si="47"/>
        <v>15683.52</v>
      </c>
      <c r="P474" s="18">
        <f t="shared" si="48"/>
        <v>1469097.2753280001</v>
      </c>
      <c r="R474" s="66"/>
      <c r="S474" s="19"/>
      <c r="T474" s="20"/>
      <c r="U474" s="20"/>
      <c r="V474" s="20"/>
      <c r="W474" s="20"/>
      <c r="X474" s="20"/>
      <c r="Y474" s="20"/>
      <c r="Z474" s="20"/>
      <c r="AA474" s="20"/>
    </row>
    <row r="475" spans="1:27">
      <c r="A475" s="54">
        <v>45768</v>
      </c>
      <c r="B475" s="10">
        <v>45769</v>
      </c>
      <c r="C475" s="11">
        <f>VLOOKUP(B:B,'Курс валют'!A:D,4,0)</f>
        <v>93.671400000000006</v>
      </c>
      <c r="D475" s="58">
        <v>193</v>
      </c>
      <c r="E475" s="50" t="s">
        <v>2433</v>
      </c>
      <c r="F475" s="58">
        <v>1782</v>
      </c>
      <c r="G475" s="57">
        <v>1795</v>
      </c>
      <c r="H475" s="56">
        <f>31.605+0.395</f>
        <v>32</v>
      </c>
      <c r="I475" s="58">
        <f t="shared" si="42"/>
        <v>13</v>
      </c>
      <c r="J475" s="14">
        <f t="shared" si="43"/>
        <v>0.72951739618406286</v>
      </c>
      <c r="K475" s="56">
        <v>2.79</v>
      </c>
      <c r="L475" s="15">
        <f t="shared" si="44"/>
        <v>1.7957351290684627</v>
      </c>
      <c r="M475" s="16">
        <f t="shared" si="49"/>
        <v>256.22965168350169</v>
      </c>
      <c r="N475" s="17">
        <f t="shared" si="46"/>
        <v>2.7354096520763189</v>
      </c>
      <c r="O475" s="17">
        <f t="shared" si="47"/>
        <v>4874.5</v>
      </c>
      <c r="P475" s="18">
        <f t="shared" si="48"/>
        <v>456601.23930000002</v>
      </c>
      <c r="R475" s="65" t="s">
        <v>2434</v>
      </c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>
      <c r="A476" s="54">
        <v>45769</v>
      </c>
      <c r="B476" s="10">
        <v>45770</v>
      </c>
      <c r="C476" s="11">
        <f>VLOOKUP(B:B,'Курс валют'!A:D,4,0)</f>
        <v>94.04</v>
      </c>
      <c r="D476" s="58">
        <v>194</v>
      </c>
      <c r="E476" s="50" t="s">
        <v>60</v>
      </c>
      <c r="F476" s="58">
        <v>1800</v>
      </c>
      <c r="G476" s="57">
        <v>1825.4</v>
      </c>
      <c r="H476" s="56">
        <v>0</v>
      </c>
      <c r="I476" s="58">
        <f t="shared" si="42"/>
        <v>25.400000000000091</v>
      </c>
      <c r="J476" s="14">
        <f t="shared" si="43"/>
        <v>1.4111111111111161</v>
      </c>
      <c r="K476" s="56">
        <v>2.14</v>
      </c>
      <c r="L476" s="15">
        <f t="shared" si="44"/>
        <v>0</v>
      </c>
      <c r="M476" s="16">
        <f t="shared" si="49"/>
        <v>201.2456</v>
      </c>
      <c r="N476" s="17">
        <f t="shared" si="46"/>
        <v>2.14</v>
      </c>
      <c r="O476" s="17">
        <f t="shared" si="47"/>
        <v>3852</v>
      </c>
      <c r="P476" s="18">
        <f t="shared" si="48"/>
        <v>362242.08</v>
      </c>
      <c r="R476" s="66"/>
      <c r="S476" s="19" t="s">
        <v>2388</v>
      </c>
      <c r="T476" s="20"/>
      <c r="U476" s="20"/>
      <c r="V476" s="20"/>
      <c r="W476" s="20"/>
      <c r="X476" s="20"/>
      <c r="Y476" s="20"/>
      <c r="Z476" s="20"/>
      <c r="AA476" s="20"/>
    </row>
    <row r="477" spans="1:27">
      <c r="A477" s="54">
        <v>45769</v>
      </c>
      <c r="B477" s="54">
        <v>45770</v>
      </c>
      <c r="C477" s="11">
        <f>VLOOKUP(B:B,'Курс валют'!A:D,4,0)</f>
        <v>94.04</v>
      </c>
      <c r="D477" s="58">
        <v>205</v>
      </c>
      <c r="E477" s="50" t="s">
        <v>2435</v>
      </c>
      <c r="F477" s="58">
        <v>10</v>
      </c>
      <c r="G477" s="57">
        <v>14.6</v>
      </c>
      <c r="H477" s="56"/>
      <c r="I477" s="58">
        <f t="shared" si="42"/>
        <v>4.5999999999999996</v>
      </c>
      <c r="J477" s="14">
        <f t="shared" si="43"/>
        <v>46</v>
      </c>
      <c r="K477" s="56"/>
      <c r="L477" s="15"/>
      <c r="M477" s="16"/>
      <c r="N477" s="17"/>
      <c r="O477" s="17"/>
      <c r="P477" s="18"/>
      <c r="R477" s="66"/>
      <c r="S477" s="19" t="s">
        <v>2388</v>
      </c>
      <c r="T477" s="20"/>
      <c r="U477" s="20"/>
      <c r="V477" s="20"/>
      <c r="W477" s="20"/>
      <c r="X477" s="20"/>
      <c r="Y477" s="20"/>
      <c r="Z477" s="20"/>
      <c r="AA477" s="20"/>
    </row>
    <row r="478" spans="1:27">
      <c r="A478" s="54">
        <v>45769</v>
      </c>
      <c r="B478" s="10">
        <v>45770</v>
      </c>
      <c r="C478" s="11">
        <f>VLOOKUP(B:B,'Курс валют'!A:D,4,0)</f>
        <v>94.04</v>
      </c>
      <c r="D478" s="58">
        <v>195</v>
      </c>
      <c r="E478" s="50" t="s">
        <v>2209</v>
      </c>
      <c r="F478" s="58">
        <v>8000</v>
      </c>
      <c r="G478" s="57">
        <v>8026</v>
      </c>
      <c r="H478" s="56">
        <v>758</v>
      </c>
      <c r="I478" s="58">
        <f t="shared" si="42"/>
        <v>26</v>
      </c>
      <c r="J478" s="14">
        <f t="shared" si="43"/>
        <v>0.32500000000000001</v>
      </c>
      <c r="K478" s="56">
        <v>2.19</v>
      </c>
      <c r="L478" s="15">
        <f t="shared" ref="L478:L481" si="50">H478/F478*100</f>
        <v>9.4749999999999996</v>
      </c>
      <c r="M478" s="16">
        <f t="shared" ref="M478:M481" si="51">P478/F478</f>
        <v>178.86031840000001</v>
      </c>
      <c r="N478" s="17">
        <f t="shared" ref="N478:N481" si="52">(F478*K478-H478*3.04)/F478</f>
        <v>1.9019600000000001</v>
      </c>
      <c r="O478" s="17">
        <f t="shared" ref="O478:O481" si="53">N478*F478</f>
        <v>15215.68</v>
      </c>
      <c r="P478" s="18">
        <f t="shared" ref="P478:P481" si="54">O478*C478</f>
        <v>1430882.5472000001</v>
      </c>
      <c r="R478" s="66"/>
      <c r="S478" s="19"/>
      <c r="T478" s="20"/>
      <c r="U478" s="20"/>
      <c r="V478" s="20"/>
      <c r="W478" s="20"/>
      <c r="X478" s="20"/>
      <c r="Y478" s="20"/>
      <c r="Z478" s="20"/>
      <c r="AA478" s="20"/>
    </row>
    <row r="479" spans="1:27">
      <c r="A479" s="54">
        <v>45770</v>
      </c>
      <c r="B479" s="10">
        <v>45771</v>
      </c>
      <c r="C479" s="11">
        <f>VLOOKUP(B:B,'Курс валют'!A:D,4,0)</f>
        <v>94.572299999999998</v>
      </c>
      <c r="D479" s="58">
        <v>196</v>
      </c>
      <c r="E479" s="50" t="s">
        <v>50</v>
      </c>
      <c r="F479" s="58">
        <v>8000</v>
      </c>
      <c r="G479" s="57">
        <v>8030.5</v>
      </c>
      <c r="H479" s="56">
        <v>0</v>
      </c>
      <c r="I479" s="58">
        <f t="shared" ref="I479:I511" si="55">G479-F479</f>
        <v>30.5</v>
      </c>
      <c r="J479" s="14">
        <f t="shared" ref="J479:J511" si="56">I479/F479*100</f>
        <v>0.38124999999999998</v>
      </c>
      <c r="K479" s="56">
        <v>1.92</v>
      </c>
      <c r="L479" s="15">
        <f t="shared" si="50"/>
        <v>0</v>
      </c>
      <c r="M479" s="16">
        <f t="shared" si="51"/>
        <v>181.57881599999999</v>
      </c>
      <c r="N479" s="17">
        <f t="shared" si="52"/>
        <v>1.92</v>
      </c>
      <c r="O479" s="17">
        <f t="shared" si="53"/>
        <v>15360</v>
      </c>
      <c r="P479" s="18">
        <f t="shared" si="54"/>
        <v>1452630.5279999999</v>
      </c>
      <c r="R479" s="66"/>
      <c r="S479" s="19"/>
      <c r="T479" s="20"/>
      <c r="U479" s="20"/>
      <c r="V479" s="20"/>
      <c r="W479" s="20"/>
      <c r="X479" s="20"/>
      <c r="Y479" s="20"/>
      <c r="Z479" s="20"/>
      <c r="AA479" s="20"/>
    </row>
    <row r="480" spans="1:27">
      <c r="A480" s="54">
        <v>45770</v>
      </c>
      <c r="B480" s="10">
        <v>45771</v>
      </c>
      <c r="C480" s="11">
        <f>VLOOKUP(B:B,'Курс валют'!A:D,4,0)</f>
        <v>94.572299999999998</v>
      </c>
      <c r="D480" s="58">
        <v>197</v>
      </c>
      <c r="E480" s="50" t="s">
        <v>60</v>
      </c>
      <c r="F480" s="58">
        <v>2025</v>
      </c>
      <c r="G480" s="57">
        <v>2063.6</v>
      </c>
      <c r="H480" s="56">
        <v>0</v>
      </c>
      <c r="I480" s="58">
        <f t="shared" si="55"/>
        <v>38.599999999999909</v>
      </c>
      <c r="J480" s="14">
        <f t="shared" si="56"/>
        <v>1.9061728395061686</v>
      </c>
      <c r="K480" s="56">
        <v>2.19</v>
      </c>
      <c r="L480" s="15">
        <f t="shared" si="50"/>
        <v>0</v>
      </c>
      <c r="M480" s="16">
        <f t="shared" si="51"/>
        <v>207.113337</v>
      </c>
      <c r="N480" s="17">
        <f t="shared" si="52"/>
        <v>2.19</v>
      </c>
      <c r="O480" s="17">
        <f t="shared" si="53"/>
        <v>4434.75</v>
      </c>
      <c r="P480" s="18">
        <f t="shared" si="54"/>
        <v>419404.50742500002</v>
      </c>
      <c r="R480" s="66"/>
      <c r="S480" s="19" t="s">
        <v>2388</v>
      </c>
      <c r="T480" s="20"/>
      <c r="U480" s="20"/>
      <c r="V480" s="20"/>
      <c r="W480" s="20"/>
      <c r="X480" s="20"/>
      <c r="Y480" s="20"/>
      <c r="Z480" s="20"/>
      <c r="AA480" s="20"/>
    </row>
    <row r="481" spans="1:27">
      <c r="A481" s="54">
        <v>45771</v>
      </c>
      <c r="B481" s="10">
        <v>45771</v>
      </c>
      <c r="C481" s="11">
        <v>92.015199999999993</v>
      </c>
      <c r="D481" s="58">
        <v>198</v>
      </c>
      <c r="E481" s="50" t="s">
        <v>2436</v>
      </c>
      <c r="F481" s="58">
        <v>39.92</v>
      </c>
      <c r="G481" s="57">
        <v>39.92</v>
      </c>
      <c r="H481" s="56">
        <v>0</v>
      </c>
      <c r="I481" s="58">
        <f t="shared" si="55"/>
        <v>0</v>
      </c>
      <c r="J481" s="14">
        <f t="shared" si="56"/>
        <v>0</v>
      </c>
      <c r="K481" s="56">
        <v>1.21</v>
      </c>
      <c r="L481" s="15">
        <f t="shared" si="50"/>
        <v>0</v>
      </c>
      <c r="M481" s="16">
        <f t="shared" si="51"/>
        <v>111.33839199999998</v>
      </c>
      <c r="N481" s="17">
        <f t="shared" si="52"/>
        <v>1.21</v>
      </c>
      <c r="O481" s="17">
        <f t="shared" si="53"/>
        <v>48.303200000000004</v>
      </c>
      <c r="P481" s="18">
        <f t="shared" si="54"/>
        <v>4444.6286086399996</v>
      </c>
      <c r="R481" s="66" t="s">
        <v>2437</v>
      </c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>
      <c r="A482" s="130">
        <v>45771</v>
      </c>
      <c r="B482" s="10">
        <v>45771</v>
      </c>
      <c r="C482" s="11"/>
      <c r="D482" s="58">
        <v>223</v>
      </c>
      <c r="E482" s="50" t="s">
        <v>2438</v>
      </c>
      <c r="F482" s="58">
        <v>2.58</v>
      </c>
      <c r="G482" s="57">
        <v>2.58</v>
      </c>
      <c r="H482" s="56"/>
      <c r="I482" s="58"/>
      <c r="J482" s="14"/>
      <c r="K482" s="56"/>
      <c r="L482" s="15"/>
      <c r="M482" s="16"/>
      <c r="N482" s="17"/>
      <c r="O482" s="17"/>
      <c r="P482" s="18"/>
      <c r="R482" s="66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>
      <c r="A483" s="54">
        <v>45771</v>
      </c>
      <c r="B483" s="10">
        <v>45771</v>
      </c>
      <c r="C483" s="11">
        <f>VLOOKUP(B:B,'Курс валют'!A:D,4,0)</f>
        <v>94.572299999999998</v>
      </c>
      <c r="D483" s="58">
        <v>199</v>
      </c>
      <c r="E483" s="50" t="s">
        <v>2439</v>
      </c>
      <c r="F483" s="58">
        <v>5.05</v>
      </c>
      <c r="G483" s="57">
        <v>5.05</v>
      </c>
      <c r="H483" s="56">
        <v>0</v>
      </c>
      <c r="I483" s="58">
        <f t="shared" ref="I483:I510" si="57">G483-F483</f>
        <v>0</v>
      </c>
      <c r="J483" s="14">
        <f t="shared" ref="J483:J510" si="58">I483/F483*100</f>
        <v>0</v>
      </c>
      <c r="K483" s="56">
        <v>1.21</v>
      </c>
      <c r="L483" s="15">
        <f t="shared" ref="L483:L546" si="59">H483/F483*100</f>
        <v>0</v>
      </c>
      <c r="M483" s="16">
        <f>P483/F483</f>
        <v>114.432483</v>
      </c>
      <c r="N483" s="17">
        <f t="shared" ref="N483:N546" si="60">(F483*K483-H483*3.04)/F483</f>
        <v>1.21</v>
      </c>
      <c r="O483" s="17">
        <f t="shared" ref="O483:O546" si="61">N483*F483</f>
        <v>6.1105</v>
      </c>
      <c r="P483" s="18">
        <f t="shared" ref="P483:P546" si="62">O483*C483</f>
        <v>577.88403915000004</v>
      </c>
      <c r="R483" s="66" t="s">
        <v>2439</v>
      </c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>
      <c r="A484" s="54">
        <v>45767</v>
      </c>
      <c r="B484" s="10">
        <v>45771</v>
      </c>
      <c r="C484" s="11">
        <f>VLOOKUP(B:B,'Курс валют'!A:D,4,0)</f>
        <v>94.572299999999998</v>
      </c>
      <c r="D484" s="58">
        <v>201</v>
      </c>
      <c r="E484" s="50" t="s">
        <v>2440</v>
      </c>
      <c r="F484" s="58">
        <v>1000</v>
      </c>
      <c r="G484" s="57">
        <v>1031</v>
      </c>
      <c r="H484" s="56">
        <v>0</v>
      </c>
      <c r="I484" s="58">
        <f t="shared" si="57"/>
        <v>31</v>
      </c>
      <c r="J484" s="14">
        <f t="shared" si="58"/>
        <v>3.1</v>
      </c>
      <c r="K484" s="56">
        <v>2.77</v>
      </c>
      <c r="L484" s="15">
        <f t="shared" si="59"/>
        <v>0</v>
      </c>
      <c r="M484" s="65"/>
      <c r="N484" s="17">
        <f t="shared" si="60"/>
        <v>2.77</v>
      </c>
      <c r="O484" s="17">
        <f t="shared" si="61"/>
        <v>2770</v>
      </c>
      <c r="P484" s="18">
        <f t="shared" si="62"/>
        <v>261965.27100000001</v>
      </c>
      <c r="S484" s="19" t="s">
        <v>2425</v>
      </c>
      <c r="T484" s="20"/>
      <c r="U484" s="20"/>
      <c r="V484" s="20"/>
      <c r="W484" s="20"/>
      <c r="X484" s="20"/>
      <c r="Y484" s="20"/>
      <c r="Z484" s="20"/>
      <c r="AA484" s="20"/>
    </row>
    <row r="485" spans="1:27">
      <c r="A485" s="54">
        <v>45768</v>
      </c>
      <c r="B485" s="10">
        <v>45771</v>
      </c>
      <c r="C485" s="11">
        <f>VLOOKUP(B:B,'Курс валют'!A:D,4,0)</f>
        <v>94.572299999999998</v>
      </c>
      <c r="D485" s="58">
        <v>202</v>
      </c>
      <c r="E485" s="50" t="s">
        <v>2440</v>
      </c>
      <c r="F485" s="58">
        <v>1000</v>
      </c>
      <c r="G485" s="57">
        <v>1031</v>
      </c>
      <c r="H485" s="49">
        <v>0</v>
      </c>
      <c r="I485" s="58">
        <f t="shared" si="57"/>
        <v>31</v>
      </c>
      <c r="J485" s="14">
        <f t="shared" si="58"/>
        <v>3.1</v>
      </c>
      <c r="K485" s="56">
        <v>2.77</v>
      </c>
      <c r="L485" s="15">
        <f t="shared" si="59"/>
        <v>0</v>
      </c>
      <c r="M485" s="16">
        <f t="shared" ref="M485:M522" si="63">P485/F485</f>
        <v>261.96527100000003</v>
      </c>
      <c r="N485" s="17">
        <f t="shared" si="60"/>
        <v>2.77</v>
      </c>
      <c r="O485" s="17">
        <f t="shared" si="61"/>
        <v>2770</v>
      </c>
      <c r="P485" s="18">
        <f t="shared" si="62"/>
        <v>261965.27100000001</v>
      </c>
      <c r="R485" s="66"/>
      <c r="S485" s="19" t="s">
        <v>2425</v>
      </c>
      <c r="T485" s="20"/>
      <c r="U485" s="20"/>
      <c r="V485" s="20"/>
      <c r="W485" s="20"/>
      <c r="X485" s="20"/>
      <c r="Y485" s="20"/>
      <c r="Z485" s="20"/>
      <c r="AA485" s="20"/>
    </row>
    <row r="486" spans="1:27">
      <c r="A486" s="54">
        <v>45769</v>
      </c>
      <c r="B486" s="10">
        <v>45771</v>
      </c>
      <c r="C486" s="11">
        <f>VLOOKUP(B:B,'Курс валют'!A:D,4,0)</f>
        <v>94.572299999999998</v>
      </c>
      <c r="D486" s="58">
        <v>203</v>
      </c>
      <c r="E486" s="50" t="s">
        <v>2440</v>
      </c>
      <c r="F486" s="58">
        <v>1000</v>
      </c>
      <c r="G486" s="57">
        <v>1034</v>
      </c>
      <c r="H486" s="49">
        <v>0</v>
      </c>
      <c r="I486" s="58">
        <f t="shared" si="57"/>
        <v>34</v>
      </c>
      <c r="J486" s="14">
        <f t="shared" si="58"/>
        <v>3.4000000000000004</v>
      </c>
      <c r="K486" s="56">
        <v>2.77</v>
      </c>
      <c r="L486" s="15">
        <f t="shared" si="59"/>
        <v>0</v>
      </c>
      <c r="M486" s="16">
        <f t="shared" si="63"/>
        <v>261.96527100000003</v>
      </c>
      <c r="N486" s="17">
        <f t="shared" si="60"/>
        <v>2.77</v>
      </c>
      <c r="O486" s="17">
        <f t="shared" si="61"/>
        <v>2770</v>
      </c>
      <c r="P486" s="18">
        <f t="shared" si="62"/>
        <v>261965.27100000001</v>
      </c>
      <c r="R486" s="65"/>
      <c r="S486" s="19" t="s">
        <v>2425</v>
      </c>
      <c r="T486" s="20"/>
      <c r="U486" s="20"/>
      <c r="V486" s="20"/>
      <c r="W486" s="20"/>
      <c r="X486" s="20"/>
      <c r="Y486" s="20"/>
      <c r="Z486" s="20"/>
      <c r="AA486" s="20"/>
    </row>
    <row r="487" spans="1:27">
      <c r="A487" s="54">
        <v>45770</v>
      </c>
      <c r="B487" s="10">
        <v>45771</v>
      </c>
      <c r="C487" s="11">
        <f>VLOOKUP(B:B,'Курс валют'!A:D,4,0)</f>
        <v>94.572299999999998</v>
      </c>
      <c r="D487" s="58">
        <v>204</v>
      </c>
      <c r="E487" s="50" t="s">
        <v>2440</v>
      </c>
      <c r="F487" s="58">
        <v>1000</v>
      </c>
      <c r="G487" s="57">
        <v>1032</v>
      </c>
      <c r="H487" s="49">
        <v>0</v>
      </c>
      <c r="I487" s="58">
        <f t="shared" si="57"/>
        <v>32</v>
      </c>
      <c r="J487" s="14">
        <f t="shared" si="58"/>
        <v>3.2</v>
      </c>
      <c r="K487" s="56">
        <v>2.77</v>
      </c>
      <c r="L487" s="15">
        <f t="shared" si="59"/>
        <v>0</v>
      </c>
      <c r="M487" s="16">
        <f t="shared" si="63"/>
        <v>261.96527100000003</v>
      </c>
      <c r="N487" s="17">
        <f t="shared" si="60"/>
        <v>2.77</v>
      </c>
      <c r="O487" s="17">
        <f t="shared" si="61"/>
        <v>2770</v>
      </c>
      <c r="P487" s="18">
        <f t="shared" si="62"/>
        <v>261965.27100000001</v>
      </c>
      <c r="R487" s="65"/>
      <c r="S487" s="19" t="s">
        <v>2425</v>
      </c>
      <c r="T487" s="20"/>
      <c r="U487" s="20"/>
      <c r="V487" s="20"/>
      <c r="W487" s="20"/>
      <c r="X487" s="20"/>
      <c r="Y487" s="20"/>
      <c r="Z487" s="20"/>
      <c r="AA487" s="20"/>
    </row>
    <row r="488" spans="1:27">
      <c r="A488" s="54">
        <v>45771</v>
      </c>
      <c r="B488" s="10">
        <v>45772</v>
      </c>
      <c r="C488" s="11">
        <f>VLOOKUP(B:B,'Курс валют'!A:D,4,0)</f>
        <v>94.712900000000005</v>
      </c>
      <c r="D488" s="58">
        <v>206</v>
      </c>
      <c r="E488" s="50" t="s">
        <v>50</v>
      </c>
      <c r="F488" s="58">
        <v>8000</v>
      </c>
      <c r="G488" s="57">
        <v>8026.607</v>
      </c>
      <c r="H488" s="49">
        <v>0</v>
      </c>
      <c r="I488" s="58">
        <f t="shared" si="57"/>
        <v>26.606999999999971</v>
      </c>
      <c r="J488" s="14">
        <f t="shared" si="58"/>
        <v>0.33258749999999965</v>
      </c>
      <c r="K488" s="53">
        <v>1.92</v>
      </c>
      <c r="L488" s="15">
        <f t="shared" si="59"/>
        <v>0</v>
      </c>
      <c r="M488" s="16">
        <f t="shared" si="63"/>
        <v>181.84876800000001</v>
      </c>
      <c r="N488" s="17">
        <f t="shared" si="60"/>
        <v>1.92</v>
      </c>
      <c r="O488" s="17">
        <f t="shared" si="61"/>
        <v>15360</v>
      </c>
      <c r="P488" s="18">
        <f t="shared" si="62"/>
        <v>1454790.1440000001</v>
      </c>
      <c r="R488" s="65"/>
      <c r="S488" s="19" t="s">
        <v>2388</v>
      </c>
      <c r="T488" s="20"/>
      <c r="U488" s="20"/>
      <c r="V488" s="20"/>
      <c r="W488" s="20"/>
      <c r="X488" s="20"/>
      <c r="Y488" s="20"/>
      <c r="Z488" s="20"/>
      <c r="AA488" s="20"/>
    </row>
    <row r="489" spans="1:27">
      <c r="A489" s="54">
        <v>45771</v>
      </c>
      <c r="B489" s="10">
        <v>45773</v>
      </c>
      <c r="C489" s="11">
        <f>VLOOKUP(B:B,'Курс валют'!A:D,4,0)</f>
        <v>94.359300000000005</v>
      </c>
      <c r="D489" s="58">
        <v>207</v>
      </c>
      <c r="E489" s="50" t="s">
        <v>60</v>
      </c>
      <c r="F489" s="58">
        <v>2025</v>
      </c>
      <c r="G489" s="57">
        <v>2062.6</v>
      </c>
      <c r="H489" s="56">
        <v>0</v>
      </c>
      <c r="I489" s="58">
        <f t="shared" si="57"/>
        <v>37.599999999999909</v>
      </c>
      <c r="J489" s="14">
        <f t="shared" si="58"/>
        <v>1.8567901234567856</v>
      </c>
      <c r="K489" s="53">
        <v>2.1800000000000002</v>
      </c>
      <c r="L489" s="15">
        <f t="shared" si="59"/>
        <v>0</v>
      </c>
      <c r="M489" s="16">
        <f t="shared" si="63"/>
        <v>205.70327400000002</v>
      </c>
      <c r="N489" s="17">
        <f t="shared" si="60"/>
        <v>2.1800000000000002</v>
      </c>
      <c r="O489" s="17">
        <f t="shared" si="61"/>
        <v>4414.5</v>
      </c>
      <c r="P489" s="18">
        <f t="shared" si="62"/>
        <v>416549.12985000003</v>
      </c>
      <c r="R489" s="65"/>
      <c r="S489" s="19" t="s">
        <v>2388</v>
      </c>
      <c r="T489" s="20"/>
      <c r="U489" s="20"/>
      <c r="V489" s="20"/>
      <c r="W489" s="20"/>
      <c r="X489" s="20"/>
      <c r="Y489" s="20"/>
      <c r="Z489" s="20"/>
      <c r="AA489" s="20"/>
    </row>
    <row r="490" spans="1:27">
      <c r="A490" s="54">
        <v>45771</v>
      </c>
      <c r="B490" s="10">
        <v>45774</v>
      </c>
      <c r="C490" s="11">
        <f>VLOOKUP(B:B,'Курс валют'!A:D,4,0)</f>
        <v>94.359300000000005</v>
      </c>
      <c r="D490" s="58">
        <v>208</v>
      </c>
      <c r="E490" s="50" t="s">
        <v>60</v>
      </c>
      <c r="F490" s="58">
        <v>2250</v>
      </c>
      <c r="G490" s="57">
        <v>2291.9299999999998</v>
      </c>
      <c r="H490" s="56">
        <v>0</v>
      </c>
      <c r="I490" s="58">
        <f t="shared" si="57"/>
        <v>41.929999999999836</v>
      </c>
      <c r="J490" s="14">
        <f t="shared" si="58"/>
        <v>1.8635555555555481</v>
      </c>
      <c r="K490" s="53">
        <v>2.1800000000000002</v>
      </c>
      <c r="L490" s="15">
        <f t="shared" si="59"/>
        <v>0</v>
      </c>
      <c r="M490" s="16">
        <f t="shared" si="63"/>
        <v>205.70327399999999</v>
      </c>
      <c r="N490" s="17">
        <f t="shared" si="60"/>
        <v>2.1800000000000002</v>
      </c>
      <c r="O490" s="17">
        <f t="shared" si="61"/>
        <v>4905</v>
      </c>
      <c r="P490" s="18">
        <f t="shared" si="62"/>
        <v>462832.3665</v>
      </c>
      <c r="R490" s="65"/>
      <c r="S490" s="19" t="s">
        <v>2388</v>
      </c>
      <c r="T490" s="20"/>
      <c r="U490" s="20"/>
      <c r="V490" s="20"/>
      <c r="W490" s="20"/>
      <c r="X490" s="20"/>
      <c r="Y490" s="20"/>
      <c r="Z490" s="20"/>
      <c r="AA490" s="20"/>
    </row>
    <row r="491" spans="1:27">
      <c r="A491" s="54">
        <v>45772</v>
      </c>
      <c r="B491" s="10">
        <v>45772</v>
      </c>
      <c r="C491" s="11">
        <f>VLOOKUP(B:B,'Курс валют'!A:D,4,0)</f>
        <v>94.712900000000005</v>
      </c>
      <c r="D491" s="58">
        <v>209</v>
      </c>
      <c r="E491" s="50" t="s">
        <v>2441</v>
      </c>
      <c r="F491" s="58">
        <v>30</v>
      </c>
      <c r="G491" s="57">
        <v>30</v>
      </c>
      <c r="H491" s="56">
        <v>0</v>
      </c>
      <c r="I491" s="58">
        <f t="shared" si="57"/>
        <v>0</v>
      </c>
      <c r="J491" s="14">
        <f t="shared" si="58"/>
        <v>0</v>
      </c>
      <c r="K491" s="56">
        <v>3.91</v>
      </c>
      <c r="L491" s="15">
        <f t="shared" si="59"/>
        <v>0</v>
      </c>
      <c r="M491" s="16">
        <f t="shared" si="63"/>
        <v>370.32743900000003</v>
      </c>
      <c r="N491" s="17">
        <f t="shared" si="60"/>
        <v>3.9100000000000006</v>
      </c>
      <c r="O491" s="17">
        <f t="shared" si="61"/>
        <v>117.30000000000001</v>
      </c>
      <c r="P491" s="18">
        <f t="shared" si="62"/>
        <v>11109.823170000001</v>
      </c>
      <c r="R491" s="66" t="s">
        <v>2442</v>
      </c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>
      <c r="A492" s="54">
        <v>45772</v>
      </c>
      <c r="B492" s="10">
        <v>45775</v>
      </c>
      <c r="C492" s="11">
        <f>VLOOKUP(B:B,'Курс валют'!A:D,4,0)</f>
        <v>94.359300000000005</v>
      </c>
      <c r="D492" s="58">
        <v>210</v>
      </c>
      <c r="E492" s="55" t="s">
        <v>50</v>
      </c>
      <c r="F492" s="58">
        <v>8000</v>
      </c>
      <c r="G492" s="57">
        <v>8016.5</v>
      </c>
      <c r="H492" s="56">
        <v>0</v>
      </c>
      <c r="I492" s="58">
        <f t="shared" si="57"/>
        <v>16.5</v>
      </c>
      <c r="J492" s="14">
        <f t="shared" si="58"/>
        <v>0.20625000000000002</v>
      </c>
      <c r="K492" s="56">
        <v>1.92</v>
      </c>
      <c r="L492" s="15">
        <f t="shared" si="59"/>
        <v>0</v>
      </c>
      <c r="M492" s="16">
        <f t="shared" si="63"/>
        <v>181.16985600000001</v>
      </c>
      <c r="N492" s="17">
        <f t="shared" si="60"/>
        <v>1.92</v>
      </c>
      <c r="O492" s="17">
        <f t="shared" si="61"/>
        <v>15360</v>
      </c>
      <c r="P492" s="18">
        <f t="shared" si="62"/>
        <v>1449358.848</v>
      </c>
      <c r="R492" s="66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>
      <c r="A493" s="54">
        <v>45772</v>
      </c>
      <c r="B493" s="10">
        <v>45775</v>
      </c>
      <c r="C493" s="11">
        <f>VLOOKUP(B:B,'Курс валют'!A:D,4,0)</f>
        <v>94.359300000000005</v>
      </c>
      <c r="D493" s="58">
        <v>212</v>
      </c>
      <c r="E493" s="55" t="s">
        <v>50</v>
      </c>
      <c r="F493" s="58">
        <v>8000</v>
      </c>
      <c r="G493" s="58">
        <v>8023.5</v>
      </c>
      <c r="H493" s="56">
        <v>0</v>
      </c>
      <c r="I493" s="58">
        <f t="shared" si="57"/>
        <v>23.5</v>
      </c>
      <c r="J493" s="14">
        <f t="shared" si="58"/>
        <v>0.29375000000000001</v>
      </c>
      <c r="K493" s="56">
        <v>1.92</v>
      </c>
      <c r="L493" s="15">
        <f t="shared" si="59"/>
        <v>0</v>
      </c>
      <c r="M493" s="16">
        <f t="shared" si="63"/>
        <v>181.16985600000001</v>
      </c>
      <c r="N493" s="17">
        <f t="shared" si="60"/>
        <v>1.92</v>
      </c>
      <c r="O493" s="17">
        <f t="shared" si="61"/>
        <v>15360</v>
      </c>
      <c r="P493" s="18">
        <f t="shared" si="62"/>
        <v>1449358.848</v>
      </c>
      <c r="R493" s="65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>
      <c r="A494" s="54">
        <v>45772</v>
      </c>
      <c r="B494" s="10">
        <v>45775</v>
      </c>
      <c r="C494" s="11">
        <f>VLOOKUP(B:B,'Курс валют'!A:D,4,0)</f>
        <v>94.359300000000005</v>
      </c>
      <c r="D494" s="58">
        <v>214</v>
      </c>
      <c r="E494" s="55" t="s">
        <v>50</v>
      </c>
      <c r="F494" s="58">
        <v>8000</v>
      </c>
      <c r="G494" s="58">
        <v>8024.5</v>
      </c>
      <c r="H494" s="56">
        <v>0</v>
      </c>
      <c r="I494" s="58">
        <f t="shared" si="57"/>
        <v>24.5</v>
      </c>
      <c r="J494" s="14">
        <f t="shared" si="58"/>
        <v>0.30625000000000002</v>
      </c>
      <c r="K494" s="56">
        <v>1.92</v>
      </c>
      <c r="L494" s="15">
        <f t="shared" si="59"/>
        <v>0</v>
      </c>
      <c r="M494" s="16">
        <f t="shared" si="63"/>
        <v>181.16985600000001</v>
      </c>
      <c r="N494" s="17">
        <f t="shared" si="60"/>
        <v>1.92</v>
      </c>
      <c r="O494" s="17">
        <f t="shared" si="61"/>
        <v>15360</v>
      </c>
      <c r="P494" s="18">
        <f t="shared" si="62"/>
        <v>1449358.848</v>
      </c>
      <c r="R494" s="65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>
      <c r="A495" s="54">
        <v>45773</v>
      </c>
      <c r="B495" s="10">
        <v>45775</v>
      </c>
      <c r="C495" s="11">
        <f>VLOOKUP(B:B,'Курс валют'!A:D,4,0)</f>
        <v>94.359300000000005</v>
      </c>
      <c r="D495" s="58">
        <v>211</v>
      </c>
      <c r="E495" s="55" t="s">
        <v>60</v>
      </c>
      <c r="F495" s="58">
        <v>2260</v>
      </c>
      <c r="G495" s="58">
        <v>2291.1999999999998</v>
      </c>
      <c r="H495" s="56">
        <v>0</v>
      </c>
      <c r="I495" s="58">
        <f t="shared" si="57"/>
        <v>31.199999999999818</v>
      </c>
      <c r="J495" s="14">
        <f t="shared" si="58"/>
        <v>1.3805309734513194</v>
      </c>
      <c r="K495" s="56">
        <v>2.17</v>
      </c>
      <c r="L495" s="15">
        <f t="shared" si="59"/>
        <v>0</v>
      </c>
      <c r="M495" s="16">
        <f t="shared" si="63"/>
        <v>204.759681</v>
      </c>
      <c r="N495" s="17">
        <f t="shared" si="60"/>
        <v>2.17</v>
      </c>
      <c r="O495" s="17">
        <f t="shared" si="61"/>
        <v>4904.2</v>
      </c>
      <c r="P495" s="18">
        <f t="shared" si="62"/>
        <v>462756.87906000001</v>
      </c>
      <c r="R495" s="66" t="s">
        <v>2443</v>
      </c>
      <c r="S495" s="19" t="s">
        <v>2388</v>
      </c>
      <c r="T495" s="20"/>
      <c r="U495" s="20"/>
      <c r="V495" s="20"/>
      <c r="W495" s="20"/>
      <c r="X495" s="20"/>
      <c r="Y495" s="20"/>
      <c r="Z495" s="20"/>
      <c r="AA495" s="20"/>
    </row>
    <row r="496" spans="1:27">
      <c r="A496" s="54">
        <v>45773</v>
      </c>
      <c r="B496" s="10">
        <v>45775</v>
      </c>
      <c r="C496" s="11">
        <f>VLOOKUP(B:B,'Курс валют'!A:D,4,0)</f>
        <v>94.359300000000005</v>
      </c>
      <c r="D496" s="58">
        <v>213</v>
      </c>
      <c r="E496" s="55" t="s">
        <v>60</v>
      </c>
      <c r="F496" s="58">
        <v>2265</v>
      </c>
      <c r="G496" s="58">
        <v>2293</v>
      </c>
      <c r="H496" s="56">
        <v>0</v>
      </c>
      <c r="I496" s="58">
        <f t="shared" si="57"/>
        <v>28</v>
      </c>
      <c r="J496" s="14">
        <f t="shared" si="58"/>
        <v>1.2362030905077264</v>
      </c>
      <c r="K496" s="56">
        <v>2.17</v>
      </c>
      <c r="L496" s="15">
        <f t="shared" si="59"/>
        <v>0</v>
      </c>
      <c r="M496" s="16">
        <f t="shared" si="63"/>
        <v>204.759681</v>
      </c>
      <c r="N496" s="17">
        <f t="shared" si="60"/>
        <v>2.17</v>
      </c>
      <c r="O496" s="17">
        <f t="shared" si="61"/>
        <v>4915.05</v>
      </c>
      <c r="P496" s="18">
        <f t="shared" si="62"/>
        <v>463780.67746500002</v>
      </c>
      <c r="R496" s="66" t="s">
        <v>2444</v>
      </c>
      <c r="S496" s="19" t="s">
        <v>2388</v>
      </c>
      <c r="T496" s="20"/>
      <c r="U496" s="20"/>
      <c r="V496" s="20"/>
      <c r="W496" s="20"/>
      <c r="X496" s="20"/>
      <c r="Y496" s="20"/>
      <c r="Z496" s="20"/>
      <c r="AA496" s="20"/>
    </row>
    <row r="497" spans="1:27">
      <c r="A497" s="54">
        <v>45773</v>
      </c>
      <c r="B497" s="10">
        <v>45775</v>
      </c>
      <c r="C497" s="11">
        <f>VLOOKUP(B:B,'Курс валют'!A:D,4,0)</f>
        <v>94.359300000000005</v>
      </c>
      <c r="D497" s="58">
        <v>215</v>
      </c>
      <c r="E497" s="55" t="s">
        <v>60</v>
      </c>
      <c r="F497" s="58">
        <v>2260</v>
      </c>
      <c r="G497" s="58">
        <v>2293</v>
      </c>
      <c r="H497" s="56">
        <v>0</v>
      </c>
      <c r="I497" s="58">
        <f t="shared" si="57"/>
        <v>33</v>
      </c>
      <c r="J497" s="14">
        <f t="shared" si="58"/>
        <v>1.4601769911504425</v>
      </c>
      <c r="K497" s="56">
        <v>2.17</v>
      </c>
      <c r="L497" s="15">
        <f t="shared" si="59"/>
        <v>0</v>
      </c>
      <c r="M497" s="16">
        <f t="shared" si="63"/>
        <v>204.759681</v>
      </c>
      <c r="N497" s="17">
        <f t="shared" si="60"/>
        <v>2.17</v>
      </c>
      <c r="O497" s="17">
        <f t="shared" si="61"/>
        <v>4904.2</v>
      </c>
      <c r="P497" s="18">
        <f t="shared" si="62"/>
        <v>462756.87906000001</v>
      </c>
      <c r="R497" s="66" t="s">
        <v>2445</v>
      </c>
      <c r="S497" s="19" t="s">
        <v>2388</v>
      </c>
      <c r="T497" s="20"/>
      <c r="U497" s="20"/>
      <c r="V497" s="20"/>
      <c r="W497" s="20"/>
      <c r="X497" s="20"/>
      <c r="Y497" s="20"/>
      <c r="Z497" s="20"/>
      <c r="AA497" s="20"/>
    </row>
    <row r="498" spans="1:27">
      <c r="A498" s="54">
        <v>45775</v>
      </c>
      <c r="B498" s="10">
        <v>45775</v>
      </c>
      <c r="C498" s="11">
        <f>VLOOKUP(B:B,'Курс валют'!A:D,4,0)</f>
        <v>94.359300000000005</v>
      </c>
      <c r="D498" s="58">
        <v>216</v>
      </c>
      <c r="E498" s="55" t="s">
        <v>15</v>
      </c>
      <c r="F498" s="58">
        <v>9900</v>
      </c>
      <c r="G498" s="58">
        <v>9928</v>
      </c>
      <c r="H498" s="56">
        <v>178</v>
      </c>
      <c r="I498" s="58">
        <f t="shared" si="57"/>
        <v>28</v>
      </c>
      <c r="J498" s="14">
        <f t="shared" si="58"/>
        <v>0.28282828282828282</v>
      </c>
      <c r="K498" s="56">
        <v>2.63</v>
      </c>
      <c r="L498" s="15">
        <f t="shared" si="59"/>
        <v>1.797979797979798</v>
      </c>
      <c r="M498" s="16">
        <f t="shared" si="63"/>
        <v>243.00741309939394</v>
      </c>
      <c r="N498" s="17">
        <f t="shared" si="60"/>
        <v>2.5753414141414144</v>
      </c>
      <c r="O498" s="17">
        <f t="shared" si="61"/>
        <v>25495.88</v>
      </c>
      <c r="P498" s="18">
        <f t="shared" si="62"/>
        <v>2405773.3896840001</v>
      </c>
      <c r="R498" s="66" t="s">
        <v>2446</v>
      </c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>
      <c r="A499" s="54">
        <v>45775</v>
      </c>
      <c r="B499" s="10">
        <v>45775</v>
      </c>
      <c r="C499" s="11">
        <f>VLOOKUP(B:B,'Курс валют'!A:D,4,0)</f>
        <v>94.359300000000005</v>
      </c>
      <c r="D499" s="58">
        <v>217</v>
      </c>
      <c r="E499" s="55" t="s">
        <v>15</v>
      </c>
      <c r="F499" s="58">
        <v>9900</v>
      </c>
      <c r="G499" s="58">
        <v>9928</v>
      </c>
      <c r="H499" s="56">
        <v>178</v>
      </c>
      <c r="I499" s="58">
        <f t="shared" si="57"/>
        <v>28</v>
      </c>
      <c r="J499" s="14">
        <f t="shared" si="58"/>
        <v>0.28282828282828282</v>
      </c>
      <c r="K499" s="56">
        <v>2.63</v>
      </c>
      <c r="L499" s="15">
        <f t="shared" si="59"/>
        <v>1.797979797979798</v>
      </c>
      <c r="M499" s="16">
        <f t="shared" si="63"/>
        <v>243.00741309939394</v>
      </c>
      <c r="N499" s="17">
        <f t="shared" si="60"/>
        <v>2.5753414141414144</v>
      </c>
      <c r="O499" s="17">
        <f t="shared" si="61"/>
        <v>25495.88</v>
      </c>
      <c r="P499" s="18">
        <f t="shared" si="62"/>
        <v>2405773.3896840001</v>
      </c>
      <c r="R499" s="66" t="s">
        <v>2447</v>
      </c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>
      <c r="A500" s="54">
        <v>45772</v>
      </c>
      <c r="B500" s="10">
        <v>45775</v>
      </c>
      <c r="C500" s="11">
        <f>VLOOKUP(B:B,'Курс валют'!A:D,4,0)</f>
        <v>94.359300000000005</v>
      </c>
      <c r="D500" s="58">
        <v>218</v>
      </c>
      <c r="E500" s="55" t="s">
        <v>2440</v>
      </c>
      <c r="F500" s="58">
        <v>1000</v>
      </c>
      <c r="G500" s="58">
        <v>1034</v>
      </c>
      <c r="H500" s="56">
        <v>0</v>
      </c>
      <c r="I500" s="58">
        <f t="shared" si="57"/>
        <v>34</v>
      </c>
      <c r="J500" s="14">
        <f t="shared" si="58"/>
        <v>3.4000000000000004</v>
      </c>
      <c r="K500" s="56">
        <v>2.78</v>
      </c>
      <c r="L500" s="15">
        <f t="shared" si="59"/>
        <v>0</v>
      </c>
      <c r="M500" s="16">
        <f t="shared" si="63"/>
        <v>262.31885399999999</v>
      </c>
      <c r="N500" s="17">
        <f t="shared" si="60"/>
        <v>2.78</v>
      </c>
      <c r="O500" s="17">
        <f t="shared" si="61"/>
        <v>2780</v>
      </c>
      <c r="P500" s="18">
        <f t="shared" si="62"/>
        <v>262318.85399999999</v>
      </c>
      <c r="R500" s="66" t="s">
        <v>2448</v>
      </c>
      <c r="S500" s="19" t="s">
        <v>2425</v>
      </c>
      <c r="T500" s="20"/>
      <c r="U500" s="20"/>
      <c r="V500" s="20"/>
      <c r="W500" s="20"/>
      <c r="X500" s="20"/>
      <c r="Y500" s="20"/>
      <c r="Z500" s="20"/>
      <c r="AA500" s="20"/>
    </row>
    <row r="501" spans="1:27">
      <c r="A501" s="54">
        <v>45775</v>
      </c>
      <c r="B501" s="10">
        <v>45775</v>
      </c>
      <c r="C501" s="11">
        <f>VLOOKUP(B:B,'Курс валют'!A:D,4,0)</f>
        <v>94.359300000000005</v>
      </c>
      <c r="D501" s="58">
        <v>219</v>
      </c>
      <c r="E501" s="55" t="s">
        <v>102</v>
      </c>
      <c r="F501" s="58">
        <v>23.18</v>
      </c>
      <c r="G501" s="58">
        <v>23.18</v>
      </c>
      <c r="H501" s="56">
        <v>0</v>
      </c>
      <c r="I501" s="58">
        <f t="shared" si="57"/>
        <v>0</v>
      </c>
      <c r="J501" s="14">
        <f t="shared" si="58"/>
        <v>0</v>
      </c>
      <c r="K501" s="56">
        <v>1.2</v>
      </c>
      <c r="L501" s="15">
        <f t="shared" si="59"/>
        <v>0</v>
      </c>
      <c r="M501" s="16">
        <f t="shared" si="63"/>
        <v>113.23116000000002</v>
      </c>
      <c r="N501" s="17">
        <f t="shared" si="60"/>
        <v>1.2</v>
      </c>
      <c r="O501" s="17">
        <f t="shared" si="61"/>
        <v>27.815999999999999</v>
      </c>
      <c r="P501" s="18">
        <f t="shared" si="62"/>
        <v>2624.6982888000002</v>
      </c>
      <c r="R501" s="66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>
      <c r="A502" s="54">
        <v>45775</v>
      </c>
      <c r="B502" s="10">
        <v>45776</v>
      </c>
      <c r="C502" s="11">
        <f>VLOOKUP(B:B,'Курс валют'!A:D,4,0)</f>
        <v>93.180099999999996</v>
      </c>
      <c r="D502" s="58">
        <v>220</v>
      </c>
      <c r="E502" s="55" t="s">
        <v>2449</v>
      </c>
      <c r="F502" s="58">
        <v>1585</v>
      </c>
      <c r="G502" s="58">
        <v>1609.7</v>
      </c>
      <c r="H502" s="56">
        <v>0</v>
      </c>
      <c r="I502" s="58">
        <f t="shared" si="57"/>
        <v>24.700000000000045</v>
      </c>
      <c r="J502" s="14">
        <f t="shared" si="58"/>
        <v>1.5583596214511071</v>
      </c>
      <c r="K502" s="56">
        <v>1.94</v>
      </c>
      <c r="L502" s="15">
        <f t="shared" si="59"/>
        <v>0</v>
      </c>
      <c r="M502" s="16">
        <f t="shared" si="63"/>
        <v>180.76939400000001</v>
      </c>
      <c r="N502" s="17">
        <f t="shared" si="60"/>
        <v>1.94</v>
      </c>
      <c r="O502" s="17">
        <f t="shared" si="61"/>
        <v>3074.9</v>
      </c>
      <c r="P502" s="18">
        <f t="shared" si="62"/>
        <v>286519.48949000001</v>
      </c>
      <c r="R502" s="66" t="s">
        <v>2450</v>
      </c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>
      <c r="A503" s="54">
        <v>45775</v>
      </c>
      <c r="B503" s="10">
        <v>45776</v>
      </c>
      <c r="C503" s="11">
        <f>VLOOKUP(B:B,'Курс валют'!A:D,4,0)</f>
        <v>93.180099999999996</v>
      </c>
      <c r="D503" s="58">
        <v>221</v>
      </c>
      <c r="E503" s="55" t="s">
        <v>68</v>
      </c>
      <c r="F503" s="58">
        <v>8000</v>
      </c>
      <c r="G503" s="58">
        <v>8020</v>
      </c>
      <c r="H503" s="56">
        <v>761</v>
      </c>
      <c r="I503" s="58">
        <f t="shared" si="57"/>
        <v>20</v>
      </c>
      <c r="J503" s="14">
        <f t="shared" si="58"/>
        <v>0.25</v>
      </c>
      <c r="K503" s="56">
        <v>2.16</v>
      </c>
      <c r="L503" s="15">
        <f t="shared" si="59"/>
        <v>9.5124999999999993</v>
      </c>
      <c r="M503" s="16">
        <f t="shared" si="63"/>
        <v>174.32319468199998</v>
      </c>
      <c r="N503" s="17">
        <f t="shared" si="60"/>
        <v>1.8708199999999999</v>
      </c>
      <c r="O503" s="17">
        <f t="shared" si="61"/>
        <v>14966.56</v>
      </c>
      <c r="P503" s="18">
        <f t="shared" si="62"/>
        <v>1394585.5574559998</v>
      </c>
      <c r="R503" s="66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>
      <c r="A504" s="54">
        <v>45776</v>
      </c>
      <c r="B504" s="10">
        <v>45776</v>
      </c>
      <c r="C504" s="11">
        <f>VLOOKUP(B:B,'Курс валют'!A:D,4,0)</f>
        <v>93.180099999999996</v>
      </c>
      <c r="D504" s="58">
        <v>222</v>
      </c>
      <c r="E504" s="55" t="s">
        <v>15</v>
      </c>
      <c r="F504" s="58">
        <v>9900</v>
      </c>
      <c r="G504" s="58">
        <v>9928</v>
      </c>
      <c r="H504" s="56">
        <v>178</v>
      </c>
      <c r="I504" s="58">
        <f t="shared" si="57"/>
        <v>28</v>
      </c>
      <c r="J504" s="14">
        <f t="shared" si="58"/>
        <v>0.28282828282828282</v>
      </c>
      <c r="K504" s="56">
        <v>2.58</v>
      </c>
      <c r="L504" s="15">
        <f t="shared" si="59"/>
        <v>1.797979797979798</v>
      </c>
      <c r="M504" s="16">
        <f t="shared" si="63"/>
        <v>235.31156550383841</v>
      </c>
      <c r="N504" s="17">
        <f t="shared" si="60"/>
        <v>2.5253414141414141</v>
      </c>
      <c r="O504" s="17">
        <f t="shared" si="61"/>
        <v>25000.880000000001</v>
      </c>
      <c r="P504" s="18">
        <f t="shared" si="62"/>
        <v>2329584.4984880001</v>
      </c>
      <c r="R504" s="66" t="s">
        <v>2451</v>
      </c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>
      <c r="A505" s="54">
        <v>45776</v>
      </c>
      <c r="B505" s="10">
        <v>45777</v>
      </c>
      <c r="C505" s="11">
        <f>VLOOKUP(B:B,'Курс валют'!A:D,4,0)</f>
        <v>93.173000000000002</v>
      </c>
      <c r="D505" s="58">
        <v>224</v>
      </c>
      <c r="E505" s="55" t="s">
        <v>2449</v>
      </c>
      <c r="F505" s="58">
        <v>2050</v>
      </c>
      <c r="G505" s="58">
        <v>2078.23</v>
      </c>
      <c r="H505" s="56">
        <v>0</v>
      </c>
      <c r="I505" s="58">
        <f t="shared" si="57"/>
        <v>28.230000000000018</v>
      </c>
      <c r="J505" s="14">
        <f t="shared" si="58"/>
        <v>1.3770731707317081</v>
      </c>
      <c r="K505" s="56">
        <v>1.98</v>
      </c>
      <c r="L505" s="15">
        <f t="shared" si="59"/>
        <v>0</v>
      </c>
      <c r="M505" s="16">
        <f t="shared" si="63"/>
        <v>184.48254</v>
      </c>
      <c r="N505" s="17">
        <f t="shared" si="60"/>
        <v>1.98</v>
      </c>
      <c r="O505" s="17">
        <f t="shared" si="61"/>
        <v>4059</v>
      </c>
      <c r="P505" s="18">
        <f t="shared" si="62"/>
        <v>378189.20699999999</v>
      </c>
      <c r="R505" s="66" t="s">
        <v>2452</v>
      </c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>
      <c r="A506" s="54">
        <v>45776</v>
      </c>
      <c r="B506" s="10">
        <v>45777</v>
      </c>
      <c r="C506" s="11">
        <f>VLOOKUP(B:B,'Курс валют'!A:D,4,0)</f>
        <v>93.173000000000002</v>
      </c>
      <c r="D506" s="58">
        <v>225</v>
      </c>
      <c r="E506" s="55" t="s">
        <v>15</v>
      </c>
      <c r="F506" s="58">
        <v>1100</v>
      </c>
      <c r="G506" s="58">
        <v>1103</v>
      </c>
      <c r="H506" s="56">
        <v>20</v>
      </c>
      <c r="I506" s="58">
        <f t="shared" si="57"/>
        <v>3</v>
      </c>
      <c r="J506" s="14">
        <f t="shared" si="58"/>
        <v>0.27272727272727276</v>
      </c>
      <c r="K506" s="56">
        <v>2.58</v>
      </c>
      <c r="L506" s="15">
        <f t="shared" si="59"/>
        <v>1.8181818181818181</v>
      </c>
      <c r="M506" s="16">
        <f t="shared" si="63"/>
        <v>235.23641418181816</v>
      </c>
      <c r="N506" s="17">
        <f t="shared" si="60"/>
        <v>2.5247272727272727</v>
      </c>
      <c r="O506" s="17">
        <f t="shared" si="61"/>
        <v>2777.2</v>
      </c>
      <c r="P506" s="18">
        <f t="shared" si="62"/>
        <v>258760.05559999999</v>
      </c>
      <c r="R506" s="66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>
      <c r="A507" s="131">
        <v>45774</v>
      </c>
      <c r="B507" s="10">
        <v>45775</v>
      </c>
      <c r="C507" s="11">
        <f>VLOOKUP(B:B,'Курс валют'!A:D,4,0)</f>
        <v>94.359300000000005</v>
      </c>
      <c r="D507" s="58">
        <v>233</v>
      </c>
      <c r="E507" s="55" t="s">
        <v>56</v>
      </c>
      <c r="F507" s="58">
        <v>1000</v>
      </c>
      <c r="G507" s="58">
        <v>1033.5</v>
      </c>
      <c r="H507" s="56">
        <v>0</v>
      </c>
      <c r="I507" s="58">
        <f t="shared" si="57"/>
        <v>33.5</v>
      </c>
      <c r="J507" s="14">
        <f t="shared" si="58"/>
        <v>3.35</v>
      </c>
      <c r="K507" s="56">
        <v>3.19</v>
      </c>
      <c r="L507" s="15">
        <f t="shared" si="59"/>
        <v>0</v>
      </c>
      <c r="M507" s="16">
        <f t="shared" si="63"/>
        <v>301.006167</v>
      </c>
      <c r="N507" s="17">
        <f t="shared" si="60"/>
        <v>3.19</v>
      </c>
      <c r="O507" s="17">
        <f t="shared" si="61"/>
        <v>3190</v>
      </c>
      <c r="P507" s="18">
        <f t="shared" si="62"/>
        <v>301006.16700000002</v>
      </c>
      <c r="R507" s="66"/>
      <c r="S507" s="19" t="s">
        <v>2425</v>
      </c>
      <c r="T507" s="20"/>
      <c r="U507" s="20"/>
      <c r="V507" s="20"/>
      <c r="W507" s="20"/>
      <c r="X507" s="20"/>
      <c r="Y507" s="20"/>
      <c r="Z507" s="20"/>
      <c r="AA507" s="20"/>
    </row>
    <row r="508" spans="1:27">
      <c r="A508" s="131">
        <v>45774</v>
      </c>
      <c r="B508" s="10">
        <v>45776</v>
      </c>
      <c r="C508" s="11">
        <f>VLOOKUP(B:B,'Курс валют'!A:D,4,0)</f>
        <v>93.180099999999996</v>
      </c>
      <c r="D508" s="58">
        <v>234</v>
      </c>
      <c r="E508" s="55" t="s">
        <v>56</v>
      </c>
      <c r="F508" s="58">
        <v>1000</v>
      </c>
      <c r="G508" s="58">
        <v>1036.5</v>
      </c>
      <c r="H508" s="56">
        <v>0</v>
      </c>
      <c r="I508" s="58">
        <f t="shared" si="57"/>
        <v>36.5</v>
      </c>
      <c r="J508" s="14">
        <f t="shared" si="58"/>
        <v>3.65</v>
      </c>
      <c r="K508" s="56">
        <v>3.19</v>
      </c>
      <c r="L508" s="15">
        <f t="shared" si="59"/>
        <v>0</v>
      </c>
      <c r="M508" s="16">
        <f t="shared" si="63"/>
        <v>297.24451899999997</v>
      </c>
      <c r="N508" s="17">
        <f t="shared" si="60"/>
        <v>3.19</v>
      </c>
      <c r="O508" s="17">
        <f t="shared" si="61"/>
        <v>3190</v>
      </c>
      <c r="P508" s="18">
        <f t="shared" si="62"/>
        <v>297244.51899999997</v>
      </c>
      <c r="R508" s="66"/>
      <c r="S508" s="19" t="s">
        <v>2425</v>
      </c>
      <c r="T508" s="20"/>
      <c r="U508" s="20"/>
      <c r="V508" s="20"/>
      <c r="W508" s="20"/>
      <c r="X508" s="20"/>
      <c r="Y508" s="20"/>
      <c r="Z508" s="20"/>
      <c r="AA508" s="20"/>
    </row>
    <row r="509" spans="1:27">
      <c r="A509" s="131">
        <v>45774</v>
      </c>
      <c r="B509" s="10">
        <v>45776</v>
      </c>
      <c r="C509" s="11">
        <f>VLOOKUP(B:B,'Курс валют'!A:D,4,0)</f>
        <v>93.180099999999996</v>
      </c>
      <c r="D509" s="58">
        <v>235</v>
      </c>
      <c r="E509" s="55" t="s">
        <v>56</v>
      </c>
      <c r="F509" s="58">
        <v>1000</v>
      </c>
      <c r="G509" s="58">
        <v>1034.5</v>
      </c>
      <c r="H509" s="56">
        <v>0</v>
      </c>
      <c r="I509" s="58">
        <f t="shared" si="57"/>
        <v>34.5</v>
      </c>
      <c r="J509" s="14">
        <f t="shared" si="58"/>
        <v>3.45</v>
      </c>
      <c r="K509" s="56">
        <v>3.19</v>
      </c>
      <c r="L509" s="15">
        <f t="shared" si="59"/>
        <v>0</v>
      </c>
      <c r="M509" s="16">
        <f t="shared" si="63"/>
        <v>297.24451899999997</v>
      </c>
      <c r="N509" s="17">
        <f t="shared" si="60"/>
        <v>3.19</v>
      </c>
      <c r="O509" s="17">
        <f t="shared" si="61"/>
        <v>3190</v>
      </c>
      <c r="P509" s="18">
        <f t="shared" si="62"/>
        <v>297244.51899999997</v>
      </c>
      <c r="R509" s="66"/>
      <c r="S509" s="19" t="s">
        <v>2425</v>
      </c>
      <c r="T509" s="20"/>
      <c r="U509" s="20"/>
      <c r="V509" s="20"/>
      <c r="W509" s="20"/>
      <c r="X509" s="20"/>
      <c r="Y509" s="20"/>
      <c r="Z509" s="20"/>
      <c r="AA509" s="20"/>
    </row>
    <row r="510" spans="1:27">
      <c r="A510" s="131">
        <v>45774</v>
      </c>
      <c r="B510" s="10">
        <v>45777</v>
      </c>
      <c r="C510" s="11">
        <f>VLOOKUP(B:B,'Курс валют'!A:D,4,0)</f>
        <v>93.173000000000002</v>
      </c>
      <c r="D510" s="58">
        <v>236</v>
      </c>
      <c r="E510" s="55" t="s">
        <v>56</v>
      </c>
      <c r="F510" s="58">
        <v>1000</v>
      </c>
      <c r="G510" s="58">
        <v>1035.5</v>
      </c>
      <c r="H510" s="56">
        <v>0</v>
      </c>
      <c r="I510" s="58">
        <f t="shared" si="57"/>
        <v>35.5</v>
      </c>
      <c r="J510" s="14">
        <f t="shared" si="58"/>
        <v>3.55</v>
      </c>
      <c r="K510" s="56">
        <v>3.14</v>
      </c>
      <c r="L510" s="15">
        <f t="shared" si="59"/>
        <v>0</v>
      </c>
      <c r="M510" s="16">
        <f t="shared" si="63"/>
        <v>292.56322000000006</v>
      </c>
      <c r="N510" s="17">
        <f t="shared" si="60"/>
        <v>3.14</v>
      </c>
      <c r="O510" s="17">
        <f t="shared" si="61"/>
        <v>3140</v>
      </c>
      <c r="P510" s="18">
        <f t="shared" si="62"/>
        <v>292563.22000000003</v>
      </c>
      <c r="R510" s="66"/>
      <c r="S510" s="19" t="s">
        <v>2425</v>
      </c>
      <c r="T510" s="20"/>
      <c r="U510" s="20"/>
      <c r="V510" s="20"/>
      <c r="W510" s="20"/>
      <c r="X510" s="20"/>
      <c r="Y510" s="20"/>
      <c r="Z510" s="20"/>
      <c r="AA510" s="20"/>
    </row>
    <row r="511" spans="1:27">
      <c r="A511" s="131">
        <v>45774</v>
      </c>
      <c r="B511" s="10">
        <v>45777</v>
      </c>
      <c r="C511" s="11">
        <f>VLOOKUP(B:B,'Курс валют'!A:D,4,0)</f>
        <v>93.173000000000002</v>
      </c>
      <c r="D511" s="58">
        <v>237</v>
      </c>
      <c r="E511" s="55" t="s">
        <v>56</v>
      </c>
      <c r="F511" s="58">
        <v>1000</v>
      </c>
      <c r="G511" s="58">
        <v>1036.5</v>
      </c>
      <c r="H511" s="56">
        <v>0</v>
      </c>
      <c r="I511" s="58"/>
      <c r="J511" s="14"/>
      <c r="K511" s="56">
        <v>3.14</v>
      </c>
      <c r="L511" s="15">
        <f t="shared" si="59"/>
        <v>0</v>
      </c>
      <c r="M511" s="16">
        <f t="shared" si="63"/>
        <v>292.56322000000006</v>
      </c>
      <c r="N511" s="17">
        <f t="shared" si="60"/>
        <v>3.14</v>
      </c>
      <c r="O511" s="17">
        <f t="shared" si="61"/>
        <v>3140</v>
      </c>
      <c r="P511" s="18">
        <f t="shared" si="62"/>
        <v>292563.22000000003</v>
      </c>
      <c r="R511" s="66"/>
      <c r="S511" s="19" t="s">
        <v>2425</v>
      </c>
      <c r="T511" s="20"/>
      <c r="U511" s="20"/>
      <c r="V511" s="20"/>
      <c r="W511" s="20"/>
      <c r="X511" s="20"/>
      <c r="Y511" s="20"/>
      <c r="Z511" s="20"/>
      <c r="AA511" s="20"/>
    </row>
    <row r="512" spans="1:27">
      <c r="A512" s="128">
        <v>45778</v>
      </c>
      <c r="B512" s="10">
        <v>45778</v>
      </c>
      <c r="C512" s="11">
        <f>VLOOKUP(B:B,'Курс валют'!A:D,4,0)</f>
        <v>92.837000000000003</v>
      </c>
      <c r="D512" s="11">
        <v>227</v>
      </c>
      <c r="E512" s="62" t="s">
        <v>84</v>
      </c>
      <c r="F512" s="11">
        <v>2025</v>
      </c>
      <c r="G512" s="11">
        <v>2036.35</v>
      </c>
      <c r="H512" s="56">
        <v>0</v>
      </c>
      <c r="I512" s="58">
        <f t="shared" ref="I512:I594" si="64">G512-F512</f>
        <v>11.349999999999909</v>
      </c>
      <c r="J512" s="14">
        <f t="shared" ref="J512:J594" si="65">I512/F512*100</f>
        <v>0.56049382716048934</v>
      </c>
      <c r="K512" s="46">
        <v>1.99</v>
      </c>
      <c r="L512" s="15">
        <f t="shared" si="59"/>
        <v>0</v>
      </c>
      <c r="M512" s="16">
        <f t="shared" si="63"/>
        <v>184.74563000000001</v>
      </c>
      <c r="N512" s="17">
        <f t="shared" si="60"/>
        <v>1.99</v>
      </c>
      <c r="O512" s="17">
        <f t="shared" si="61"/>
        <v>4029.75</v>
      </c>
      <c r="P512" s="18">
        <f t="shared" si="62"/>
        <v>374109.90075000003</v>
      </c>
      <c r="R512" s="66"/>
      <c r="S512" s="19" t="s">
        <v>2388</v>
      </c>
      <c r="T512" s="20"/>
      <c r="U512" s="20"/>
      <c r="V512" s="20"/>
      <c r="W512" s="20"/>
      <c r="X512" s="20"/>
      <c r="Y512" s="20"/>
      <c r="Z512" s="20"/>
      <c r="AA512" s="20"/>
    </row>
    <row r="513" spans="1:27">
      <c r="A513" s="128">
        <v>45778</v>
      </c>
      <c r="B513" s="10">
        <v>45778</v>
      </c>
      <c r="C513" s="11">
        <f>VLOOKUP(B:B,'Курс валют'!A:D,4,0)</f>
        <v>92.837000000000003</v>
      </c>
      <c r="D513" s="58">
        <v>226</v>
      </c>
      <c r="E513" s="62" t="s">
        <v>15</v>
      </c>
      <c r="F513" s="58">
        <v>1100</v>
      </c>
      <c r="G513" s="58">
        <v>1111</v>
      </c>
      <c r="H513" s="56">
        <v>20</v>
      </c>
      <c r="I513" s="58">
        <f t="shared" si="64"/>
        <v>11</v>
      </c>
      <c r="J513" s="14">
        <f t="shared" si="65"/>
        <v>1</v>
      </c>
      <c r="K513" s="56">
        <v>2.6</v>
      </c>
      <c r="L513" s="15">
        <f t="shared" si="59"/>
        <v>1.8181818181818181</v>
      </c>
      <c r="M513" s="16">
        <f t="shared" si="63"/>
        <v>236.24484581818183</v>
      </c>
      <c r="N513" s="17">
        <f t="shared" si="60"/>
        <v>2.5447272727272727</v>
      </c>
      <c r="O513" s="17">
        <f t="shared" si="61"/>
        <v>2799.2</v>
      </c>
      <c r="P513" s="18">
        <f t="shared" si="62"/>
        <v>259869.33040000001</v>
      </c>
      <c r="R513" s="66"/>
      <c r="S513" s="19"/>
      <c r="T513" s="20"/>
      <c r="U513" s="20"/>
      <c r="V513" s="20"/>
      <c r="W513" s="20"/>
      <c r="X513" s="20"/>
      <c r="Y513" s="20"/>
      <c r="Z513" s="20"/>
      <c r="AA513" s="20"/>
    </row>
    <row r="514" spans="1:27">
      <c r="A514" s="54">
        <v>45779</v>
      </c>
      <c r="B514" s="10">
        <v>45779</v>
      </c>
      <c r="C514" s="11">
        <f>VLOOKUP(B:B,'Курс валют'!A:D,4,0)</f>
        <v>92.837000000000003</v>
      </c>
      <c r="D514" s="58">
        <v>228</v>
      </c>
      <c r="E514" s="50" t="s">
        <v>15</v>
      </c>
      <c r="F514" s="58">
        <v>11000</v>
      </c>
      <c r="G514" s="58">
        <v>11040</v>
      </c>
      <c r="H514" s="56">
        <v>200</v>
      </c>
      <c r="I514" s="58">
        <f t="shared" si="64"/>
        <v>40</v>
      </c>
      <c r="J514" s="14">
        <f t="shared" si="65"/>
        <v>0.36363636363636365</v>
      </c>
      <c r="K514" s="56">
        <v>2.59</v>
      </c>
      <c r="L514" s="15">
        <f t="shared" si="59"/>
        <v>1.8181818181818181</v>
      </c>
      <c r="M514" s="16">
        <f t="shared" si="63"/>
        <v>235.31647581818189</v>
      </c>
      <c r="N514" s="17">
        <f t="shared" si="60"/>
        <v>2.5347272727272729</v>
      </c>
      <c r="O514" s="17">
        <f t="shared" si="61"/>
        <v>27882.000000000004</v>
      </c>
      <c r="P514" s="18">
        <f t="shared" si="62"/>
        <v>2588481.2340000006</v>
      </c>
      <c r="R514" s="66"/>
      <c r="S514" s="19"/>
      <c r="T514" s="20"/>
      <c r="U514" s="20"/>
      <c r="V514" s="20"/>
      <c r="W514" s="20"/>
      <c r="X514" s="20"/>
      <c r="Y514" s="20"/>
      <c r="Z514" s="20"/>
      <c r="AA514" s="20"/>
    </row>
    <row r="515" spans="1:27">
      <c r="A515" s="54">
        <v>45779</v>
      </c>
      <c r="B515" s="10">
        <v>45779</v>
      </c>
      <c r="C515" s="11">
        <f>VLOOKUP(B:B,'Курс валют'!A:D,4,0)</f>
        <v>92.837000000000003</v>
      </c>
      <c r="D515" s="58">
        <v>229</v>
      </c>
      <c r="E515" s="50" t="s">
        <v>84</v>
      </c>
      <c r="F515" s="58">
        <v>2035</v>
      </c>
      <c r="G515" s="58">
        <v>2043.35</v>
      </c>
      <c r="H515" s="56">
        <v>0</v>
      </c>
      <c r="I515" s="58">
        <f t="shared" si="64"/>
        <v>8.3499999999999091</v>
      </c>
      <c r="J515" s="14">
        <f t="shared" si="65"/>
        <v>0.41031941031940583</v>
      </c>
      <c r="K515" s="56">
        <v>1.99</v>
      </c>
      <c r="L515" s="15">
        <f t="shared" si="59"/>
        <v>0</v>
      </c>
      <c r="M515" s="16">
        <f t="shared" si="63"/>
        <v>184.74563000000003</v>
      </c>
      <c r="N515" s="17">
        <f t="shared" si="60"/>
        <v>1.99</v>
      </c>
      <c r="O515" s="17">
        <f t="shared" si="61"/>
        <v>4049.65</v>
      </c>
      <c r="P515" s="18">
        <f t="shared" si="62"/>
        <v>375957.35705000005</v>
      </c>
      <c r="R515" s="66" t="s">
        <v>2389</v>
      </c>
      <c r="S515" s="19" t="s">
        <v>2388</v>
      </c>
      <c r="T515" s="20"/>
      <c r="U515" s="20"/>
      <c r="V515" s="20"/>
      <c r="W515" s="20"/>
      <c r="X515" s="20"/>
      <c r="Y515" s="20"/>
      <c r="Z515" s="20"/>
      <c r="AA515" s="20"/>
    </row>
    <row r="516" spans="1:27">
      <c r="A516" s="54">
        <v>45780</v>
      </c>
      <c r="B516" s="10">
        <v>45780</v>
      </c>
      <c r="C516" s="11">
        <f>VLOOKUP(B:B,'Курс валют'!A:D,4,0)</f>
        <v>92.837000000000003</v>
      </c>
      <c r="D516" s="58">
        <v>230</v>
      </c>
      <c r="E516" s="50" t="s">
        <v>84</v>
      </c>
      <c r="F516" s="58">
        <v>2035</v>
      </c>
      <c r="G516" s="58">
        <v>2044.35</v>
      </c>
      <c r="H516" s="56">
        <v>0</v>
      </c>
      <c r="I516" s="58">
        <f t="shared" si="64"/>
        <v>9.3499999999999091</v>
      </c>
      <c r="J516" s="14">
        <f t="shared" si="65"/>
        <v>0.45945945945945504</v>
      </c>
      <c r="K516" s="56">
        <v>1.99</v>
      </c>
      <c r="L516" s="15">
        <f t="shared" si="59"/>
        <v>0</v>
      </c>
      <c r="M516" s="16">
        <f t="shared" si="63"/>
        <v>184.74563000000003</v>
      </c>
      <c r="N516" s="17">
        <f t="shared" si="60"/>
        <v>1.99</v>
      </c>
      <c r="O516" s="17">
        <f t="shared" si="61"/>
        <v>4049.65</v>
      </c>
      <c r="P516" s="18">
        <f t="shared" si="62"/>
        <v>375957.35705000005</v>
      </c>
      <c r="R516" s="66" t="s">
        <v>2389</v>
      </c>
      <c r="S516" s="19" t="s">
        <v>2388</v>
      </c>
      <c r="T516" s="20"/>
      <c r="U516" s="20"/>
      <c r="V516" s="20"/>
      <c r="W516" s="20"/>
      <c r="X516" s="20"/>
      <c r="Y516" s="20"/>
      <c r="Z516" s="20"/>
      <c r="AA516" s="20"/>
    </row>
    <row r="517" spans="1:27">
      <c r="A517" s="54">
        <v>45780</v>
      </c>
      <c r="B517" s="10">
        <v>45780</v>
      </c>
      <c r="C517" s="11">
        <f>VLOOKUP(B:B,'Курс валют'!A:D,4,0)</f>
        <v>92.837000000000003</v>
      </c>
      <c r="D517" s="58">
        <v>231</v>
      </c>
      <c r="E517" s="50" t="s">
        <v>15</v>
      </c>
      <c r="F517" s="58">
        <v>12100</v>
      </c>
      <c r="G517" s="58">
        <v>12160</v>
      </c>
      <c r="H517" s="56">
        <v>220</v>
      </c>
      <c r="I517" s="58">
        <f t="shared" si="64"/>
        <v>60</v>
      </c>
      <c r="J517" s="14">
        <f t="shared" si="65"/>
        <v>0.49586776859504134</v>
      </c>
      <c r="K517" s="56">
        <v>2.56</v>
      </c>
      <c r="L517" s="15">
        <f t="shared" si="59"/>
        <v>1.8181818181818181</v>
      </c>
      <c r="M517" s="16">
        <f t="shared" si="63"/>
        <v>232.53136581818185</v>
      </c>
      <c r="N517" s="17">
        <f t="shared" si="60"/>
        <v>2.5047272727272727</v>
      </c>
      <c r="O517" s="17">
        <f t="shared" si="61"/>
        <v>30307.200000000001</v>
      </c>
      <c r="P517" s="18">
        <f t="shared" si="62"/>
        <v>2813629.5264000003</v>
      </c>
      <c r="R517" s="66"/>
      <c r="S517" s="19"/>
      <c r="T517" s="20"/>
      <c r="U517" s="20"/>
      <c r="V517" s="20"/>
      <c r="W517" s="20"/>
      <c r="X517" s="20"/>
      <c r="Y517" s="20"/>
      <c r="Z517" s="20"/>
      <c r="AA517" s="20"/>
    </row>
    <row r="518" spans="1:27">
      <c r="A518" s="54">
        <v>45781</v>
      </c>
      <c r="B518" s="10">
        <v>45781</v>
      </c>
      <c r="C518" s="11">
        <f>VLOOKUP(B:B,'Курс валют'!A:D,4,0)</f>
        <v>92.837000000000003</v>
      </c>
      <c r="D518" s="58">
        <v>232</v>
      </c>
      <c r="E518" s="64" t="s">
        <v>1732</v>
      </c>
      <c r="F518" s="58">
        <v>11000</v>
      </c>
      <c r="G518" s="58">
        <v>11070</v>
      </c>
      <c r="H518" s="56">
        <v>200</v>
      </c>
      <c r="I518" s="58">
        <f t="shared" si="64"/>
        <v>70</v>
      </c>
      <c r="J518" s="14">
        <f t="shared" si="65"/>
        <v>0.63636363636363635</v>
      </c>
      <c r="K518" s="56">
        <v>2.74</v>
      </c>
      <c r="L518" s="15">
        <f t="shared" si="59"/>
        <v>1.8181818181818181</v>
      </c>
      <c r="M518" s="16">
        <f t="shared" si="63"/>
        <v>249.24202581818182</v>
      </c>
      <c r="N518" s="17">
        <f t="shared" si="60"/>
        <v>2.6847272727272729</v>
      </c>
      <c r="O518" s="17">
        <f t="shared" si="61"/>
        <v>29532</v>
      </c>
      <c r="P518" s="18">
        <f t="shared" si="62"/>
        <v>2741662.284</v>
      </c>
      <c r="R518" s="66"/>
      <c r="S518" s="19"/>
      <c r="T518" s="20"/>
      <c r="U518" s="20"/>
      <c r="V518" s="20"/>
      <c r="W518" s="20"/>
      <c r="X518" s="20"/>
      <c r="Y518" s="20"/>
      <c r="Z518" s="20"/>
      <c r="AA518" s="20"/>
    </row>
    <row r="519" spans="1:27">
      <c r="A519" s="54">
        <v>45781</v>
      </c>
      <c r="B519" s="10">
        <v>45781</v>
      </c>
      <c r="C519" s="11">
        <f>VLOOKUP(B:B,'Курс валют'!A:D,4,0)</f>
        <v>92.837000000000003</v>
      </c>
      <c r="D519" s="58">
        <v>238</v>
      </c>
      <c r="E519" s="64" t="s">
        <v>84</v>
      </c>
      <c r="F519" s="58">
        <v>2045</v>
      </c>
      <c r="G519" s="58">
        <v>2052.33</v>
      </c>
      <c r="H519" s="56">
        <v>0</v>
      </c>
      <c r="I519" s="58">
        <f t="shared" si="64"/>
        <v>7.3299999999999272</v>
      </c>
      <c r="J519" s="14">
        <f t="shared" si="65"/>
        <v>0.35843520782395732</v>
      </c>
      <c r="K519" s="56">
        <v>1.98</v>
      </c>
      <c r="L519" s="15">
        <f t="shared" si="59"/>
        <v>0</v>
      </c>
      <c r="M519" s="16">
        <f t="shared" si="63"/>
        <v>183.81726</v>
      </c>
      <c r="N519" s="17">
        <f t="shared" si="60"/>
        <v>1.98</v>
      </c>
      <c r="O519" s="17">
        <f t="shared" si="61"/>
        <v>4049.1</v>
      </c>
      <c r="P519" s="18">
        <f t="shared" si="62"/>
        <v>375906.29670000001</v>
      </c>
      <c r="R519" s="66" t="s">
        <v>2390</v>
      </c>
      <c r="S519" s="19" t="s">
        <v>2388</v>
      </c>
      <c r="T519" s="20"/>
      <c r="U519" s="20"/>
      <c r="V519" s="20"/>
      <c r="W519" s="20"/>
      <c r="X519" s="20"/>
      <c r="Y519" s="20"/>
      <c r="Z519" s="20"/>
      <c r="AA519" s="20"/>
    </row>
    <row r="520" spans="1:27">
      <c r="A520" s="54">
        <v>45782</v>
      </c>
      <c r="B520" s="10">
        <v>45782</v>
      </c>
      <c r="C520" s="11">
        <f>VLOOKUP(B:B,'Курс валют'!A:D,4,0)</f>
        <v>92.837000000000003</v>
      </c>
      <c r="D520" s="58">
        <v>239</v>
      </c>
      <c r="E520" s="64" t="s">
        <v>84</v>
      </c>
      <c r="F520" s="58">
        <v>2025</v>
      </c>
      <c r="G520" s="58">
        <v>2036.35</v>
      </c>
      <c r="H520" s="56">
        <v>0</v>
      </c>
      <c r="I520" s="58">
        <f t="shared" si="64"/>
        <v>11.349999999999909</v>
      </c>
      <c r="J520" s="14">
        <f t="shared" si="65"/>
        <v>0.56049382716048934</v>
      </c>
      <c r="K520" s="56">
        <v>1.98</v>
      </c>
      <c r="L520" s="15">
        <f t="shared" si="59"/>
        <v>0</v>
      </c>
      <c r="M520" s="16">
        <f t="shared" si="63"/>
        <v>183.81726</v>
      </c>
      <c r="N520" s="17">
        <f t="shared" si="60"/>
        <v>1.98</v>
      </c>
      <c r="O520" s="17">
        <f t="shared" si="61"/>
        <v>4009.5</v>
      </c>
      <c r="P520" s="18">
        <f t="shared" si="62"/>
        <v>372229.95150000002</v>
      </c>
      <c r="R520" s="66"/>
      <c r="S520" s="19" t="s">
        <v>2388</v>
      </c>
      <c r="T520" s="20"/>
      <c r="U520" s="20"/>
      <c r="V520" s="20"/>
      <c r="W520" s="20"/>
      <c r="X520" s="20"/>
      <c r="Y520" s="20"/>
      <c r="Z520" s="20"/>
      <c r="AA520" s="20"/>
    </row>
    <row r="521" spans="1:27">
      <c r="A521" s="54">
        <v>45782</v>
      </c>
      <c r="B521" s="10">
        <v>45782</v>
      </c>
      <c r="C521" s="11">
        <f>VLOOKUP(B:B,'Курс валют'!A:D,4,0)</f>
        <v>92.837000000000003</v>
      </c>
      <c r="D521" s="58">
        <v>240</v>
      </c>
      <c r="E521" s="64" t="s">
        <v>1732</v>
      </c>
      <c r="F521" s="58">
        <v>9900</v>
      </c>
      <c r="G521" s="58">
        <v>9940</v>
      </c>
      <c r="H521" s="56">
        <v>180</v>
      </c>
      <c r="I521" s="58">
        <f t="shared" si="64"/>
        <v>40</v>
      </c>
      <c r="J521" s="14">
        <f t="shared" si="65"/>
        <v>0.40404040404040403</v>
      </c>
      <c r="K521" s="56">
        <v>2.73</v>
      </c>
      <c r="L521" s="15">
        <f t="shared" si="59"/>
        <v>1.8181818181818181</v>
      </c>
      <c r="M521" s="16">
        <f t="shared" si="63"/>
        <v>248.31365581818184</v>
      </c>
      <c r="N521" s="17">
        <f t="shared" si="60"/>
        <v>2.6747272727272726</v>
      </c>
      <c r="O521" s="17">
        <f t="shared" si="61"/>
        <v>26479.8</v>
      </c>
      <c r="P521" s="18">
        <f t="shared" si="62"/>
        <v>2458305.1926000002</v>
      </c>
      <c r="R521" s="66"/>
      <c r="S521" s="19"/>
      <c r="T521" s="20"/>
      <c r="U521" s="20"/>
      <c r="V521" s="20"/>
      <c r="W521" s="20"/>
      <c r="X521" s="20"/>
      <c r="Y521" s="20"/>
      <c r="Z521" s="20"/>
      <c r="AA521" s="20"/>
    </row>
    <row r="522" spans="1:27">
      <c r="A522" s="54">
        <v>45783</v>
      </c>
      <c r="B522" s="10">
        <v>45783</v>
      </c>
      <c r="C522" s="11">
        <f>VLOOKUP(B:B,'Курс валют'!A:D,4,0)</f>
        <v>92.908199999999994</v>
      </c>
      <c r="D522" s="58">
        <v>241</v>
      </c>
      <c r="E522" s="64" t="s">
        <v>1732</v>
      </c>
      <c r="F522" s="58">
        <v>9900</v>
      </c>
      <c r="G522" s="58">
        <v>9995</v>
      </c>
      <c r="H522" s="56">
        <v>180</v>
      </c>
      <c r="I522" s="58">
        <f t="shared" si="64"/>
        <v>95</v>
      </c>
      <c r="J522" s="14">
        <f t="shared" si="65"/>
        <v>0.95959595959595956</v>
      </c>
      <c r="K522" s="56">
        <v>2.74</v>
      </c>
      <c r="L522" s="15">
        <f t="shared" si="59"/>
        <v>1.8181818181818181</v>
      </c>
      <c r="M522" s="16">
        <f t="shared" si="63"/>
        <v>249.43317840000003</v>
      </c>
      <c r="N522" s="17">
        <f t="shared" si="60"/>
        <v>2.6847272727272729</v>
      </c>
      <c r="O522" s="17">
        <f t="shared" si="61"/>
        <v>26578.800000000003</v>
      </c>
      <c r="P522" s="18">
        <f t="shared" si="62"/>
        <v>2469388.4661600003</v>
      </c>
      <c r="R522" s="66"/>
      <c r="S522" s="19"/>
      <c r="T522" s="20"/>
      <c r="U522" s="20"/>
      <c r="V522" s="20"/>
      <c r="W522" s="20"/>
      <c r="X522" s="20"/>
      <c r="Y522" s="20"/>
      <c r="Z522" s="20"/>
      <c r="AA522" s="20"/>
    </row>
    <row r="523" spans="1:27">
      <c r="A523" s="54">
        <v>45784</v>
      </c>
      <c r="B523" s="10">
        <v>45784</v>
      </c>
      <c r="C523" s="11">
        <f>VLOOKUP(B:B,'Курс валют'!A:D,4,0)</f>
        <v>91.916899999999998</v>
      </c>
      <c r="D523" s="58">
        <v>242</v>
      </c>
      <c r="E523" s="64" t="s">
        <v>15</v>
      </c>
      <c r="F523" s="58">
        <v>11000</v>
      </c>
      <c r="G523" s="58">
        <v>11050</v>
      </c>
      <c r="H523" s="56">
        <v>200</v>
      </c>
      <c r="I523" s="58">
        <f t="shared" si="64"/>
        <v>50</v>
      </c>
      <c r="J523" s="14">
        <f t="shared" si="65"/>
        <v>0.45454545454545453</v>
      </c>
      <c r="K523" s="56">
        <v>2.59</v>
      </c>
      <c r="L523" s="15">
        <f t="shared" si="59"/>
        <v>1.8181818181818181</v>
      </c>
      <c r="M523" s="16"/>
      <c r="N523" s="17">
        <f t="shared" si="60"/>
        <v>2.5347272727272729</v>
      </c>
      <c r="O523" s="17">
        <f t="shared" si="61"/>
        <v>27882.000000000004</v>
      </c>
      <c r="P523" s="18">
        <f t="shared" si="62"/>
        <v>2562827.0058000004</v>
      </c>
      <c r="R523" s="66" t="s">
        <v>2391</v>
      </c>
      <c r="S523" s="19"/>
      <c r="T523" s="20"/>
      <c r="U523" s="20"/>
      <c r="V523" s="20"/>
      <c r="W523" s="20"/>
      <c r="X523" s="20"/>
      <c r="Y523" s="20"/>
      <c r="Z523" s="20"/>
      <c r="AA523" s="20"/>
    </row>
    <row r="524" spans="1:27">
      <c r="A524" s="54">
        <v>45784</v>
      </c>
      <c r="B524" s="10">
        <v>45784</v>
      </c>
      <c r="C524" s="11">
        <f>VLOOKUP(B:B,'Курс валют'!A:D,4,0)</f>
        <v>91.916899999999998</v>
      </c>
      <c r="D524" s="58">
        <v>243</v>
      </c>
      <c r="E524" s="64" t="s">
        <v>57</v>
      </c>
      <c r="F524" s="58">
        <v>1900</v>
      </c>
      <c r="G524" s="58">
        <v>1926.6</v>
      </c>
      <c r="H524" s="56">
        <v>0</v>
      </c>
      <c r="I524" s="58">
        <f t="shared" si="64"/>
        <v>26.599999999999909</v>
      </c>
      <c r="J524" s="14">
        <f t="shared" si="65"/>
        <v>1.3999999999999952</v>
      </c>
      <c r="K524" s="56">
        <v>2.81</v>
      </c>
      <c r="L524" s="15">
        <f t="shared" si="59"/>
        <v>0</v>
      </c>
      <c r="M524" s="16">
        <f t="shared" ref="M524:M594" si="66">P524/F524</f>
        <v>258.28648899999996</v>
      </c>
      <c r="N524" s="17">
        <f t="shared" si="60"/>
        <v>2.81</v>
      </c>
      <c r="O524" s="17">
        <f t="shared" si="61"/>
        <v>5339</v>
      </c>
      <c r="P524" s="18">
        <f t="shared" si="62"/>
        <v>490744.32909999997</v>
      </c>
      <c r="R524" s="66" t="s">
        <v>2392</v>
      </c>
      <c r="S524" s="19" t="s">
        <v>2388</v>
      </c>
      <c r="T524" s="20"/>
      <c r="U524" s="20"/>
      <c r="V524" s="20"/>
      <c r="W524" s="20"/>
      <c r="X524" s="20"/>
      <c r="Y524" s="20"/>
      <c r="Z524" s="20"/>
      <c r="AA524" s="20"/>
    </row>
    <row r="525" spans="1:27">
      <c r="A525" s="54">
        <v>45784</v>
      </c>
      <c r="B525" s="10">
        <v>45785</v>
      </c>
      <c r="C525" s="11">
        <f>VLOOKUP(B:B,'Курс валют'!A:D,4,0)</f>
        <v>92.143900000000002</v>
      </c>
      <c r="D525" s="58">
        <v>244</v>
      </c>
      <c r="E525" s="64" t="s">
        <v>57</v>
      </c>
      <c r="F525" s="58">
        <v>1000</v>
      </c>
      <c r="G525" s="58">
        <v>1017.3</v>
      </c>
      <c r="H525" s="56">
        <v>0</v>
      </c>
      <c r="I525" s="58">
        <f t="shared" si="64"/>
        <v>17.299999999999955</v>
      </c>
      <c r="J525" s="14">
        <f t="shared" si="65"/>
        <v>1.7299999999999955</v>
      </c>
      <c r="K525" s="56">
        <v>2.65</v>
      </c>
      <c r="L525" s="15">
        <f t="shared" si="59"/>
        <v>0</v>
      </c>
      <c r="M525" s="16">
        <f t="shared" si="66"/>
        <v>244.18133499999999</v>
      </c>
      <c r="N525" s="17">
        <f t="shared" si="60"/>
        <v>2.65</v>
      </c>
      <c r="O525" s="17">
        <f t="shared" si="61"/>
        <v>2650</v>
      </c>
      <c r="P525" s="18">
        <f t="shared" si="62"/>
        <v>244181.33499999999</v>
      </c>
      <c r="R525" s="66"/>
      <c r="S525" s="19" t="s">
        <v>2388</v>
      </c>
      <c r="T525" s="20"/>
      <c r="U525" s="20"/>
      <c r="V525" s="20"/>
      <c r="W525" s="20"/>
      <c r="X525" s="20"/>
      <c r="Y525" s="20"/>
      <c r="Z525" s="20"/>
      <c r="AA525" s="20"/>
    </row>
    <row r="526" spans="1:27">
      <c r="A526" s="54">
        <v>45784</v>
      </c>
      <c r="B526" s="10">
        <v>45785</v>
      </c>
      <c r="C526" s="11">
        <f>VLOOKUP(B:B,'Курс валют'!A:D,4,0)</f>
        <v>92.143900000000002</v>
      </c>
      <c r="D526" s="58">
        <v>245</v>
      </c>
      <c r="E526" s="64" t="s">
        <v>57</v>
      </c>
      <c r="F526" s="58">
        <v>2000</v>
      </c>
      <c r="G526" s="58">
        <v>2033.7</v>
      </c>
      <c r="H526" s="56">
        <v>0</v>
      </c>
      <c r="I526" s="58">
        <f t="shared" si="64"/>
        <v>33.700000000000045</v>
      </c>
      <c r="J526" s="14">
        <f t="shared" si="65"/>
        <v>1.6850000000000021</v>
      </c>
      <c r="K526" s="56">
        <v>2.65</v>
      </c>
      <c r="L526" s="15">
        <f t="shared" si="59"/>
        <v>0</v>
      </c>
      <c r="M526" s="16">
        <f t="shared" si="66"/>
        <v>244.18133499999999</v>
      </c>
      <c r="N526" s="17">
        <f t="shared" si="60"/>
        <v>2.65</v>
      </c>
      <c r="O526" s="17">
        <f t="shared" si="61"/>
        <v>5300</v>
      </c>
      <c r="P526" s="18">
        <f t="shared" si="62"/>
        <v>488362.67</v>
      </c>
      <c r="R526" s="65"/>
      <c r="S526" s="19" t="s">
        <v>2388</v>
      </c>
      <c r="T526" s="24"/>
      <c r="U526" s="24"/>
      <c r="V526" s="24"/>
      <c r="W526" s="24"/>
      <c r="X526" s="24"/>
      <c r="Y526" s="24"/>
      <c r="Z526" s="24"/>
      <c r="AA526" s="24"/>
    </row>
    <row r="527" spans="1:27">
      <c r="A527" s="54">
        <v>45784</v>
      </c>
      <c r="B527" s="10">
        <v>45785</v>
      </c>
      <c r="C527" s="11">
        <f>VLOOKUP(B:B,'Курс валют'!A:D,4,0)</f>
        <v>92.143900000000002</v>
      </c>
      <c r="D527" s="58">
        <v>246</v>
      </c>
      <c r="E527" s="50" t="s">
        <v>15</v>
      </c>
      <c r="F527" s="58">
        <v>11000</v>
      </c>
      <c r="G527" s="58">
        <v>11080</v>
      </c>
      <c r="H527" s="56">
        <v>200</v>
      </c>
      <c r="I527" s="58">
        <f t="shared" si="64"/>
        <v>80</v>
      </c>
      <c r="J527" s="14">
        <f t="shared" si="65"/>
        <v>0.72727272727272729</v>
      </c>
      <c r="K527" s="56">
        <v>2.4900000000000002</v>
      </c>
      <c r="L527" s="15">
        <f t="shared" si="59"/>
        <v>1.8181818181818181</v>
      </c>
      <c r="M527" s="16">
        <f t="shared" si="66"/>
        <v>224.34526634545455</v>
      </c>
      <c r="N527" s="17">
        <f t="shared" si="60"/>
        <v>2.4347272727272729</v>
      </c>
      <c r="O527" s="17">
        <f t="shared" si="61"/>
        <v>26782</v>
      </c>
      <c r="P527" s="18">
        <f t="shared" si="62"/>
        <v>2467797.9298</v>
      </c>
      <c r="R527" s="65"/>
      <c r="S527" s="19"/>
      <c r="T527" s="20"/>
      <c r="U527" s="20"/>
      <c r="V527" s="20"/>
      <c r="W527" s="20"/>
      <c r="X527" s="20"/>
      <c r="Y527" s="20"/>
      <c r="Z527" s="20"/>
      <c r="AA527" s="20"/>
    </row>
    <row r="528" spans="1:27">
      <c r="A528" s="54">
        <v>45783</v>
      </c>
      <c r="B528" s="10">
        <v>45783</v>
      </c>
      <c r="C528" s="11">
        <f>VLOOKUP(B:B,'Курс валют'!A:D,4,0)</f>
        <v>92.908199999999994</v>
      </c>
      <c r="D528" s="58">
        <v>247</v>
      </c>
      <c r="E528" s="50" t="s">
        <v>56</v>
      </c>
      <c r="F528" s="58">
        <v>1000</v>
      </c>
      <c r="G528" s="58">
        <v>1036.5</v>
      </c>
      <c r="H528" s="56">
        <v>0</v>
      </c>
      <c r="I528" s="58">
        <f t="shared" si="64"/>
        <v>36.5</v>
      </c>
      <c r="J528" s="14">
        <f t="shared" si="65"/>
        <v>3.65</v>
      </c>
      <c r="K528" s="56">
        <v>3.11</v>
      </c>
      <c r="L528" s="15">
        <f t="shared" si="59"/>
        <v>0</v>
      </c>
      <c r="M528" s="16">
        <f t="shared" si="66"/>
        <v>288.944502</v>
      </c>
      <c r="N528" s="17">
        <f t="shared" si="60"/>
        <v>3.11</v>
      </c>
      <c r="O528" s="17">
        <f t="shared" si="61"/>
        <v>3110</v>
      </c>
      <c r="P528" s="18">
        <f t="shared" si="62"/>
        <v>288944.50199999998</v>
      </c>
      <c r="R528" s="65"/>
      <c r="S528" s="19" t="s">
        <v>2393</v>
      </c>
      <c r="T528" s="20"/>
      <c r="U528" s="20"/>
      <c r="V528" s="20"/>
      <c r="W528" s="20"/>
      <c r="X528" s="20"/>
      <c r="Y528" s="20"/>
      <c r="Z528" s="20"/>
      <c r="AA528" s="20"/>
    </row>
    <row r="529" spans="1:27">
      <c r="A529" s="54">
        <v>45784</v>
      </c>
      <c r="B529" s="10">
        <v>45784</v>
      </c>
      <c r="C529" s="11">
        <f>VLOOKUP(B:B,'Курс валют'!A:D,4,0)</f>
        <v>91.916899999999998</v>
      </c>
      <c r="D529" s="58">
        <v>248</v>
      </c>
      <c r="E529" s="50" t="s">
        <v>56</v>
      </c>
      <c r="F529" s="58">
        <v>1000</v>
      </c>
      <c r="G529" s="58">
        <v>1039.5</v>
      </c>
      <c r="H529" s="56">
        <v>0</v>
      </c>
      <c r="I529" s="58">
        <f t="shared" si="64"/>
        <v>39.5</v>
      </c>
      <c r="J529" s="14">
        <f t="shared" si="65"/>
        <v>3.95</v>
      </c>
      <c r="K529" s="56">
        <v>3.12</v>
      </c>
      <c r="L529" s="15">
        <f t="shared" si="59"/>
        <v>0</v>
      </c>
      <c r="M529" s="16">
        <f t="shared" si="66"/>
        <v>286.78072800000001</v>
      </c>
      <c r="N529" s="17">
        <f t="shared" si="60"/>
        <v>3.12</v>
      </c>
      <c r="O529" s="17">
        <f t="shared" si="61"/>
        <v>3120</v>
      </c>
      <c r="P529" s="18">
        <f t="shared" si="62"/>
        <v>286780.728</v>
      </c>
      <c r="R529" s="65"/>
      <c r="S529" s="19" t="s">
        <v>2393</v>
      </c>
      <c r="T529" s="24"/>
      <c r="U529" s="24"/>
      <c r="V529" s="24"/>
      <c r="W529" s="24"/>
      <c r="X529" s="24"/>
      <c r="Y529" s="24"/>
      <c r="Z529" s="24"/>
      <c r="AA529" s="24"/>
    </row>
    <row r="530" spans="1:27">
      <c r="A530" s="54">
        <v>45784</v>
      </c>
      <c r="B530" s="10">
        <v>45784</v>
      </c>
      <c r="C530" s="11">
        <f>VLOOKUP(B:B,'Курс валют'!A:D,4,0)</f>
        <v>91.916899999999998</v>
      </c>
      <c r="D530" s="58">
        <v>249</v>
      </c>
      <c r="E530" s="50" t="s">
        <v>56</v>
      </c>
      <c r="F530" s="58">
        <v>1000</v>
      </c>
      <c r="G530" s="58">
        <v>1037.5</v>
      </c>
      <c r="H530" s="56">
        <v>0</v>
      </c>
      <c r="I530" s="58">
        <f t="shared" si="64"/>
        <v>37.5</v>
      </c>
      <c r="J530" s="14">
        <f t="shared" si="65"/>
        <v>3.75</v>
      </c>
      <c r="K530" s="56">
        <v>3.12</v>
      </c>
      <c r="L530" s="15">
        <f t="shared" si="59"/>
        <v>0</v>
      </c>
      <c r="M530" s="16">
        <f t="shared" si="66"/>
        <v>286.78072800000001</v>
      </c>
      <c r="N530" s="17">
        <f t="shared" si="60"/>
        <v>3.12</v>
      </c>
      <c r="O530" s="17">
        <f t="shared" si="61"/>
        <v>3120</v>
      </c>
      <c r="P530" s="18">
        <f t="shared" si="62"/>
        <v>286780.728</v>
      </c>
      <c r="R530" s="65"/>
      <c r="S530" s="19" t="s">
        <v>2393</v>
      </c>
      <c r="T530" s="24"/>
      <c r="U530" s="24"/>
      <c r="V530" s="24"/>
      <c r="W530" s="24"/>
      <c r="X530" s="24"/>
      <c r="Y530" s="24"/>
      <c r="Z530" s="24"/>
      <c r="AA530" s="24"/>
    </row>
    <row r="531" spans="1:27">
      <c r="A531" s="54">
        <v>45785</v>
      </c>
      <c r="B531" s="10">
        <v>45785</v>
      </c>
      <c r="C531" s="11">
        <f>VLOOKUP(B:B,'Курс валют'!A:D,4,0)</f>
        <v>92.143900000000002</v>
      </c>
      <c r="D531" s="58">
        <v>250</v>
      </c>
      <c r="E531" s="50" t="s">
        <v>56</v>
      </c>
      <c r="F531" s="58">
        <v>1000</v>
      </c>
      <c r="G531" s="58">
        <v>1035.5</v>
      </c>
      <c r="H531" s="56">
        <v>0</v>
      </c>
      <c r="I531" s="58">
        <f t="shared" si="64"/>
        <v>35.5</v>
      </c>
      <c r="J531" s="14">
        <f t="shared" si="65"/>
        <v>3.55</v>
      </c>
      <c r="K531" s="56">
        <v>3.11</v>
      </c>
      <c r="L531" s="15">
        <f t="shared" si="59"/>
        <v>0</v>
      </c>
      <c r="M531" s="16">
        <f t="shared" si="66"/>
        <v>286.56752899999998</v>
      </c>
      <c r="N531" s="17">
        <f t="shared" si="60"/>
        <v>3.11</v>
      </c>
      <c r="O531" s="17">
        <f t="shared" si="61"/>
        <v>3110</v>
      </c>
      <c r="P531" s="18">
        <f t="shared" si="62"/>
        <v>286567.52899999998</v>
      </c>
      <c r="R531" s="66"/>
      <c r="S531" s="19" t="s">
        <v>2393</v>
      </c>
      <c r="T531" s="24"/>
      <c r="U531" s="24"/>
      <c r="V531" s="24"/>
      <c r="W531" s="24"/>
      <c r="X531" s="24"/>
      <c r="Y531" s="24"/>
      <c r="Z531" s="24"/>
      <c r="AA531" s="24"/>
    </row>
    <row r="532" spans="1:27">
      <c r="A532" s="54">
        <v>45786</v>
      </c>
      <c r="B532" s="10">
        <v>45786</v>
      </c>
      <c r="C532" s="11">
        <f>VLOOKUP(B:B,'Курс валют'!A:D,4,0)</f>
        <v>92.143900000000002</v>
      </c>
      <c r="D532" s="58">
        <v>251</v>
      </c>
      <c r="E532" s="50" t="s">
        <v>56</v>
      </c>
      <c r="F532" s="58">
        <v>1000</v>
      </c>
      <c r="G532" s="58">
        <v>1038.5</v>
      </c>
      <c r="H532" s="56">
        <v>0</v>
      </c>
      <c r="I532" s="58">
        <f t="shared" si="64"/>
        <v>38.5</v>
      </c>
      <c r="J532" s="14">
        <f t="shared" si="65"/>
        <v>3.85</v>
      </c>
      <c r="K532" s="56">
        <v>3.12</v>
      </c>
      <c r="L532" s="15">
        <f t="shared" si="59"/>
        <v>0</v>
      </c>
      <c r="M532" s="16">
        <f t="shared" si="66"/>
        <v>287.488968</v>
      </c>
      <c r="N532" s="17">
        <f t="shared" si="60"/>
        <v>3.12</v>
      </c>
      <c r="O532" s="17">
        <f t="shared" si="61"/>
        <v>3120</v>
      </c>
      <c r="P532" s="18">
        <f t="shared" si="62"/>
        <v>287488.96799999999</v>
      </c>
      <c r="R532" s="65"/>
      <c r="S532" s="19" t="s">
        <v>2393</v>
      </c>
      <c r="T532" s="20"/>
      <c r="U532" s="20"/>
      <c r="V532" s="20"/>
      <c r="W532" s="20"/>
      <c r="X532" s="20"/>
      <c r="Y532" s="20"/>
      <c r="Z532" s="20"/>
      <c r="AA532" s="20"/>
    </row>
    <row r="533" spans="1:27">
      <c r="A533" s="54">
        <v>45786</v>
      </c>
      <c r="B533" s="10">
        <v>45786</v>
      </c>
      <c r="C533" s="11">
        <f>VLOOKUP(B:B,'Курс валют'!A:D,4,0)</f>
        <v>92.143900000000002</v>
      </c>
      <c r="D533" s="58">
        <v>252</v>
      </c>
      <c r="E533" s="64" t="s">
        <v>57</v>
      </c>
      <c r="F533" s="58">
        <v>1000</v>
      </c>
      <c r="G533" s="58">
        <v>1020.3</v>
      </c>
      <c r="H533" s="56">
        <v>0</v>
      </c>
      <c r="I533" s="58">
        <f t="shared" si="64"/>
        <v>20.299999999999955</v>
      </c>
      <c r="J533" s="14">
        <f t="shared" si="65"/>
        <v>2.0299999999999954</v>
      </c>
      <c r="K533" s="56">
        <v>2.67</v>
      </c>
      <c r="L533" s="15">
        <f t="shared" si="59"/>
        <v>0</v>
      </c>
      <c r="M533" s="16">
        <f t="shared" si="66"/>
        <v>246.02421300000003</v>
      </c>
      <c r="N533" s="17">
        <f t="shared" si="60"/>
        <v>2.67</v>
      </c>
      <c r="O533" s="17">
        <f t="shared" si="61"/>
        <v>2670</v>
      </c>
      <c r="P533" s="18">
        <f t="shared" si="62"/>
        <v>246024.21300000002</v>
      </c>
      <c r="R533" s="66"/>
      <c r="S533" s="19" t="s">
        <v>2388</v>
      </c>
      <c r="T533" s="20"/>
      <c r="U533" s="20"/>
      <c r="V533" s="20"/>
      <c r="W533" s="20"/>
      <c r="X533" s="20"/>
      <c r="Y533" s="20"/>
      <c r="Z533" s="20"/>
      <c r="AA533" s="20"/>
    </row>
    <row r="534" spans="1:27">
      <c r="A534" s="54">
        <v>45786</v>
      </c>
      <c r="B534" s="10">
        <v>45786</v>
      </c>
      <c r="C534" s="11">
        <f>VLOOKUP(B:B,'Курс валют'!A:D,4,0)</f>
        <v>92.143900000000002</v>
      </c>
      <c r="D534" s="58">
        <v>253</v>
      </c>
      <c r="E534" s="50" t="s">
        <v>15</v>
      </c>
      <c r="F534" s="58">
        <v>11000</v>
      </c>
      <c r="G534" s="58">
        <v>11068</v>
      </c>
      <c r="H534" s="56">
        <v>198</v>
      </c>
      <c r="I534" s="58">
        <f t="shared" si="64"/>
        <v>68</v>
      </c>
      <c r="J534" s="14">
        <f t="shared" si="65"/>
        <v>0.61818181818181817</v>
      </c>
      <c r="K534" s="56">
        <v>2.4900000000000002</v>
      </c>
      <c r="L534" s="15">
        <f t="shared" si="59"/>
        <v>1.7999999999999998</v>
      </c>
      <c r="M534" s="16">
        <f t="shared" si="66"/>
        <v>224.39619679200007</v>
      </c>
      <c r="N534" s="17">
        <f t="shared" si="60"/>
        <v>2.4352800000000006</v>
      </c>
      <c r="O534" s="17">
        <f t="shared" si="61"/>
        <v>26788.080000000005</v>
      </c>
      <c r="P534" s="18">
        <f t="shared" si="62"/>
        <v>2468358.1647120006</v>
      </c>
      <c r="R534" s="66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>
      <c r="A535" s="54">
        <v>45787</v>
      </c>
      <c r="B535" s="10">
        <v>45787</v>
      </c>
      <c r="C535" s="11">
        <f>VLOOKUP(B:B,'Курс валют'!A:D,4,0)</f>
        <v>92.143900000000002</v>
      </c>
      <c r="D535" s="58">
        <v>254</v>
      </c>
      <c r="E535" s="50" t="s">
        <v>15</v>
      </c>
      <c r="F535" s="58">
        <v>1100</v>
      </c>
      <c r="G535" s="58">
        <v>1107</v>
      </c>
      <c r="H535" s="56">
        <v>22</v>
      </c>
      <c r="I535" s="58">
        <f t="shared" si="64"/>
        <v>7</v>
      </c>
      <c r="J535" s="14">
        <f t="shared" si="65"/>
        <v>0.63636363636363635</v>
      </c>
      <c r="K535" s="56">
        <v>2.4900000000000002</v>
      </c>
      <c r="L535" s="15">
        <f t="shared" si="59"/>
        <v>2</v>
      </c>
      <c r="M535" s="16">
        <f t="shared" si="66"/>
        <v>223.83596188000004</v>
      </c>
      <c r="N535" s="17">
        <f t="shared" si="60"/>
        <v>2.4292000000000002</v>
      </c>
      <c r="O535" s="17">
        <f t="shared" si="61"/>
        <v>2672.1200000000003</v>
      </c>
      <c r="P535" s="18">
        <f t="shared" si="62"/>
        <v>246219.55806800004</v>
      </c>
      <c r="R535" s="66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>
      <c r="A536" s="54">
        <v>45787</v>
      </c>
      <c r="B536" s="10">
        <v>45787</v>
      </c>
      <c r="C536" s="11">
        <f>VLOOKUP(B:B,'Курс валют'!A:D,4,0)</f>
        <v>92.143900000000002</v>
      </c>
      <c r="D536" s="58">
        <v>255</v>
      </c>
      <c r="E536" s="50" t="s">
        <v>50</v>
      </c>
      <c r="F536" s="58">
        <v>8000</v>
      </c>
      <c r="G536" s="58">
        <v>8032.2</v>
      </c>
      <c r="H536" s="56">
        <v>0</v>
      </c>
      <c r="I536" s="58">
        <f t="shared" si="64"/>
        <v>32.199999999999818</v>
      </c>
      <c r="J536" s="14">
        <f t="shared" si="65"/>
        <v>0.40249999999999775</v>
      </c>
      <c r="K536" s="56">
        <v>1.87</v>
      </c>
      <c r="L536" s="15">
        <f t="shared" si="59"/>
        <v>0</v>
      </c>
      <c r="M536" s="16">
        <f t="shared" si="66"/>
        <v>172.30909299999999</v>
      </c>
      <c r="N536" s="17">
        <f t="shared" si="60"/>
        <v>1.87</v>
      </c>
      <c r="O536" s="17">
        <f t="shared" si="61"/>
        <v>14960</v>
      </c>
      <c r="P536" s="18">
        <f t="shared" si="62"/>
        <v>1378472.7439999999</v>
      </c>
      <c r="R536" s="66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>
      <c r="A537" s="54">
        <v>45787</v>
      </c>
      <c r="B537" s="10">
        <v>45787</v>
      </c>
      <c r="C537" s="11">
        <f>VLOOKUP(B:B,'Курс валют'!A:D,4,0)</f>
        <v>92.143900000000002</v>
      </c>
      <c r="D537" s="58">
        <v>256</v>
      </c>
      <c r="E537" s="50" t="s">
        <v>57</v>
      </c>
      <c r="F537" s="58">
        <v>2000</v>
      </c>
      <c r="G537" s="58">
        <v>2041.6</v>
      </c>
      <c r="H537" s="56">
        <v>0</v>
      </c>
      <c r="I537" s="58">
        <f t="shared" si="64"/>
        <v>41.599999999999909</v>
      </c>
      <c r="J537" s="14">
        <f t="shared" si="65"/>
        <v>2.0799999999999952</v>
      </c>
      <c r="K537" s="56">
        <v>2.66</v>
      </c>
      <c r="L537" s="15">
        <f t="shared" si="59"/>
        <v>0</v>
      </c>
      <c r="M537" s="16">
        <f t="shared" si="66"/>
        <v>245.10277400000001</v>
      </c>
      <c r="N537" s="17">
        <f t="shared" si="60"/>
        <v>2.66</v>
      </c>
      <c r="O537" s="17">
        <f t="shared" si="61"/>
        <v>5320</v>
      </c>
      <c r="P537" s="18">
        <f t="shared" si="62"/>
        <v>490205.54800000001</v>
      </c>
      <c r="R537" s="66"/>
      <c r="S537" s="48" t="s">
        <v>2388</v>
      </c>
      <c r="T537" s="20"/>
      <c r="U537" s="20"/>
      <c r="V537" s="20"/>
      <c r="W537" s="20"/>
      <c r="X537" s="20"/>
      <c r="Y537" s="20"/>
      <c r="Z537" s="20"/>
      <c r="AA537" s="20"/>
    </row>
    <row r="538" spans="1:27">
      <c r="A538" s="54">
        <v>45788</v>
      </c>
      <c r="B538" s="10">
        <v>45788</v>
      </c>
      <c r="C538" s="11">
        <f>VLOOKUP(B:B,'Курс валют'!A:D,4,0)</f>
        <v>92.143900000000002</v>
      </c>
      <c r="D538" s="58">
        <v>257</v>
      </c>
      <c r="E538" s="64" t="s">
        <v>50</v>
      </c>
      <c r="F538" s="63">
        <v>8000</v>
      </c>
      <c r="G538" s="63">
        <v>8037.2</v>
      </c>
      <c r="H538" s="49">
        <v>0</v>
      </c>
      <c r="I538" s="58">
        <f t="shared" si="64"/>
        <v>37.199999999999818</v>
      </c>
      <c r="J538" s="14">
        <f t="shared" si="65"/>
        <v>0.46499999999999769</v>
      </c>
      <c r="K538" s="49">
        <v>1.87</v>
      </c>
      <c r="L538" s="15">
        <f t="shared" si="59"/>
        <v>0</v>
      </c>
      <c r="M538" s="16">
        <f t="shared" si="66"/>
        <v>172.30909299999999</v>
      </c>
      <c r="N538" s="17">
        <f t="shared" si="60"/>
        <v>1.87</v>
      </c>
      <c r="O538" s="17">
        <f t="shared" si="61"/>
        <v>14960</v>
      </c>
      <c r="P538" s="18">
        <f t="shared" si="62"/>
        <v>1378472.7439999999</v>
      </c>
      <c r="R538" s="66"/>
      <c r="S538" s="48"/>
      <c r="T538" s="20"/>
      <c r="U538" s="20"/>
      <c r="V538" s="20"/>
      <c r="W538" s="20"/>
      <c r="X538" s="20"/>
      <c r="Y538" s="20"/>
      <c r="Z538" s="20"/>
      <c r="AA538" s="20"/>
    </row>
    <row r="539" spans="1:27">
      <c r="A539" s="54">
        <v>45788</v>
      </c>
      <c r="B539" s="10">
        <v>45788</v>
      </c>
      <c r="C539" s="11">
        <f>VLOOKUP(B:B,'Курс валют'!A:D,4,0)</f>
        <v>92.143900000000002</v>
      </c>
      <c r="D539" s="58">
        <v>258</v>
      </c>
      <c r="E539" s="64" t="s">
        <v>57</v>
      </c>
      <c r="F539" s="58">
        <v>2000</v>
      </c>
      <c r="G539" s="58">
        <v>2030.6</v>
      </c>
      <c r="H539" s="56">
        <v>0</v>
      </c>
      <c r="I539" s="58">
        <f t="shared" si="64"/>
        <v>30.599999999999909</v>
      </c>
      <c r="J539" s="14">
        <f t="shared" si="65"/>
        <v>1.5299999999999954</v>
      </c>
      <c r="K539" s="56">
        <v>2.65</v>
      </c>
      <c r="L539" s="15">
        <f t="shared" si="59"/>
        <v>0</v>
      </c>
      <c r="M539" s="16">
        <f t="shared" si="66"/>
        <v>244.18133499999999</v>
      </c>
      <c r="N539" s="17">
        <f t="shared" si="60"/>
        <v>2.65</v>
      </c>
      <c r="O539" s="17">
        <f t="shared" si="61"/>
        <v>5300</v>
      </c>
      <c r="P539" s="18">
        <f t="shared" si="62"/>
        <v>488362.67</v>
      </c>
      <c r="R539" s="66"/>
      <c r="S539" s="48" t="s">
        <v>2388</v>
      </c>
      <c r="T539" s="20"/>
      <c r="U539" s="20"/>
      <c r="V539" s="20"/>
      <c r="W539" s="20"/>
      <c r="X539" s="20"/>
      <c r="Y539" s="20"/>
      <c r="Z539" s="20"/>
      <c r="AA539" s="20"/>
    </row>
    <row r="540" spans="1:27">
      <c r="A540" s="54">
        <v>45789</v>
      </c>
      <c r="B540" s="10">
        <v>45789</v>
      </c>
      <c r="C540" s="11">
        <f>VLOOKUP(B:B,'Курс валют'!A:D,4,0)</f>
        <v>92.143900000000002</v>
      </c>
      <c r="D540" s="58">
        <v>259</v>
      </c>
      <c r="E540" s="64" t="s">
        <v>50</v>
      </c>
      <c r="F540" s="58">
        <v>8000</v>
      </c>
      <c r="G540" s="58">
        <v>8030.2</v>
      </c>
      <c r="H540" s="56">
        <v>0</v>
      </c>
      <c r="I540" s="58">
        <f t="shared" si="64"/>
        <v>30.199999999999818</v>
      </c>
      <c r="J540" s="14">
        <f t="shared" si="65"/>
        <v>0.37749999999999773</v>
      </c>
      <c r="K540" s="56">
        <v>1.87</v>
      </c>
      <c r="L540" s="15">
        <f t="shared" si="59"/>
        <v>0</v>
      </c>
      <c r="M540" s="16">
        <f t="shared" si="66"/>
        <v>172.30909299999999</v>
      </c>
      <c r="N540" s="17">
        <f t="shared" si="60"/>
        <v>1.87</v>
      </c>
      <c r="O540" s="17">
        <f t="shared" si="61"/>
        <v>14960</v>
      </c>
      <c r="P540" s="18">
        <f t="shared" si="62"/>
        <v>1378472.7439999999</v>
      </c>
      <c r="R540" s="66"/>
      <c r="S540" s="48"/>
      <c r="T540" s="20"/>
      <c r="U540" s="20"/>
      <c r="V540" s="20"/>
      <c r="W540" s="20"/>
      <c r="X540" s="20"/>
      <c r="Y540" s="20"/>
      <c r="Z540" s="20"/>
      <c r="AA540" s="20"/>
    </row>
    <row r="541" spans="1:27">
      <c r="A541" s="54">
        <v>45789</v>
      </c>
      <c r="B541" s="10">
        <v>45789</v>
      </c>
      <c r="C541" s="11">
        <f>VLOOKUP(B:B,'Курс валют'!A:D,4,0)</f>
        <v>92.143900000000002</v>
      </c>
      <c r="D541" s="58">
        <v>260</v>
      </c>
      <c r="E541" s="64" t="s">
        <v>57</v>
      </c>
      <c r="F541" s="58">
        <v>2000</v>
      </c>
      <c r="G541" s="57">
        <v>2034</v>
      </c>
      <c r="H541" s="56">
        <v>0</v>
      </c>
      <c r="I541" s="58">
        <f t="shared" si="64"/>
        <v>34</v>
      </c>
      <c r="J541" s="14">
        <f t="shared" si="65"/>
        <v>1.7000000000000002</v>
      </c>
      <c r="K541" s="56">
        <v>2.65</v>
      </c>
      <c r="L541" s="15">
        <f t="shared" si="59"/>
        <v>0</v>
      </c>
      <c r="M541" s="16">
        <f t="shared" si="66"/>
        <v>244.18133499999999</v>
      </c>
      <c r="N541" s="17">
        <f t="shared" si="60"/>
        <v>2.65</v>
      </c>
      <c r="O541" s="17">
        <f t="shared" si="61"/>
        <v>5300</v>
      </c>
      <c r="P541" s="18">
        <f t="shared" si="62"/>
        <v>488362.67</v>
      </c>
      <c r="R541" s="66"/>
      <c r="S541" s="48" t="s">
        <v>2388</v>
      </c>
      <c r="T541" s="20"/>
      <c r="U541" s="20"/>
      <c r="V541" s="20"/>
      <c r="W541" s="20"/>
      <c r="X541" s="20"/>
      <c r="Y541" s="20"/>
      <c r="Z541" s="20"/>
      <c r="AA541" s="20"/>
    </row>
    <row r="542" spans="1:27">
      <c r="A542" s="54">
        <v>45790</v>
      </c>
      <c r="B542" s="10">
        <v>45790</v>
      </c>
      <c r="C542" s="11">
        <f>VLOOKUP(B:B,'Курс валют'!A:D,4,0)</f>
        <v>90.111699999999999</v>
      </c>
      <c r="D542" s="58">
        <v>261</v>
      </c>
      <c r="E542" s="50" t="s">
        <v>2394</v>
      </c>
      <c r="F542" s="58">
        <v>20</v>
      </c>
      <c r="G542" s="57">
        <v>21.3</v>
      </c>
      <c r="H542" s="56">
        <v>0</v>
      </c>
      <c r="I542" s="58">
        <f t="shared" si="64"/>
        <v>1.3000000000000007</v>
      </c>
      <c r="J542" s="14">
        <f t="shared" si="65"/>
        <v>6.5000000000000027</v>
      </c>
      <c r="K542" s="56">
        <v>4.01</v>
      </c>
      <c r="L542" s="15">
        <f t="shared" si="59"/>
        <v>0</v>
      </c>
      <c r="M542" s="16">
        <f t="shared" si="66"/>
        <v>361.34791699999994</v>
      </c>
      <c r="N542" s="17">
        <f t="shared" si="60"/>
        <v>4.01</v>
      </c>
      <c r="O542" s="17">
        <f t="shared" si="61"/>
        <v>80.199999999999989</v>
      </c>
      <c r="P542" s="18">
        <f t="shared" si="62"/>
        <v>7226.9583399999992</v>
      </c>
      <c r="R542" s="65" t="s">
        <v>2395</v>
      </c>
      <c r="S542" s="48"/>
      <c r="T542" s="20"/>
      <c r="U542" s="20"/>
      <c r="V542" s="20"/>
      <c r="W542" s="20"/>
      <c r="X542" s="20"/>
      <c r="Y542" s="20"/>
      <c r="Z542" s="20"/>
      <c r="AA542" s="20"/>
    </row>
    <row r="543" spans="1:27">
      <c r="A543" s="54">
        <v>45790</v>
      </c>
      <c r="B543" s="10">
        <v>45790</v>
      </c>
      <c r="C543" s="11">
        <f>VLOOKUP(B:B,'Курс валют'!A:D,4,0)</f>
        <v>90.111699999999999</v>
      </c>
      <c r="D543" s="58">
        <v>262</v>
      </c>
      <c r="E543" s="50" t="s">
        <v>2396</v>
      </c>
      <c r="F543" s="58">
        <v>20</v>
      </c>
      <c r="G543" s="57">
        <v>22.3</v>
      </c>
      <c r="H543" s="56">
        <v>0</v>
      </c>
      <c r="I543" s="58">
        <f t="shared" si="64"/>
        <v>2.3000000000000007</v>
      </c>
      <c r="J543" s="14">
        <f t="shared" si="65"/>
        <v>11.500000000000004</v>
      </c>
      <c r="K543" s="56">
        <v>3.94</v>
      </c>
      <c r="L543" s="15">
        <f t="shared" si="59"/>
        <v>0</v>
      </c>
      <c r="M543" s="16">
        <f t="shared" si="66"/>
        <v>355.040098</v>
      </c>
      <c r="N543" s="17">
        <f t="shared" si="60"/>
        <v>3.94</v>
      </c>
      <c r="O543" s="17">
        <f t="shared" si="61"/>
        <v>78.8</v>
      </c>
      <c r="P543" s="18">
        <f t="shared" si="62"/>
        <v>7100.8019599999998</v>
      </c>
      <c r="R543" s="65" t="s">
        <v>2395</v>
      </c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>
      <c r="A544" s="54">
        <v>45790</v>
      </c>
      <c r="B544" s="10">
        <v>45790</v>
      </c>
      <c r="C544" s="11">
        <f>VLOOKUP(B:B,'Курс валют'!A:D,4,0)</f>
        <v>90.111699999999999</v>
      </c>
      <c r="D544" s="58">
        <v>263</v>
      </c>
      <c r="E544" s="50" t="s">
        <v>50</v>
      </c>
      <c r="F544" s="58">
        <v>8000</v>
      </c>
      <c r="G544" s="57">
        <v>8030.5</v>
      </c>
      <c r="H544" s="56">
        <v>0</v>
      </c>
      <c r="I544" s="58">
        <f t="shared" si="64"/>
        <v>30.5</v>
      </c>
      <c r="J544" s="14">
        <f t="shared" si="65"/>
        <v>0.38124999999999998</v>
      </c>
      <c r="K544" s="56">
        <v>1.87</v>
      </c>
      <c r="L544" s="15">
        <f t="shared" si="59"/>
        <v>0</v>
      </c>
      <c r="M544" s="16">
        <f t="shared" si="66"/>
        <v>168.50887899999998</v>
      </c>
      <c r="N544" s="17">
        <f t="shared" si="60"/>
        <v>1.87</v>
      </c>
      <c r="O544" s="17">
        <f t="shared" si="61"/>
        <v>14960</v>
      </c>
      <c r="P544" s="18">
        <f t="shared" si="62"/>
        <v>1348071.0319999999</v>
      </c>
      <c r="R544" s="65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>
      <c r="A545" s="54">
        <v>45787</v>
      </c>
      <c r="B545" s="10">
        <v>45787</v>
      </c>
      <c r="C545" s="11">
        <f>VLOOKUP(B:B,'Курс валют'!A:D,4,0)</f>
        <v>92.143900000000002</v>
      </c>
      <c r="D545" s="58">
        <v>264</v>
      </c>
      <c r="E545" s="50" t="s">
        <v>56</v>
      </c>
      <c r="F545" s="58">
        <v>1000</v>
      </c>
      <c r="G545" s="57">
        <v>1038.5</v>
      </c>
      <c r="H545" s="56">
        <v>0</v>
      </c>
      <c r="I545" s="58">
        <f t="shared" si="64"/>
        <v>38.5</v>
      </c>
      <c r="J545" s="14">
        <f t="shared" si="65"/>
        <v>3.85</v>
      </c>
      <c r="K545" s="56">
        <v>3.23</v>
      </c>
      <c r="L545" s="15">
        <f t="shared" si="59"/>
        <v>0</v>
      </c>
      <c r="M545" s="16">
        <f t="shared" si="66"/>
        <v>297.624797</v>
      </c>
      <c r="N545" s="17">
        <f t="shared" si="60"/>
        <v>3.23</v>
      </c>
      <c r="O545" s="17">
        <f t="shared" si="61"/>
        <v>3230</v>
      </c>
      <c r="P545" s="18">
        <f t="shared" si="62"/>
        <v>297624.79700000002</v>
      </c>
      <c r="R545" s="65"/>
      <c r="S545" s="19" t="s">
        <v>2393</v>
      </c>
      <c r="T545" s="20"/>
      <c r="U545" s="20"/>
      <c r="V545" s="20"/>
      <c r="W545" s="20"/>
      <c r="X545" s="20"/>
      <c r="Y545" s="20"/>
      <c r="Z545" s="20"/>
      <c r="AA545" s="20"/>
    </row>
    <row r="546" spans="1:27">
      <c r="A546" s="54">
        <v>45788</v>
      </c>
      <c r="B546" s="10">
        <v>45788</v>
      </c>
      <c r="C546" s="11">
        <f>VLOOKUP(B:B,'Курс валют'!A:D,4,0)</f>
        <v>92.143900000000002</v>
      </c>
      <c r="D546" s="58">
        <v>265</v>
      </c>
      <c r="E546" s="50" t="s">
        <v>56</v>
      </c>
      <c r="F546" s="58">
        <v>1000</v>
      </c>
      <c r="G546" s="57">
        <v>1038.5</v>
      </c>
      <c r="H546" s="56">
        <v>0</v>
      </c>
      <c r="I546" s="58">
        <f t="shared" si="64"/>
        <v>38.5</v>
      </c>
      <c r="J546" s="14">
        <f t="shared" si="65"/>
        <v>3.85</v>
      </c>
      <c r="K546" s="56">
        <v>3.22</v>
      </c>
      <c r="L546" s="15">
        <f t="shared" si="59"/>
        <v>0</v>
      </c>
      <c r="M546" s="16">
        <f t="shared" si="66"/>
        <v>296.70335799999998</v>
      </c>
      <c r="N546" s="17">
        <f t="shared" si="60"/>
        <v>3.22</v>
      </c>
      <c r="O546" s="17">
        <f t="shared" si="61"/>
        <v>3220</v>
      </c>
      <c r="P546" s="18">
        <f t="shared" si="62"/>
        <v>296703.35800000001</v>
      </c>
      <c r="R546" s="66"/>
      <c r="S546" s="19" t="s">
        <v>2393</v>
      </c>
      <c r="T546" s="20"/>
      <c r="U546" s="20"/>
      <c r="V546" s="20"/>
      <c r="W546" s="20"/>
      <c r="X546" s="20"/>
      <c r="Y546" s="20"/>
      <c r="Z546" s="20"/>
      <c r="AA546" s="20"/>
    </row>
    <row r="547" spans="1:27">
      <c r="A547" s="54">
        <v>45789</v>
      </c>
      <c r="B547" s="10">
        <v>45789</v>
      </c>
      <c r="C547" s="11">
        <f>VLOOKUP(B:B,'Курс валют'!A:D,4,0)</f>
        <v>92.143900000000002</v>
      </c>
      <c r="D547" s="58">
        <v>266</v>
      </c>
      <c r="E547" s="50" t="s">
        <v>56</v>
      </c>
      <c r="F547" s="58">
        <v>1000</v>
      </c>
      <c r="G547" s="57">
        <v>1037.5</v>
      </c>
      <c r="H547" s="56">
        <v>0</v>
      </c>
      <c r="I547" s="58">
        <f t="shared" si="64"/>
        <v>37.5</v>
      </c>
      <c r="J547" s="14">
        <f t="shared" si="65"/>
        <v>3.75</v>
      </c>
      <c r="K547" s="56">
        <v>3.22</v>
      </c>
      <c r="L547" s="15">
        <f t="shared" ref="L547:L610" si="67">H547/F547*100</f>
        <v>0</v>
      </c>
      <c r="M547" s="16">
        <f t="shared" si="66"/>
        <v>296.70335799999998</v>
      </c>
      <c r="N547" s="17">
        <f t="shared" ref="N547:N591" si="68">(F547*K547-H547*3.04)/F547</f>
        <v>3.22</v>
      </c>
      <c r="O547" s="17">
        <f t="shared" ref="O547:O610" si="69">N547*F547</f>
        <v>3220</v>
      </c>
      <c r="P547" s="18">
        <f t="shared" ref="P547:P610" si="70">O547*C547</f>
        <v>296703.35800000001</v>
      </c>
      <c r="R547" s="66"/>
      <c r="S547" s="19" t="s">
        <v>2393</v>
      </c>
      <c r="T547" s="20"/>
      <c r="U547" s="20"/>
      <c r="V547" s="20"/>
      <c r="W547" s="20"/>
      <c r="X547" s="20"/>
      <c r="Y547" s="20"/>
      <c r="Z547" s="20"/>
      <c r="AA547" s="20"/>
    </row>
    <row r="548" spans="1:27">
      <c r="A548" s="54">
        <v>45790</v>
      </c>
      <c r="B548" s="10">
        <v>45790</v>
      </c>
      <c r="C548" s="11">
        <f>VLOOKUP(B:B,'Курс валют'!A:D,4,0)</f>
        <v>90.111699999999999</v>
      </c>
      <c r="D548" s="58">
        <v>267</v>
      </c>
      <c r="E548" s="50" t="s">
        <v>57</v>
      </c>
      <c r="F548" s="58">
        <v>2000</v>
      </c>
      <c r="G548" s="57">
        <v>2019.6</v>
      </c>
      <c r="H548" s="56">
        <v>0</v>
      </c>
      <c r="I548" s="58">
        <f t="shared" si="64"/>
        <v>19.599999999999909</v>
      </c>
      <c r="J548" s="14">
        <f t="shared" si="65"/>
        <v>0.97999999999999543</v>
      </c>
      <c r="K548" s="56">
        <v>2.61</v>
      </c>
      <c r="L548" s="15">
        <f t="shared" si="67"/>
        <v>0</v>
      </c>
      <c r="M548" s="16">
        <f t="shared" si="66"/>
        <v>235.19153700000001</v>
      </c>
      <c r="N548" s="17">
        <f t="shared" si="68"/>
        <v>2.61</v>
      </c>
      <c r="O548" s="17">
        <f t="shared" si="69"/>
        <v>5220</v>
      </c>
      <c r="P548" s="18">
        <f t="shared" si="70"/>
        <v>470383.07400000002</v>
      </c>
      <c r="R548" s="66"/>
      <c r="S548" s="19"/>
      <c r="T548" s="20"/>
      <c r="U548" s="20"/>
      <c r="V548" s="20"/>
      <c r="W548" s="20"/>
      <c r="X548" s="20"/>
      <c r="Y548" s="20"/>
      <c r="Z548" s="20"/>
      <c r="AA548" s="20"/>
    </row>
    <row r="549" spans="1:27">
      <c r="A549" s="54">
        <v>45791</v>
      </c>
      <c r="B549" s="10">
        <v>45791</v>
      </c>
      <c r="C549" s="11">
        <f>VLOOKUP(B:B,'Курс валют'!A:D,4,0)</f>
        <v>89.695599999999999</v>
      </c>
      <c r="D549" s="58">
        <v>268</v>
      </c>
      <c r="E549" s="50" t="s">
        <v>54</v>
      </c>
      <c r="F549" s="58">
        <v>3200</v>
      </c>
      <c r="G549" s="52">
        <v>3223.76</v>
      </c>
      <c r="H549" s="56">
        <v>0</v>
      </c>
      <c r="I549" s="13">
        <f t="shared" si="64"/>
        <v>23.760000000000218</v>
      </c>
      <c r="J549" s="14">
        <f t="shared" si="65"/>
        <v>0.74250000000000682</v>
      </c>
      <c r="K549" s="56">
        <v>3.06</v>
      </c>
      <c r="L549" s="15">
        <f t="shared" si="67"/>
        <v>0</v>
      </c>
      <c r="M549" s="16">
        <f t="shared" si="66"/>
        <v>274.46853599999997</v>
      </c>
      <c r="N549" s="17">
        <f t="shared" si="68"/>
        <v>3.06</v>
      </c>
      <c r="O549" s="17">
        <f t="shared" si="69"/>
        <v>9792</v>
      </c>
      <c r="P549" s="18">
        <f t="shared" si="70"/>
        <v>878299.31519999995</v>
      </c>
      <c r="R549" s="65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>
      <c r="A550" s="54">
        <v>45791</v>
      </c>
      <c r="B550" s="10">
        <v>45791</v>
      </c>
      <c r="C550" s="11">
        <f>VLOOKUP(B:B,'Курс валют'!A:D,4,0)</f>
        <v>89.695599999999999</v>
      </c>
      <c r="D550" s="58">
        <v>268</v>
      </c>
      <c r="E550" s="50" t="s">
        <v>60</v>
      </c>
      <c r="F550" s="58">
        <v>2250</v>
      </c>
      <c r="G550" s="57">
        <v>2285.9299999999998</v>
      </c>
      <c r="H550" s="56">
        <v>0</v>
      </c>
      <c r="I550" s="58">
        <f t="shared" si="64"/>
        <v>35.929999999999836</v>
      </c>
      <c r="J550" s="14">
        <f t="shared" si="65"/>
        <v>1.5968888888888817</v>
      </c>
      <c r="K550" s="56">
        <v>1.97</v>
      </c>
      <c r="L550" s="15">
        <f t="shared" si="67"/>
        <v>0</v>
      </c>
      <c r="M550" s="16">
        <f t="shared" si="66"/>
        <v>176.70033199999997</v>
      </c>
      <c r="N550" s="17">
        <f t="shared" si="68"/>
        <v>1.97</v>
      </c>
      <c r="O550" s="17">
        <f t="shared" si="69"/>
        <v>4432.5</v>
      </c>
      <c r="P550" s="18">
        <f t="shared" si="70"/>
        <v>397575.74699999997</v>
      </c>
      <c r="R550" s="66"/>
      <c r="S550" s="19"/>
      <c r="T550" s="20"/>
      <c r="U550" s="20"/>
      <c r="V550" s="20"/>
      <c r="W550" s="20"/>
      <c r="X550" s="20"/>
      <c r="Y550" s="20"/>
      <c r="Z550" s="20"/>
      <c r="AA550" s="20"/>
    </row>
    <row r="551" spans="1:27">
      <c r="A551" s="54">
        <v>45792</v>
      </c>
      <c r="B551" s="54">
        <v>45792</v>
      </c>
      <c r="C551" s="11">
        <f>VLOOKUP(B:B,'Курс валют'!A:D,4,0)</f>
        <v>90.382099999999994</v>
      </c>
      <c r="D551" s="58">
        <v>269</v>
      </c>
      <c r="E551" s="50" t="s">
        <v>60</v>
      </c>
      <c r="F551" s="58">
        <v>2250</v>
      </c>
      <c r="G551" s="57">
        <v>2292.9299999999998</v>
      </c>
      <c r="H551" s="56">
        <v>0</v>
      </c>
      <c r="I551" s="58">
        <f t="shared" si="64"/>
        <v>42.929999999999836</v>
      </c>
      <c r="J551" s="14">
        <f t="shared" si="65"/>
        <v>1.9079999999999926</v>
      </c>
      <c r="K551" s="56">
        <v>2.13</v>
      </c>
      <c r="L551" s="15">
        <f t="shared" si="67"/>
        <v>0</v>
      </c>
      <c r="M551" s="16">
        <f t="shared" si="66"/>
        <v>192.51387299999999</v>
      </c>
      <c r="N551" s="17">
        <f t="shared" si="68"/>
        <v>2.13</v>
      </c>
      <c r="O551" s="17">
        <f t="shared" si="69"/>
        <v>4792.5</v>
      </c>
      <c r="P551" s="18">
        <f t="shared" si="70"/>
        <v>433156.21424999996</v>
      </c>
      <c r="R551" s="66"/>
      <c r="S551" s="19"/>
      <c r="T551" s="20"/>
      <c r="U551" s="20"/>
      <c r="V551" s="20"/>
      <c r="W551" s="20"/>
      <c r="X551" s="20"/>
      <c r="Y551" s="20"/>
      <c r="Z551" s="20"/>
      <c r="AA551" s="20"/>
    </row>
    <row r="552" spans="1:27">
      <c r="A552" s="54">
        <v>45792</v>
      </c>
      <c r="B552" s="10">
        <v>45792</v>
      </c>
      <c r="C552" s="11">
        <f>VLOOKUP(B:B,'Курс валют'!A:D,4,0)</f>
        <v>90.382099999999994</v>
      </c>
      <c r="D552" s="58">
        <v>271</v>
      </c>
      <c r="E552" s="50" t="s">
        <v>2397</v>
      </c>
      <c r="F552" s="58">
        <v>2400</v>
      </c>
      <c r="G552" s="57">
        <v>2431.8000000000002</v>
      </c>
      <c r="H552" s="56">
        <v>0</v>
      </c>
      <c r="I552" s="58">
        <f t="shared" si="64"/>
        <v>31.800000000000182</v>
      </c>
      <c r="J552" s="14">
        <f t="shared" si="65"/>
        <v>1.3250000000000075</v>
      </c>
      <c r="K552" s="56">
        <v>3.29</v>
      </c>
      <c r="L552" s="15">
        <f t="shared" si="67"/>
        <v>0</v>
      </c>
      <c r="M552" s="16">
        <f t="shared" si="66"/>
        <v>297.35710899999998</v>
      </c>
      <c r="N552" s="17">
        <f t="shared" si="68"/>
        <v>3.29</v>
      </c>
      <c r="O552" s="17">
        <f t="shared" si="69"/>
        <v>7896</v>
      </c>
      <c r="P552" s="18">
        <f t="shared" si="70"/>
        <v>713657.0615999999</v>
      </c>
      <c r="R552" s="66"/>
      <c r="S552" s="19"/>
      <c r="T552" s="20"/>
      <c r="U552" s="20"/>
      <c r="V552" s="20"/>
      <c r="W552" s="20"/>
      <c r="X552" s="20"/>
      <c r="Y552" s="20"/>
      <c r="Z552" s="20"/>
      <c r="AA552" s="20"/>
    </row>
    <row r="553" spans="1:27">
      <c r="A553" s="54">
        <v>45792</v>
      </c>
      <c r="B553" s="10">
        <v>45792</v>
      </c>
      <c r="C553" s="11">
        <f>VLOOKUP(B:B,'Курс валют'!A:D,4,0)</f>
        <v>90.382099999999994</v>
      </c>
      <c r="D553" s="58">
        <v>270</v>
      </c>
      <c r="E553" s="50" t="s">
        <v>50</v>
      </c>
      <c r="F553" s="58">
        <v>2400</v>
      </c>
      <c r="G553" s="57">
        <v>2414.6</v>
      </c>
      <c r="H553" s="56">
        <v>0</v>
      </c>
      <c r="I553" s="58">
        <f t="shared" si="64"/>
        <v>14.599999999999909</v>
      </c>
      <c r="J553" s="14">
        <f t="shared" si="65"/>
        <v>0.60833333333332962</v>
      </c>
      <c r="K553" s="56">
        <v>1.9</v>
      </c>
      <c r="L553" s="15">
        <f t="shared" si="67"/>
        <v>0</v>
      </c>
      <c r="M553" s="16">
        <f t="shared" si="66"/>
        <v>171.72599</v>
      </c>
      <c r="N553" s="17">
        <f t="shared" si="68"/>
        <v>1.9</v>
      </c>
      <c r="O553" s="17">
        <f t="shared" si="69"/>
        <v>4560</v>
      </c>
      <c r="P553" s="18">
        <f t="shared" si="70"/>
        <v>412142.37599999999</v>
      </c>
      <c r="R553" s="66"/>
      <c r="S553" s="19"/>
      <c r="T553" s="20"/>
      <c r="U553" s="20"/>
      <c r="V553" s="20"/>
      <c r="W553" s="20"/>
      <c r="X553" s="20"/>
      <c r="Y553" s="20"/>
      <c r="Z553" s="20"/>
      <c r="AA553" s="20"/>
    </row>
    <row r="554" spans="1:27">
      <c r="A554" s="54">
        <v>45793</v>
      </c>
      <c r="B554" s="10">
        <v>45793</v>
      </c>
      <c r="C554" s="11">
        <f>VLOOKUP(B:B,'Курс валют'!A:D,4,0)</f>
        <v>90.101100000000002</v>
      </c>
      <c r="D554" s="58">
        <v>272</v>
      </c>
      <c r="E554" s="50" t="s">
        <v>2398</v>
      </c>
      <c r="F554" s="58">
        <v>20</v>
      </c>
      <c r="G554" s="57">
        <v>21.25</v>
      </c>
      <c r="H554" s="56">
        <v>0</v>
      </c>
      <c r="I554" s="58">
        <f t="shared" si="64"/>
        <v>1.25</v>
      </c>
      <c r="J554" s="14">
        <f t="shared" si="65"/>
        <v>6.25</v>
      </c>
      <c r="K554" s="56">
        <v>3.76</v>
      </c>
      <c r="L554" s="15">
        <f t="shared" si="67"/>
        <v>0</v>
      </c>
      <c r="M554" s="16">
        <f t="shared" si="66"/>
        <v>338.78013599999997</v>
      </c>
      <c r="N554" s="17">
        <f t="shared" si="68"/>
        <v>3.7599999999999993</v>
      </c>
      <c r="O554" s="17">
        <f t="shared" si="69"/>
        <v>75.199999999999989</v>
      </c>
      <c r="P554" s="18">
        <f t="shared" si="70"/>
        <v>6775.602719999999</v>
      </c>
      <c r="R554" s="66"/>
      <c r="S554" s="19"/>
      <c r="T554" s="20"/>
      <c r="U554" s="20"/>
      <c r="V554" s="20"/>
      <c r="W554" s="20"/>
      <c r="X554" s="20"/>
      <c r="Y554" s="20"/>
      <c r="Z554" s="20"/>
      <c r="AA554" s="20"/>
    </row>
    <row r="555" spans="1:27">
      <c r="A555" s="54">
        <v>45793</v>
      </c>
      <c r="B555" s="10">
        <v>45793</v>
      </c>
      <c r="C555" s="11">
        <f>VLOOKUP(B:B,'Курс валют'!A:D,4,0)</f>
        <v>90.101100000000002</v>
      </c>
      <c r="D555" s="58">
        <v>273</v>
      </c>
      <c r="E555" s="50" t="s">
        <v>60</v>
      </c>
      <c r="F555" s="58">
        <v>2250</v>
      </c>
      <c r="G555" s="57">
        <f>225+200+4.18+4.56+191+716+994+807+39+1.13+1.8-132-289-91-205-170</f>
        <v>2296.67</v>
      </c>
      <c r="H555" s="56">
        <v>0</v>
      </c>
      <c r="I555" s="58">
        <f t="shared" si="64"/>
        <v>46.670000000000073</v>
      </c>
      <c r="J555" s="14">
        <f t="shared" si="65"/>
        <v>2.0742222222222257</v>
      </c>
      <c r="K555" s="56">
        <v>2.19</v>
      </c>
      <c r="L555" s="15">
        <f t="shared" si="67"/>
        <v>0</v>
      </c>
      <c r="M555" s="16">
        <f t="shared" si="66"/>
        <v>197.32140900000002</v>
      </c>
      <c r="N555" s="17">
        <f t="shared" si="68"/>
        <v>2.19</v>
      </c>
      <c r="O555" s="17">
        <f t="shared" si="69"/>
        <v>4927.5</v>
      </c>
      <c r="P555" s="18">
        <f t="shared" si="70"/>
        <v>443973.17025000002</v>
      </c>
      <c r="R555" s="66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>
      <c r="A556" s="54">
        <v>45793</v>
      </c>
      <c r="B556" s="10">
        <v>45793</v>
      </c>
      <c r="C556" s="11">
        <f>VLOOKUP(B:B,'Курс валют'!A:D,4,0)</f>
        <v>90.101100000000002</v>
      </c>
      <c r="D556" s="58">
        <v>274</v>
      </c>
      <c r="E556" s="50" t="s">
        <v>60</v>
      </c>
      <c r="F556" s="58">
        <v>2250</v>
      </c>
      <c r="G556" s="57">
        <f>225+250+1000+1200+132+289+91+205+170+1.13+1.8-67-112-188-803-101</f>
        <v>2293.9300000000003</v>
      </c>
      <c r="H556" s="56">
        <v>0</v>
      </c>
      <c r="I556" s="58">
        <f t="shared" si="64"/>
        <v>43.930000000000291</v>
      </c>
      <c r="J556" s="14">
        <f t="shared" si="65"/>
        <v>1.9524444444444573</v>
      </c>
      <c r="K556" s="56">
        <v>2.19</v>
      </c>
      <c r="L556" s="15">
        <f t="shared" si="67"/>
        <v>0</v>
      </c>
      <c r="M556" s="16">
        <f t="shared" si="66"/>
        <v>197.32140900000002</v>
      </c>
      <c r="N556" s="17">
        <f t="shared" si="68"/>
        <v>2.19</v>
      </c>
      <c r="O556" s="17">
        <f t="shared" si="69"/>
        <v>4927.5</v>
      </c>
      <c r="P556" s="18">
        <f t="shared" si="70"/>
        <v>443973.17025000002</v>
      </c>
      <c r="R556" s="66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>
      <c r="A557" s="54">
        <v>45794</v>
      </c>
      <c r="B557" s="10">
        <v>45796</v>
      </c>
      <c r="C557" s="11">
        <f>VLOOKUP(B:B,'Курс валют'!A:D,4,0)</f>
        <v>90.706199999999995</v>
      </c>
      <c r="D557" s="58">
        <v>275</v>
      </c>
      <c r="E557" s="50" t="s">
        <v>60</v>
      </c>
      <c r="F557" s="58">
        <v>2250</v>
      </c>
      <c r="G557" s="57">
        <f>225+250+100+1000+222+67+112+188+803+101+1.13+1.8-6-37-508-204-33</f>
        <v>2282.9300000000003</v>
      </c>
      <c r="H557" s="56">
        <v>211.5</v>
      </c>
      <c r="I557" s="58">
        <f t="shared" si="64"/>
        <v>32.930000000000291</v>
      </c>
      <c r="J557" s="14">
        <f t="shared" si="65"/>
        <v>1.4635555555555684</v>
      </c>
      <c r="K557" s="56">
        <v>2.34</v>
      </c>
      <c r="L557" s="15">
        <f t="shared" si="67"/>
        <v>9.4</v>
      </c>
      <c r="M557" s="16">
        <f t="shared" si="66"/>
        <v>191.36287014000001</v>
      </c>
      <c r="N557" s="17">
        <f>(F557*K557-H557*2.45)/F557</f>
        <v>2.1097000000000001</v>
      </c>
      <c r="O557" s="17">
        <f t="shared" si="69"/>
        <v>4746.8250000000007</v>
      </c>
      <c r="P557" s="18">
        <f t="shared" si="70"/>
        <v>430566.45781500003</v>
      </c>
      <c r="S557" s="19"/>
      <c r="T557" s="20"/>
      <c r="U557" s="20"/>
      <c r="V557" s="20"/>
      <c r="W557" s="20"/>
      <c r="X557" s="20"/>
      <c r="Y557" s="20"/>
      <c r="Z557" s="20"/>
      <c r="AA557" s="20"/>
    </row>
    <row r="558" spans="1:27">
      <c r="A558" s="54">
        <v>45793</v>
      </c>
      <c r="B558" s="10">
        <v>45793</v>
      </c>
      <c r="C558" s="11">
        <f>VLOOKUP(B:B,'Курс валют'!A:D,4,0)</f>
        <v>90.101100000000002</v>
      </c>
      <c r="D558" s="58">
        <v>276</v>
      </c>
      <c r="E558" s="50" t="s">
        <v>15</v>
      </c>
      <c r="F558" s="58">
        <v>9900</v>
      </c>
      <c r="G558" s="57">
        <f>5500+1000+5000+103-42-925-652</f>
        <v>9984</v>
      </c>
      <c r="H558" s="49">
        <v>4526</v>
      </c>
      <c r="I558" s="58">
        <f t="shared" si="64"/>
        <v>84</v>
      </c>
      <c r="J558" s="14">
        <f t="shared" si="65"/>
        <v>0.84848484848484862</v>
      </c>
      <c r="K558" s="56">
        <v>3.87</v>
      </c>
      <c r="L558" s="15">
        <f t="shared" si="67"/>
        <v>45.717171717171716</v>
      </c>
      <c r="M558" s="16">
        <f t="shared" si="66"/>
        <v>223.46856619757577</v>
      </c>
      <c r="N558" s="17">
        <f t="shared" ref="N558:N560" si="71">(F558*K558-H558*3.04)/F558</f>
        <v>2.4801979797979796</v>
      </c>
      <c r="O558" s="17">
        <f t="shared" si="69"/>
        <v>24553.96</v>
      </c>
      <c r="P558" s="18">
        <f t="shared" si="70"/>
        <v>2212338.8053560001</v>
      </c>
      <c r="R558" s="66"/>
      <c r="S558" s="19"/>
      <c r="T558" s="20"/>
      <c r="U558" s="20"/>
      <c r="V558" s="20"/>
      <c r="W558" s="20"/>
      <c r="X558" s="20"/>
      <c r="Y558" s="20"/>
      <c r="Z558" s="20"/>
      <c r="AA558" s="20"/>
    </row>
    <row r="559" spans="1:27">
      <c r="A559" s="54">
        <v>45794</v>
      </c>
      <c r="B559" s="10">
        <v>45796</v>
      </c>
      <c r="C559" s="11">
        <f>VLOOKUP(B:B,'Курс валют'!A:D,4,0)</f>
        <v>90.706199999999995</v>
      </c>
      <c r="D559" s="58">
        <v>277</v>
      </c>
      <c r="E559" s="50" t="s">
        <v>15</v>
      </c>
      <c r="F559" s="58">
        <v>11000</v>
      </c>
      <c r="G559" s="57">
        <f>6000+5000+42+925+652-22-726-823</f>
        <v>11048</v>
      </c>
      <c r="H559" s="49">
        <v>5028</v>
      </c>
      <c r="I559" s="58">
        <f t="shared" si="64"/>
        <v>48</v>
      </c>
      <c r="J559" s="14">
        <f t="shared" si="65"/>
        <v>0.4363636363636364</v>
      </c>
      <c r="K559" s="56">
        <v>3.78</v>
      </c>
      <c r="L559" s="15">
        <f t="shared" si="67"/>
        <v>45.709090909090911</v>
      </c>
      <c r="M559" s="16">
        <f t="shared" si="66"/>
        <v>216.82805856872727</v>
      </c>
      <c r="N559" s="17">
        <f t="shared" si="71"/>
        <v>2.3904436363636363</v>
      </c>
      <c r="O559" s="17">
        <f t="shared" si="69"/>
        <v>26294.880000000001</v>
      </c>
      <c r="P559" s="18">
        <f t="shared" si="70"/>
        <v>2385108.6442559999</v>
      </c>
      <c r="R559" s="65"/>
      <c r="S559" s="19"/>
      <c r="T559" s="20"/>
      <c r="U559" s="20"/>
      <c r="V559" s="20"/>
      <c r="W559" s="20"/>
      <c r="X559" s="20"/>
      <c r="Y559" s="20"/>
      <c r="Z559" s="20"/>
      <c r="AA559" s="20"/>
    </row>
    <row r="560" spans="1:27">
      <c r="A560" s="54">
        <v>45795</v>
      </c>
      <c r="B560" s="10">
        <v>45796</v>
      </c>
      <c r="C560" s="11">
        <f>VLOOKUP(B:B,'Курс валют'!A:D,4,0)</f>
        <v>90.706199999999995</v>
      </c>
      <c r="D560" s="58">
        <v>279</v>
      </c>
      <c r="E560" s="50" t="s">
        <v>15</v>
      </c>
      <c r="F560" s="58">
        <v>11000</v>
      </c>
      <c r="G560" s="57">
        <f>6000+5000+22+726+823-5-527-994</f>
        <v>11045</v>
      </c>
      <c r="H560" s="49">
        <v>5028</v>
      </c>
      <c r="I560" s="58">
        <f t="shared" si="64"/>
        <v>45</v>
      </c>
      <c r="J560" s="14">
        <f t="shared" si="65"/>
        <v>0.40909090909090912</v>
      </c>
      <c r="K560" s="56">
        <v>3.78</v>
      </c>
      <c r="L560" s="15">
        <f t="shared" si="67"/>
        <v>45.709090909090911</v>
      </c>
      <c r="M560" s="16">
        <f t="shared" si="66"/>
        <v>216.82805856872727</v>
      </c>
      <c r="N560" s="17">
        <f t="shared" si="71"/>
        <v>2.3904436363636363</v>
      </c>
      <c r="O560" s="17">
        <f t="shared" si="69"/>
        <v>26294.880000000001</v>
      </c>
      <c r="P560" s="18">
        <f t="shared" si="70"/>
        <v>2385108.6442559999</v>
      </c>
      <c r="R560" s="65"/>
      <c r="S560" s="19"/>
      <c r="T560" s="20"/>
      <c r="U560" s="20"/>
      <c r="V560" s="20"/>
      <c r="W560" s="20"/>
      <c r="X560" s="20"/>
      <c r="Y560" s="20"/>
      <c r="Z560" s="20"/>
      <c r="AA560" s="20"/>
    </row>
    <row r="561" spans="1:27">
      <c r="A561" s="54">
        <v>45795</v>
      </c>
      <c r="B561" s="10">
        <v>45796</v>
      </c>
      <c r="C561" s="11">
        <f>VLOOKUP(B:B,'Курс валют'!A:D,4,0)</f>
        <v>90.706199999999995</v>
      </c>
      <c r="D561" s="58">
        <v>280</v>
      </c>
      <c r="E561" s="50" t="s">
        <v>60</v>
      </c>
      <c r="F561" s="58">
        <v>2250</v>
      </c>
      <c r="G561" s="57">
        <f>450+250+150+200+201+1200+200+6+37+508+204+33+1.13+1.8-167-12-10-803-165</f>
        <v>2284.9300000000003</v>
      </c>
      <c r="H561" s="49">
        <v>211.5</v>
      </c>
      <c r="I561" s="58">
        <f t="shared" si="64"/>
        <v>34.930000000000291</v>
      </c>
      <c r="J561" s="14">
        <f t="shared" si="65"/>
        <v>1.5524444444444574</v>
      </c>
      <c r="K561" s="53">
        <v>2.34</v>
      </c>
      <c r="L561" s="15">
        <f t="shared" si="67"/>
        <v>9.4</v>
      </c>
      <c r="M561" s="16">
        <f t="shared" si="66"/>
        <v>191.36287014000001</v>
      </c>
      <c r="N561" s="17">
        <f>(F561*K561-H561*2.45)/F561</f>
        <v>2.1097000000000001</v>
      </c>
      <c r="O561" s="17">
        <f t="shared" si="69"/>
        <v>4746.8250000000007</v>
      </c>
      <c r="P561" s="18">
        <f t="shared" si="70"/>
        <v>430566.45781500003</v>
      </c>
      <c r="R561" s="65"/>
      <c r="S561" s="19"/>
      <c r="T561" s="20"/>
      <c r="U561" s="20"/>
      <c r="V561" s="20"/>
      <c r="W561" s="20"/>
      <c r="X561" s="20"/>
      <c r="Y561" s="20"/>
      <c r="Z561" s="20"/>
      <c r="AA561" s="20"/>
    </row>
    <row r="562" spans="1:27">
      <c r="A562" s="54">
        <v>45795</v>
      </c>
      <c r="B562" s="10">
        <v>45796</v>
      </c>
      <c r="C562" s="11">
        <f>VLOOKUP(B:B,'Курс валют'!A:D,4,0)</f>
        <v>90.706199999999995</v>
      </c>
      <c r="D562" s="129">
        <v>281</v>
      </c>
      <c r="E562" s="50" t="s">
        <v>60</v>
      </c>
      <c r="F562" s="58">
        <v>2250</v>
      </c>
      <c r="G562" s="57">
        <v>2279.9299999999998</v>
      </c>
      <c r="H562" s="56">
        <v>697</v>
      </c>
      <c r="I562" s="58">
        <f t="shared" si="64"/>
        <v>29.929999999999836</v>
      </c>
      <c r="J562" s="14">
        <f t="shared" si="65"/>
        <v>1.3302222222222149</v>
      </c>
      <c r="K562" s="53">
        <v>2.72</v>
      </c>
      <c r="L562" s="15">
        <f t="shared" si="67"/>
        <v>30.977777777777778</v>
      </c>
      <c r="M562" s="16">
        <f t="shared" si="66"/>
        <v>161.30061819733334</v>
      </c>
      <c r="N562" s="17">
        <f t="shared" ref="N562:N625" si="72">(F562*K562-H562*3.04)/F562</f>
        <v>1.7782755555555556</v>
      </c>
      <c r="O562" s="17">
        <f t="shared" si="69"/>
        <v>4001.1200000000003</v>
      </c>
      <c r="P562" s="18">
        <f t="shared" si="70"/>
        <v>362926.39094399998</v>
      </c>
      <c r="R562" s="65"/>
      <c r="S562" s="19"/>
      <c r="T562" s="20"/>
      <c r="U562" s="20"/>
      <c r="V562" s="20"/>
      <c r="W562" s="20"/>
      <c r="X562" s="20"/>
      <c r="Y562" s="20"/>
      <c r="Z562" s="20"/>
      <c r="AA562" s="20"/>
    </row>
    <row r="563" spans="1:27">
      <c r="A563" s="54">
        <v>45796</v>
      </c>
      <c r="B563" s="10">
        <v>45796</v>
      </c>
      <c r="C563" s="11">
        <f>VLOOKUP(B:B,'Курс валют'!A:D,4,0)</f>
        <v>90.706199999999995</v>
      </c>
      <c r="D563" s="129">
        <v>282</v>
      </c>
      <c r="E563" s="50" t="s">
        <v>60</v>
      </c>
      <c r="F563" s="58">
        <v>2250</v>
      </c>
      <c r="G563" s="57">
        <v>2276.9299999999998</v>
      </c>
      <c r="H563" s="56">
        <f>697</f>
        <v>697</v>
      </c>
      <c r="I563" s="58">
        <f t="shared" si="64"/>
        <v>26.929999999999836</v>
      </c>
      <c r="J563" s="14">
        <f t="shared" si="65"/>
        <v>1.1968888888888816</v>
      </c>
      <c r="K563" s="53">
        <v>2.72</v>
      </c>
      <c r="L563" s="15">
        <f t="shared" si="67"/>
        <v>30.977777777777778</v>
      </c>
      <c r="M563" s="16">
        <f t="shared" si="66"/>
        <v>161.30061819733334</v>
      </c>
      <c r="N563" s="17">
        <f t="shared" si="72"/>
        <v>1.7782755555555556</v>
      </c>
      <c r="O563" s="17">
        <f t="shared" si="69"/>
        <v>4001.1200000000003</v>
      </c>
      <c r="P563" s="18">
        <f t="shared" si="70"/>
        <v>362926.39094399998</v>
      </c>
      <c r="R563" s="65"/>
      <c r="S563" s="19"/>
      <c r="T563" s="20"/>
      <c r="U563" s="20"/>
      <c r="V563" s="20"/>
      <c r="W563" s="20"/>
      <c r="X563" s="20"/>
      <c r="Y563" s="20"/>
      <c r="Z563" s="20"/>
      <c r="AA563" s="20"/>
    </row>
    <row r="564" spans="1:27">
      <c r="A564" s="54">
        <v>45796</v>
      </c>
      <c r="B564" s="10">
        <v>45796</v>
      </c>
      <c r="C564" s="11">
        <f>VLOOKUP(B:B,'Курс валют'!A:D,4,0)</f>
        <v>90.706199999999995</v>
      </c>
      <c r="D564" s="58">
        <v>283</v>
      </c>
      <c r="E564" s="50" t="s">
        <v>15</v>
      </c>
      <c r="F564" s="58">
        <v>11000</v>
      </c>
      <c r="G564" s="57">
        <v>11028</v>
      </c>
      <c r="H564" s="56">
        <v>5026</v>
      </c>
      <c r="I564" s="58">
        <f t="shared" si="64"/>
        <v>28</v>
      </c>
      <c r="J564" s="14">
        <f t="shared" si="65"/>
        <v>0.25454545454545457</v>
      </c>
      <c r="K564" s="56">
        <v>3.78</v>
      </c>
      <c r="L564" s="15">
        <f t="shared" si="67"/>
        <v>45.690909090909095</v>
      </c>
      <c r="M564" s="16">
        <f t="shared" si="66"/>
        <v>216.87819435927273</v>
      </c>
      <c r="N564" s="17">
        <f t="shared" si="72"/>
        <v>2.3909963636363636</v>
      </c>
      <c r="O564" s="17">
        <f t="shared" si="69"/>
        <v>26300.959999999999</v>
      </c>
      <c r="P564" s="18">
        <f t="shared" si="70"/>
        <v>2385660.1379519999</v>
      </c>
      <c r="R564" s="66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>
      <c r="A565" s="54">
        <v>45797</v>
      </c>
      <c r="B565" s="10">
        <v>45797</v>
      </c>
      <c r="C565" s="11">
        <f>VLOOKUP(B:B,'Курс валют'!A:D,4,0)</f>
        <v>90.509799999999998</v>
      </c>
      <c r="D565" s="129">
        <v>284</v>
      </c>
      <c r="E565" s="55" t="s">
        <v>60</v>
      </c>
      <c r="F565" s="58">
        <v>2050</v>
      </c>
      <c r="G565" s="57">
        <v>2052.6</v>
      </c>
      <c r="H565" s="56">
        <v>747</v>
      </c>
      <c r="I565" s="58">
        <f t="shared" si="64"/>
        <v>2.5999999999999091</v>
      </c>
      <c r="J565" s="14">
        <f t="shared" si="65"/>
        <v>0.12682926829267849</v>
      </c>
      <c r="K565" s="56">
        <v>3.1</v>
      </c>
      <c r="L565" s="15">
        <f t="shared" si="67"/>
        <v>36.439024390243901</v>
      </c>
      <c r="M565" s="16">
        <f t="shared" si="66"/>
        <v>180.31848018341461</v>
      </c>
      <c r="N565" s="17">
        <f t="shared" si="72"/>
        <v>1.9922536585365853</v>
      </c>
      <c r="O565" s="17">
        <f t="shared" si="69"/>
        <v>4084.12</v>
      </c>
      <c r="P565" s="18">
        <f t="shared" si="70"/>
        <v>369652.88437599997</v>
      </c>
      <c r="R565" s="66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>
      <c r="A566" s="54">
        <v>45797</v>
      </c>
      <c r="B566" s="10">
        <v>45797</v>
      </c>
      <c r="C566" s="11">
        <f>VLOOKUP(B:B,'Курс валют'!A:D,4,0)</f>
        <v>90.509799999999998</v>
      </c>
      <c r="D566" s="58">
        <v>285</v>
      </c>
      <c r="E566" s="55" t="s">
        <v>50</v>
      </c>
      <c r="F566" s="58">
        <v>8000</v>
      </c>
      <c r="G566" s="58">
        <v>8022.1</v>
      </c>
      <c r="H566" s="56">
        <v>0</v>
      </c>
      <c r="I566" s="58">
        <f t="shared" si="64"/>
        <v>22.100000000000364</v>
      </c>
      <c r="J566" s="14">
        <f t="shared" si="65"/>
        <v>0.27625000000000455</v>
      </c>
      <c r="K566" s="56">
        <v>1.89</v>
      </c>
      <c r="L566" s="15">
        <f t="shared" si="67"/>
        <v>0</v>
      </c>
      <c r="M566" s="16">
        <f t="shared" si="66"/>
        <v>171.06352200000001</v>
      </c>
      <c r="N566" s="17">
        <f t="shared" si="72"/>
        <v>1.89</v>
      </c>
      <c r="O566" s="17">
        <f t="shared" si="69"/>
        <v>15120</v>
      </c>
      <c r="P566" s="18">
        <f t="shared" si="70"/>
        <v>1368508.176</v>
      </c>
      <c r="R566" s="65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>
      <c r="A567" s="54">
        <v>45798</v>
      </c>
      <c r="B567" s="10">
        <v>45798</v>
      </c>
      <c r="C567" s="11">
        <f>VLOOKUP(B:B,'Курс валют'!A:D,4,0)</f>
        <v>89.9679</v>
      </c>
      <c r="D567" s="58">
        <v>286</v>
      </c>
      <c r="E567" s="50" t="s">
        <v>15</v>
      </c>
      <c r="F567" s="58">
        <v>11000</v>
      </c>
      <c r="G567" s="58">
        <v>11027</v>
      </c>
      <c r="H567" s="56">
        <v>5027</v>
      </c>
      <c r="I567" s="58">
        <f t="shared" si="64"/>
        <v>27</v>
      </c>
      <c r="J567" s="14">
        <f t="shared" si="65"/>
        <v>0.24545454545454545</v>
      </c>
      <c r="K567" s="56">
        <v>3.47</v>
      </c>
      <c r="L567" s="15">
        <f t="shared" si="67"/>
        <v>45.7</v>
      </c>
      <c r="M567" s="16">
        <f t="shared" si="66"/>
        <v>187.19800888799998</v>
      </c>
      <c r="N567" s="17">
        <f t="shared" si="72"/>
        <v>2.0807199999999999</v>
      </c>
      <c r="O567" s="17">
        <f t="shared" si="69"/>
        <v>22887.919999999998</v>
      </c>
      <c r="P567" s="18">
        <f t="shared" si="70"/>
        <v>2059178.0977679999</v>
      </c>
      <c r="R567" s="65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>
      <c r="A568" s="54">
        <v>45798</v>
      </c>
      <c r="B568" s="10">
        <v>45798</v>
      </c>
      <c r="C568" s="11">
        <f>VLOOKUP(B:B,'Курс валют'!A:D,4,0)</f>
        <v>89.9679</v>
      </c>
      <c r="D568" s="58">
        <v>287</v>
      </c>
      <c r="E568" s="55" t="s">
        <v>562</v>
      </c>
      <c r="F568" s="58">
        <v>1100</v>
      </c>
      <c r="G568" s="58">
        <v>1107.684</v>
      </c>
      <c r="H568" s="56">
        <v>360</v>
      </c>
      <c r="I568" s="58">
        <f t="shared" si="64"/>
        <v>7.6839999999999691</v>
      </c>
      <c r="J568" s="14">
        <f t="shared" si="65"/>
        <v>0.69854545454545169</v>
      </c>
      <c r="K568" s="56">
        <v>3.6</v>
      </c>
      <c r="L568" s="15">
        <f t="shared" si="67"/>
        <v>32.727272727272727</v>
      </c>
      <c r="M568" s="16">
        <f t="shared" si="66"/>
        <v>234.37455839999998</v>
      </c>
      <c r="N568" s="17">
        <f t="shared" si="72"/>
        <v>2.6050909090909089</v>
      </c>
      <c r="O568" s="17">
        <f t="shared" si="69"/>
        <v>2865.6</v>
      </c>
      <c r="P568" s="18">
        <f t="shared" si="70"/>
        <v>257812.01423999999</v>
      </c>
      <c r="R568" s="66"/>
      <c r="S568" s="19"/>
      <c r="T568" s="20"/>
      <c r="U568" s="20"/>
      <c r="V568" s="20"/>
      <c r="W568" s="20"/>
      <c r="X568" s="20"/>
      <c r="Y568" s="20"/>
      <c r="Z568" s="20"/>
      <c r="AA568" s="20"/>
    </row>
    <row r="569" spans="1:27">
      <c r="A569" s="54">
        <v>45799</v>
      </c>
      <c r="B569" s="10">
        <v>45799</v>
      </c>
      <c r="C569" s="11">
        <f>VLOOKUP(B:B,'Курс валют'!A:D,4,0)</f>
        <v>91.299000000000007</v>
      </c>
      <c r="D569" s="58">
        <v>292</v>
      </c>
      <c r="E569" s="55" t="s">
        <v>101</v>
      </c>
      <c r="F569" s="58">
        <v>200</v>
      </c>
      <c r="G569" s="58">
        <v>200</v>
      </c>
      <c r="H569" s="56">
        <v>0</v>
      </c>
      <c r="I569" s="58">
        <f t="shared" si="64"/>
        <v>0</v>
      </c>
      <c r="J569" s="14">
        <f t="shared" si="65"/>
        <v>0</v>
      </c>
      <c r="K569" s="56">
        <v>3.45</v>
      </c>
      <c r="L569" s="15">
        <f t="shared" si="67"/>
        <v>0</v>
      </c>
      <c r="M569" s="16">
        <f t="shared" si="66"/>
        <v>314.98155000000003</v>
      </c>
      <c r="N569" s="17">
        <f t="shared" si="72"/>
        <v>3.45</v>
      </c>
      <c r="O569" s="17">
        <f t="shared" si="69"/>
        <v>690</v>
      </c>
      <c r="P569" s="18">
        <f t="shared" si="70"/>
        <v>62996.310000000005</v>
      </c>
      <c r="R569" s="66"/>
      <c r="S569" s="19"/>
      <c r="T569" s="20"/>
      <c r="U569" s="20"/>
      <c r="V569" s="20"/>
      <c r="W569" s="20"/>
      <c r="X569" s="20"/>
      <c r="Y569" s="20"/>
      <c r="Z569" s="20"/>
      <c r="AA569" s="20"/>
    </row>
    <row r="570" spans="1:27">
      <c r="A570" s="54">
        <v>45799</v>
      </c>
      <c r="B570" s="10">
        <v>45799</v>
      </c>
      <c r="C570" s="11">
        <f>VLOOKUP(B:B,'Курс валют'!A:D,4,0)</f>
        <v>91.299000000000007</v>
      </c>
      <c r="D570" s="58">
        <v>290</v>
      </c>
      <c r="E570" s="55" t="s">
        <v>2399</v>
      </c>
      <c r="F570" s="58">
        <v>200</v>
      </c>
      <c r="G570" s="58">
        <v>202</v>
      </c>
      <c r="H570" s="56">
        <v>0</v>
      </c>
      <c r="I570" s="58">
        <f t="shared" si="64"/>
        <v>2</v>
      </c>
      <c r="J570" s="14">
        <f t="shared" si="65"/>
        <v>1</v>
      </c>
      <c r="K570" s="56">
        <v>3.41</v>
      </c>
      <c r="L570" s="15">
        <f t="shared" si="67"/>
        <v>0</v>
      </c>
      <c r="M570" s="16">
        <f t="shared" si="66"/>
        <v>311.32959000000005</v>
      </c>
      <c r="N570" s="17">
        <f t="shared" si="72"/>
        <v>3.41</v>
      </c>
      <c r="O570" s="17">
        <f t="shared" si="69"/>
        <v>682</v>
      </c>
      <c r="P570" s="18">
        <f t="shared" si="70"/>
        <v>62265.918000000005</v>
      </c>
      <c r="R570" s="66"/>
      <c r="S570" s="19"/>
      <c r="T570" s="20"/>
      <c r="U570" s="20"/>
      <c r="V570" s="20"/>
      <c r="W570" s="20"/>
      <c r="X570" s="20"/>
      <c r="Y570" s="20"/>
      <c r="Z570" s="20"/>
      <c r="AA570" s="20"/>
    </row>
    <row r="571" spans="1:27">
      <c r="A571" s="54">
        <v>45799</v>
      </c>
      <c r="B571" s="10">
        <v>45799</v>
      </c>
      <c r="C571" s="11">
        <f>VLOOKUP(B:B,'Курс валют'!A:D,4,0)</f>
        <v>91.299000000000007</v>
      </c>
      <c r="D571" s="58">
        <v>289</v>
      </c>
      <c r="E571" s="55" t="s">
        <v>559</v>
      </c>
      <c r="F571" s="58">
        <v>1800</v>
      </c>
      <c r="G571" s="58">
        <v>1818</v>
      </c>
      <c r="H571" s="56">
        <v>968</v>
      </c>
      <c r="I571" s="58">
        <f t="shared" si="64"/>
        <v>18</v>
      </c>
      <c r="J571" s="14">
        <f t="shared" si="65"/>
        <v>1</v>
      </c>
      <c r="K571" s="56">
        <v>3.68</v>
      </c>
      <c r="L571" s="15">
        <f t="shared" si="67"/>
        <v>53.777777777777779</v>
      </c>
      <c r="M571" s="16">
        <f t="shared" si="66"/>
        <v>186.72065706666669</v>
      </c>
      <c r="N571" s="17">
        <f t="shared" si="72"/>
        <v>2.0451555555555556</v>
      </c>
      <c r="O571" s="17">
        <f t="shared" si="69"/>
        <v>3681.28</v>
      </c>
      <c r="P571" s="18">
        <f t="shared" si="70"/>
        <v>336097.18272000004</v>
      </c>
      <c r="R571" s="66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>
      <c r="A572" s="54">
        <v>45799</v>
      </c>
      <c r="B572" s="10">
        <v>45799</v>
      </c>
      <c r="C572" s="11">
        <f>VLOOKUP(B:B,'Курс валют'!A:D,4,0)</f>
        <v>91.299000000000007</v>
      </c>
      <c r="D572" s="58">
        <v>288</v>
      </c>
      <c r="E572" s="55" t="s">
        <v>54</v>
      </c>
      <c r="F572" s="58">
        <v>1600</v>
      </c>
      <c r="G572" s="58">
        <v>1614.3</v>
      </c>
      <c r="H572" s="56">
        <v>0</v>
      </c>
      <c r="I572" s="58">
        <f t="shared" si="64"/>
        <v>14.299999999999955</v>
      </c>
      <c r="J572" s="14">
        <f t="shared" si="65"/>
        <v>0.89374999999999716</v>
      </c>
      <c r="K572" s="56">
        <v>3.39</v>
      </c>
      <c r="L572" s="15">
        <f t="shared" si="67"/>
        <v>0</v>
      </c>
      <c r="M572" s="16">
        <f t="shared" si="66"/>
        <v>309.50360999999998</v>
      </c>
      <c r="N572" s="17">
        <f t="shared" si="72"/>
        <v>3.39</v>
      </c>
      <c r="O572" s="17">
        <f t="shared" si="69"/>
        <v>5424</v>
      </c>
      <c r="P572" s="18">
        <f t="shared" si="70"/>
        <v>495205.77600000001</v>
      </c>
      <c r="R572" s="66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>
      <c r="A573" s="54">
        <v>45799</v>
      </c>
      <c r="B573" s="10">
        <v>45799</v>
      </c>
      <c r="C573" s="11">
        <f>VLOOKUP(B:B,'Курс валют'!A:D,4,0)</f>
        <v>91.299000000000007</v>
      </c>
      <c r="D573" s="58">
        <v>291</v>
      </c>
      <c r="E573" s="55" t="s">
        <v>2400</v>
      </c>
      <c r="F573" s="58">
        <v>200</v>
      </c>
      <c r="G573" s="58">
        <v>200</v>
      </c>
      <c r="H573" s="56">
        <v>0</v>
      </c>
      <c r="I573" s="58">
        <f t="shared" si="64"/>
        <v>0</v>
      </c>
      <c r="J573" s="14">
        <f t="shared" si="65"/>
        <v>0</v>
      </c>
      <c r="K573" s="56">
        <v>3.55</v>
      </c>
      <c r="L573" s="15">
        <f t="shared" si="67"/>
        <v>0</v>
      </c>
      <c r="M573" s="16">
        <f t="shared" si="66"/>
        <v>324.11145000000005</v>
      </c>
      <c r="N573" s="17">
        <f t="shared" si="72"/>
        <v>3.55</v>
      </c>
      <c r="O573" s="17">
        <f t="shared" si="69"/>
        <v>710</v>
      </c>
      <c r="P573" s="18">
        <f t="shared" si="70"/>
        <v>64822.290000000008</v>
      </c>
      <c r="R573" s="66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>
      <c r="A574" s="54">
        <v>45800</v>
      </c>
      <c r="B574" s="10">
        <v>45800</v>
      </c>
      <c r="C574" s="11">
        <f>VLOOKUP(B:B,'Курс валют'!A:D,4,0)</f>
        <v>90.200400000000002</v>
      </c>
      <c r="D574" s="58">
        <v>293</v>
      </c>
      <c r="E574" s="55" t="s">
        <v>60</v>
      </c>
      <c r="F574" s="58">
        <v>1350</v>
      </c>
      <c r="G574" s="58">
        <v>1362.74</v>
      </c>
      <c r="H574" s="56">
        <v>730.5</v>
      </c>
      <c r="I574" s="58">
        <f t="shared" si="64"/>
        <v>12.740000000000009</v>
      </c>
      <c r="J574" s="14">
        <f t="shared" si="65"/>
        <v>0.94370370370370438</v>
      </c>
      <c r="K574" s="56">
        <v>3.58</v>
      </c>
      <c r="L574" s="15">
        <f t="shared" si="67"/>
        <v>54.111111111111107</v>
      </c>
      <c r="M574" s="16">
        <f t="shared" si="66"/>
        <v>174.53977845333335</v>
      </c>
      <c r="N574" s="17">
        <f t="shared" si="72"/>
        <v>1.9350222222222224</v>
      </c>
      <c r="O574" s="17">
        <f t="shared" si="69"/>
        <v>2612.2800000000002</v>
      </c>
      <c r="P574" s="18">
        <f t="shared" si="70"/>
        <v>235628.70091200003</v>
      </c>
      <c r="R574" s="66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>
      <c r="A575" s="54">
        <v>45802</v>
      </c>
      <c r="B575" s="10">
        <v>45802</v>
      </c>
      <c r="C575" s="11">
        <f>VLOOKUP(B:B,'Курс валют'!A:D,4,0)</f>
        <v>90.520700000000005</v>
      </c>
      <c r="D575" s="58">
        <v>296</v>
      </c>
      <c r="E575" s="55" t="s">
        <v>50</v>
      </c>
      <c r="F575" s="58">
        <v>1598</v>
      </c>
      <c r="G575" s="58">
        <v>1604.04</v>
      </c>
      <c r="H575" s="56">
        <v>0</v>
      </c>
      <c r="I575" s="58">
        <f t="shared" si="64"/>
        <v>6.0399999999999636</v>
      </c>
      <c r="J575" s="14">
        <f t="shared" si="65"/>
        <v>0.37797246558197523</v>
      </c>
      <c r="K575" s="56">
        <v>1.91</v>
      </c>
      <c r="L575" s="15">
        <f t="shared" si="67"/>
        <v>0</v>
      </c>
      <c r="M575" s="16">
        <f t="shared" si="66"/>
        <v>172.89453700000001</v>
      </c>
      <c r="N575" s="17">
        <f t="shared" si="72"/>
        <v>1.91</v>
      </c>
      <c r="O575" s="17">
        <f t="shared" si="69"/>
        <v>3052.18</v>
      </c>
      <c r="P575" s="18">
        <f t="shared" si="70"/>
        <v>276285.470126</v>
      </c>
      <c r="R575" s="66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>
      <c r="A576" s="54">
        <v>45800</v>
      </c>
      <c r="B576" s="10">
        <v>45803</v>
      </c>
      <c r="C576" s="11">
        <f>VLOOKUP(B:B,'Курс валют'!A:D,4,0)</f>
        <v>90.520700000000005</v>
      </c>
      <c r="D576" s="58">
        <v>294</v>
      </c>
      <c r="E576" s="55" t="s">
        <v>2401</v>
      </c>
      <c r="F576" s="58">
        <v>7998</v>
      </c>
      <c r="G576" s="58">
        <v>8018</v>
      </c>
      <c r="H576" s="56">
        <v>0</v>
      </c>
      <c r="I576" s="58">
        <f t="shared" si="64"/>
        <v>20</v>
      </c>
      <c r="J576" s="14">
        <f t="shared" si="65"/>
        <v>0.25006251562890724</v>
      </c>
      <c r="K576" s="56">
        <v>2.0299999999999998</v>
      </c>
      <c r="L576" s="15">
        <f t="shared" si="67"/>
        <v>0</v>
      </c>
      <c r="M576" s="16">
        <f t="shared" si="66"/>
        <v>183.75702100000001</v>
      </c>
      <c r="N576" s="17">
        <f t="shared" si="72"/>
        <v>2.0299999999999998</v>
      </c>
      <c r="O576" s="17">
        <f t="shared" si="69"/>
        <v>16235.939999999999</v>
      </c>
      <c r="P576" s="18">
        <f t="shared" si="70"/>
        <v>1469688.653958</v>
      </c>
      <c r="R576" s="66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>
      <c r="A577" s="54">
        <v>45800</v>
      </c>
      <c r="B577" s="10">
        <v>45803</v>
      </c>
      <c r="C577" s="11">
        <f>VLOOKUP(B:B,'Курс валют'!A:D,4,0)</f>
        <v>90.520700000000005</v>
      </c>
      <c r="D577" s="58">
        <v>295</v>
      </c>
      <c r="E577" s="64" t="s">
        <v>2402</v>
      </c>
      <c r="F577" s="58">
        <v>2100</v>
      </c>
      <c r="G577" s="58">
        <v>2100</v>
      </c>
      <c r="H577" s="56">
        <v>0</v>
      </c>
      <c r="I577" s="58">
        <f t="shared" si="64"/>
        <v>0</v>
      </c>
      <c r="J577" s="14">
        <f t="shared" si="65"/>
        <v>0</v>
      </c>
      <c r="K577" s="56">
        <v>1.22</v>
      </c>
      <c r="L577" s="15">
        <f t="shared" si="67"/>
        <v>0</v>
      </c>
      <c r="M577" s="16">
        <f t="shared" si="66"/>
        <v>110.435254</v>
      </c>
      <c r="N577" s="17">
        <f t="shared" si="72"/>
        <v>1.22</v>
      </c>
      <c r="O577" s="17">
        <f t="shared" si="69"/>
        <v>2562</v>
      </c>
      <c r="P577" s="18">
        <f t="shared" si="70"/>
        <v>231914.03340000001</v>
      </c>
      <c r="R577" s="66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>
      <c r="A578" s="54">
        <v>45803</v>
      </c>
      <c r="B578" s="10">
        <v>45803</v>
      </c>
      <c r="C578" s="11">
        <f>VLOOKUP(B:B,'Курс валют'!A:D,4,0)</f>
        <v>90.520700000000005</v>
      </c>
      <c r="D578" s="58">
        <v>297</v>
      </c>
      <c r="E578" s="55" t="s">
        <v>15</v>
      </c>
      <c r="F578" s="58">
        <v>11000</v>
      </c>
      <c r="G578" s="58">
        <f>7000+5000-802-174</f>
        <v>11024</v>
      </c>
      <c r="H578" s="56">
        <v>5024</v>
      </c>
      <c r="I578" s="58">
        <f t="shared" si="64"/>
        <v>24</v>
      </c>
      <c r="J578" s="14">
        <f t="shared" si="65"/>
        <v>0.2181818181818182</v>
      </c>
      <c r="K578" s="56">
        <v>3.45</v>
      </c>
      <c r="L578" s="15">
        <f t="shared" si="67"/>
        <v>45.672727272727272</v>
      </c>
      <c r="M578" s="16">
        <f t="shared" si="66"/>
        <v>186.61286679345454</v>
      </c>
      <c r="N578" s="17">
        <f t="shared" si="72"/>
        <v>2.0615490909090908</v>
      </c>
      <c r="O578" s="17">
        <f t="shared" si="69"/>
        <v>22677.039999999997</v>
      </c>
      <c r="P578" s="18">
        <f t="shared" si="70"/>
        <v>2052741.5347279999</v>
      </c>
      <c r="R578" s="66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>
      <c r="A579" s="54">
        <v>45804</v>
      </c>
      <c r="B579" s="10">
        <v>45804</v>
      </c>
      <c r="C579" s="11">
        <f>VLOOKUP(B:B,'Курс валют'!A:D,4,0)</f>
        <v>90.464399999999998</v>
      </c>
      <c r="D579" s="58">
        <v>299</v>
      </c>
      <c r="E579" s="55" t="s">
        <v>15</v>
      </c>
      <c r="F579" s="58">
        <v>11000</v>
      </c>
      <c r="G579" s="58">
        <v>11024</v>
      </c>
      <c r="H579" s="56">
        <v>5023</v>
      </c>
      <c r="I579" s="58">
        <f t="shared" si="64"/>
        <v>24</v>
      </c>
      <c r="J579" s="14">
        <f t="shared" si="65"/>
        <v>0.2181818181818182</v>
      </c>
      <c r="K579" s="56">
        <v>3.45</v>
      </c>
      <c r="L579" s="15">
        <f t="shared" si="67"/>
        <v>45.663636363636364</v>
      </c>
      <c r="M579" s="16">
        <f t="shared" si="66"/>
        <v>186.52180265018183</v>
      </c>
      <c r="N579" s="17">
        <f t="shared" si="72"/>
        <v>2.0618254545454548</v>
      </c>
      <c r="O579" s="17">
        <f t="shared" si="69"/>
        <v>22680.080000000002</v>
      </c>
      <c r="P579" s="18">
        <f t="shared" si="70"/>
        <v>2051739.8291520001</v>
      </c>
      <c r="R579" s="66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>
      <c r="A580" s="54">
        <v>45802</v>
      </c>
      <c r="B580" s="10">
        <v>45802</v>
      </c>
      <c r="C580" s="11">
        <f>VLOOKUP(B:B,'Курс валют'!A:D,4,0)</f>
        <v>90.520700000000005</v>
      </c>
      <c r="D580" s="58" t="s">
        <v>2403</v>
      </c>
      <c r="E580" s="55" t="s">
        <v>2404</v>
      </c>
      <c r="F580" s="58">
        <v>198</v>
      </c>
      <c r="G580" s="58">
        <v>200</v>
      </c>
      <c r="H580" s="56">
        <v>0</v>
      </c>
      <c r="I580" s="58">
        <f t="shared" si="64"/>
        <v>2</v>
      </c>
      <c r="J580" s="14">
        <f t="shared" si="65"/>
        <v>1.0101010101010102</v>
      </c>
      <c r="K580" s="56">
        <v>1.95</v>
      </c>
      <c r="L580" s="15">
        <f t="shared" si="67"/>
        <v>0</v>
      </c>
      <c r="M580" s="16">
        <f t="shared" si="66"/>
        <v>176.515365</v>
      </c>
      <c r="N580" s="17">
        <f t="shared" si="72"/>
        <v>1.9499999999999997</v>
      </c>
      <c r="O580" s="17">
        <f t="shared" si="69"/>
        <v>386.09999999999997</v>
      </c>
      <c r="P580" s="18">
        <f t="shared" si="70"/>
        <v>34950.042269999998</v>
      </c>
      <c r="R580" s="66" t="s">
        <v>2405</v>
      </c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>
      <c r="A581" s="54">
        <v>45804</v>
      </c>
      <c r="B581" s="10">
        <v>45804</v>
      </c>
      <c r="C581" s="11">
        <f>VLOOKUP(B:B,'Курс валют'!A:D,4,0)</f>
        <v>90.464399999999998</v>
      </c>
      <c r="D581" s="58">
        <v>298</v>
      </c>
      <c r="E581" s="55" t="s">
        <v>61</v>
      </c>
      <c r="F581" s="58">
        <v>2000</v>
      </c>
      <c r="G581" s="58">
        <v>2027.4</v>
      </c>
      <c r="H581" s="56">
        <v>0</v>
      </c>
      <c r="I581" s="58">
        <f t="shared" si="64"/>
        <v>27.400000000000091</v>
      </c>
      <c r="J581" s="14">
        <f t="shared" si="65"/>
        <v>1.3700000000000045</v>
      </c>
      <c r="K581" s="56">
        <v>2.59</v>
      </c>
      <c r="L581" s="15">
        <f t="shared" si="67"/>
        <v>0</v>
      </c>
      <c r="M581" s="16">
        <f t="shared" si="66"/>
        <v>234.302796</v>
      </c>
      <c r="N581" s="17">
        <f t="shared" si="72"/>
        <v>2.59</v>
      </c>
      <c r="O581" s="17">
        <f t="shared" si="69"/>
        <v>5180</v>
      </c>
      <c r="P581" s="18">
        <f t="shared" si="70"/>
        <v>468605.592</v>
      </c>
      <c r="R581" s="66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>
      <c r="A582" s="54">
        <v>45805</v>
      </c>
      <c r="B582" s="10">
        <v>45805</v>
      </c>
      <c r="C582" s="11">
        <f>VLOOKUP(B:B,'Курс валют'!A:D,4,0)</f>
        <v>90.900700000000001</v>
      </c>
      <c r="D582" s="58">
        <v>301</v>
      </c>
      <c r="E582" s="55" t="s">
        <v>2406</v>
      </c>
      <c r="F582" s="58">
        <v>9.86</v>
      </c>
      <c r="G582" s="58">
        <v>9.86</v>
      </c>
      <c r="H582" s="56">
        <v>0</v>
      </c>
      <c r="I582" s="58">
        <f t="shared" si="64"/>
        <v>0</v>
      </c>
      <c r="J582" s="14">
        <f t="shared" si="65"/>
        <v>0</v>
      </c>
      <c r="K582" s="56">
        <v>0</v>
      </c>
      <c r="L582" s="15">
        <f t="shared" si="67"/>
        <v>0</v>
      </c>
      <c r="M582" s="16">
        <f t="shared" si="66"/>
        <v>0</v>
      </c>
      <c r="N582" s="17">
        <f t="shared" si="72"/>
        <v>0</v>
      </c>
      <c r="O582" s="17">
        <f t="shared" si="69"/>
        <v>0</v>
      </c>
      <c r="P582" s="18">
        <f t="shared" si="70"/>
        <v>0</v>
      </c>
      <c r="R582" s="66" t="s">
        <v>2407</v>
      </c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>
      <c r="A583" s="54">
        <v>45805</v>
      </c>
      <c r="B583" s="10">
        <v>45805</v>
      </c>
      <c r="C583" s="11">
        <f>VLOOKUP(B:B,'Курс валют'!A:D,4,0)</f>
        <v>90.900700000000001</v>
      </c>
      <c r="D583" s="58">
        <v>302</v>
      </c>
      <c r="E583" s="55" t="s">
        <v>2408</v>
      </c>
      <c r="F583" s="58">
        <v>2.6</v>
      </c>
      <c r="G583" s="58">
        <v>2.6</v>
      </c>
      <c r="H583" s="56">
        <v>0</v>
      </c>
      <c r="I583" s="58">
        <f t="shared" si="64"/>
        <v>0</v>
      </c>
      <c r="J583" s="14">
        <f t="shared" si="65"/>
        <v>0</v>
      </c>
      <c r="K583" s="56">
        <v>0</v>
      </c>
      <c r="L583" s="15">
        <f t="shared" si="67"/>
        <v>0</v>
      </c>
      <c r="M583" s="16">
        <f t="shared" si="66"/>
        <v>0</v>
      </c>
      <c r="N583" s="17">
        <f t="shared" si="72"/>
        <v>0</v>
      </c>
      <c r="O583" s="17">
        <f t="shared" si="69"/>
        <v>0</v>
      </c>
      <c r="P583" s="18">
        <f t="shared" si="70"/>
        <v>0</v>
      </c>
      <c r="R583" s="66" t="s">
        <v>2407</v>
      </c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>
      <c r="A584" s="54">
        <v>45805</v>
      </c>
      <c r="B584" s="10">
        <v>45805</v>
      </c>
      <c r="C584" s="11">
        <f>VLOOKUP(B:B,'Курс валют'!A:D,4,0)</f>
        <v>90.900700000000001</v>
      </c>
      <c r="D584" s="58">
        <v>303</v>
      </c>
      <c r="E584" s="55" t="s">
        <v>2409</v>
      </c>
      <c r="F584" s="58">
        <v>2.6</v>
      </c>
      <c r="G584" s="58">
        <v>2.6</v>
      </c>
      <c r="H584" s="56">
        <v>0</v>
      </c>
      <c r="I584" s="58">
        <f t="shared" si="64"/>
        <v>0</v>
      </c>
      <c r="J584" s="14">
        <f t="shared" si="65"/>
        <v>0</v>
      </c>
      <c r="K584" s="56">
        <v>0</v>
      </c>
      <c r="L584" s="15">
        <f t="shared" si="67"/>
        <v>0</v>
      </c>
      <c r="M584" s="16">
        <f t="shared" si="66"/>
        <v>0</v>
      </c>
      <c r="N584" s="17">
        <f t="shared" si="72"/>
        <v>0</v>
      </c>
      <c r="O584" s="17">
        <f t="shared" si="69"/>
        <v>0</v>
      </c>
      <c r="P584" s="18">
        <f t="shared" si="70"/>
        <v>0</v>
      </c>
      <c r="R584" s="66" t="s">
        <v>2407</v>
      </c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>
      <c r="A585" s="54">
        <v>45805</v>
      </c>
      <c r="B585" s="10">
        <v>45805</v>
      </c>
      <c r="C585" s="11">
        <f>VLOOKUP(B:B,'Курс валют'!A:D,4,0)</f>
        <v>90.900700000000001</v>
      </c>
      <c r="D585" s="58">
        <v>300</v>
      </c>
      <c r="E585" s="55" t="s">
        <v>15</v>
      </c>
      <c r="F585" s="58">
        <v>11000</v>
      </c>
      <c r="G585" s="58">
        <v>11022</v>
      </c>
      <c r="H585" s="56">
        <v>5022</v>
      </c>
      <c r="I585" s="58">
        <f t="shared" si="64"/>
        <v>22</v>
      </c>
      <c r="J585" s="14">
        <f t="shared" si="65"/>
        <v>0.2</v>
      </c>
      <c r="K585" s="56">
        <v>3.48</v>
      </c>
      <c r="L585" s="15">
        <f t="shared" si="67"/>
        <v>45.654545454545456</v>
      </c>
      <c r="M585" s="16">
        <f t="shared" si="66"/>
        <v>190.173519744</v>
      </c>
      <c r="N585" s="17">
        <f t="shared" si="72"/>
        <v>2.0921018181818183</v>
      </c>
      <c r="O585" s="17">
        <f t="shared" si="69"/>
        <v>23013.120000000003</v>
      </c>
      <c r="P585" s="18">
        <f t="shared" si="70"/>
        <v>2091908.7171840002</v>
      </c>
      <c r="R585" s="66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>
      <c r="A586" s="54">
        <v>45805</v>
      </c>
      <c r="B586" s="10">
        <v>45805</v>
      </c>
      <c r="C586" s="11">
        <f>VLOOKUP(B:B,'Курс валют'!A:D,4,0)</f>
        <v>90.900700000000001</v>
      </c>
      <c r="D586" s="58">
        <v>304</v>
      </c>
      <c r="E586" s="55" t="s">
        <v>2410</v>
      </c>
      <c r="F586" s="58">
        <v>200</v>
      </c>
      <c r="G586" s="58">
        <v>200</v>
      </c>
      <c r="H586" s="56">
        <v>0</v>
      </c>
      <c r="I586" s="58">
        <f t="shared" si="64"/>
        <v>0</v>
      </c>
      <c r="J586" s="14">
        <f t="shared" si="65"/>
        <v>0</v>
      </c>
      <c r="K586" s="56">
        <v>2.79</v>
      </c>
      <c r="L586" s="15">
        <f t="shared" si="67"/>
        <v>0</v>
      </c>
      <c r="M586" s="16">
        <f t="shared" si="66"/>
        <v>253.612953</v>
      </c>
      <c r="N586" s="17">
        <f t="shared" si="72"/>
        <v>2.79</v>
      </c>
      <c r="O586" s="17">
        <f t="shared" si="69"/>
        <v>558</v>
      </c>
      <c r="P586" s="18">
        <f t="shared" si="70"/>
        <v>50722.590600000003</v>
      </c>
      <c r="R586" s="66" t="s">
        <v>2407</v>
      </c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>
      <c r="A587" s="54">
        <v>45805</v>
      </c>
      <c r="B587" s="10">
        <v>45805</v>
      </c>
      <c r="C587" s="11">
        <f>VLOOKUP(B:B,'Курс валют'!A:D,4,0)</f>
        <v>90.900700000000001</v>
      </c>
      <c r="D587" s="58">
        <v>305</v>
      </c>
      <c r="E587" s="55" t="s">
        <v>2411</v>
      </c>
      <c r="F587" s="58">
        <v>160</v>
      </c>
      <c r="G587" s="58">
        <v>160</v>
      </c>
      <c r="H587" s="56">
        <v>0</v>
      </c>
      <c r="I587" s="58">
        <f t="shared" si="64"/>
        <v>0</v>
      </c>
      <c r="J587" s="14">
        <f t="shared" si="65"/>
        <v>0</v>
      </c>
      <c r="K587" s="56">
        <v>3.52</v>
      </c>
      <c r="L587" s="15">
        <f t="shared" si="67"/>
        <v>0</v>
      </c>
      <c r="M587" s="16">
        <f t="shared" si="66"/>
        <v>319.97046400000005</v>
      </c>
      <c r="N587" s="17">
        <f t="shared" si="72"/>
        <v>3.5200000000000005</v>
      </c>
      <c r="O587" s="17">
        <f t="shared" si="69"/>
        <v>563.20000000000005</v>
      </c>
      <c r="P587" s="18">
        <f t="shared" si="70"/>
        <v>51195.274240000006</v>
      </c>
      <c r="R587" s="66" t="s">
        <v>2407</v>
      </c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>
      <c r="A588" s="54">
        <v>45805</v>
      </c>
      <c r="B588" s="10">
        <v>45805</v>
      </c>
      <c r="C588" s="11">
        <f>VLOOKUP(B:B,'Курс валют'!A:D,4,0)</f>
        <v>90.900700000000001</v>
      </c>
      <c r="D588" s="58">
        <v>306</v>
      </c>
      <c r="E588" s="50" t="s">
        <v>60</v>
      </c>
      <c r="F588" s="58">
        <v>2025</v>
      </c>
      <c r="G588" s="58">
        <v>2040.61</v>
      </c>
      <c r="H588" s="56">
        <v>811</v>
      </c>
      <c r="I588" s="58">
        <f t="shared" si="64"/>
        <v>15.6099999999999</v>
      </c>
      <c r="J588" s="14">
        <f t="shared" si="65"/>
        <v>0.77086419753085922</v>
      </c>
      <c r="K588" s="56">
        <v>3.05</v>
      </c>
      <c r="L588" s="15">
        <f t="shared" si="67"/>
        <v>40.049382716049379</v>
      </c>
      <c r="M588" s="16">
        <f t="shared" si="66"/>
        <v>166.57542052691358</v>
      </c>
      <c r="N588" s="17">
        <f t="shared" si="72"/>
        <v>1.8324987654320988</v>
      </c>
      <c r="O588" s="17">
        <f t="shared" si="69"/>
        <v>3710.81</v>
      </c>
      <c r="P588" s="18">
        <f t="shared" si="70"/>
        <v>337315.22656699998</v>
      </c>
      <c r="R588" s="66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>
      <c r="A589" s="54">
        <v>45805</v>
      </c>
      <c r="B589" s="10">
        <v>45805</v>
      </c>
      <c r="C589" s="11">
        <f>VLOOKUP(B:B,'Курс валют'!A:D,4,0)</f>
        <v>90.900700000000001</v>
      </c>
      <c r="D589" s="58">
        <v>307</v>
      </c>
      <c r="E589" s="50" t="s">
        <v>60</v>
      </c>
      <c r="F589" s="58">
        <v>2025</v>
      </c>
      <c r="G589" s="58">
        <v>2040.61</v>
      </c>
      <c r="H589" s="56">
        <v>811</v>
      </c>
      <c r="I589" s="58">
        <f t="shared" si="64"/>
        <v>15.6099999999999</v>
      </c>
      <c r="J589" s="14">
        <f t="shared" si="65"/>
        <v>0.77086419753085922</v>
      </c>
      <c r="K589" s="56">
        <v>3.05</v>
      </c>
      <c r="L589" s="15">
        <f t="shared" si="67"/>
        <v>40.049382716049379</v>
      </c>
      <c r="M589" s="16">
        <f t="shared" si="66"/>
        <v>166.57542052691358</v>
      </c>
      <c r="N589" s="17">
        <f t="shared" si="72"/>
        <v>1.8324987654320988</v>
      </c>
      <c r="O589" s="17">
        <f t="shared" si="69"/>
        <v>3710.81</v>
      </c>
      <c r="P589" s="18">
        <f t="shared" si="70"/>
        <v>337315.22656699998</v>
      </c>
      <c r="R589" s="66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>
      <c r="A590" s="54">
        <v>45805</v>
      </c>
      <c r="B590" s="10">
        <v>45805</v>
      </c>
      <c r="C590" s="11">
        <f>VLOOKUP(B:B,'Курс валют'!A:D,4,0)</f>
        <v>90.900700000000001</v>
      </c>
      <c r="D590" s="58">
        <v>308</v>
      </c>
      <c r="E590" s="50" t="s">
        <v>60</v>
      </c>
      <c r="F590" s="58">
        <v>2025</v>
      </c>
      <c r="G590" s="58">
        <v>2041.11</v>
      </c>
      <c r="H590" s="56">
        <v>812</v>
      </c>
      <c r="I590" s="58">
        <f t="shared" si="64"/>
        <v>16.1099999999999</v>
      </c>
      <c r="J590" s="14">
        <f t="shared" si="65"/>
        <v>0.79555555555555058</v>
      </c>
      <c r="K590" s="56">
        <v>3.05</v>
      </c>
      <c r="L590" s="15">
        <f t="shared" si="67"/>
        <v>40.098765432098766</v>
      </c>
      <c r="M590" s="16">
        <f t="shared" si="66"/>
        <v>166.43895725382717</v>
      </c>
      <c r="N590" s="17">
        <f t="shared" si="72"/>
        <v>1.8309975308641975</v>
      </c>
      <c r="O590" s="17">
        <f t="shared" si="69"/>
        <v>3707.77</v>
      </c>
      <c r="P590" s="18">
        <f t="shared" si="70"/>
        <v>337038.888439</v>
      </c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>
      <c r="A591" s="54">
        <v>45806</v>
      </c>
      <c r="B591" s="10">
        <v>45806</v>
      </c>
      <c r="C591" s="11">
        <f>VLOOKUP(B:B,'Курс валют'!A:D,4,0)</f>
        <v>90.336500000000001</v>
      </c>
      <c r="D591" s="58">
        <v>309</v>
      </c>
      <c r="E591" s="50" t="s">
        <v>60</v>
      </c>
      <c r="F591" s="58">
        <v>2025</v>
      </c>
      <c r="G591" s="58">
        <v>2041.61</v>
      </c>
      <c r="H591" s="56">
        <v>812</v>
      </c>
      <c r="I591" s="58">
        <f t="shared" si="64"/>
        <v>16.6099999999999</v>
      </c>
      <c r="J591" s="14">
        <f t="shared" si="65"/>
        <v>0.82024691358024204</v>
      </c>
      <c r="K591" s="56">
        <v>3.04</v>
      </c>
      <c r="L591" s="15">
        <f t="shared" si="67"/>
        <v>40.098765432098766</v>
      </c>
      <c r="M591" s="16">
        <f t="shared" si="66"/>
        <v>164.50254344691359</v>
      </c>
      <c r="N591" s="17">
        <f t="shared" si="72"/>
        <v>1.8209975308641975</v>
      </c>
      <c r="O591" s="17">
        <f t="shared" si="69"/>
        <v>3687.52</v>
      </c>
      <c r="P591" s="18">
        <f t="shared" si="70"/>
        <v>333117.65048000001</v>
      </c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>
      <c r="A592" s="54">
        <v>45806</v>
      </c>
      <c r="B592" s="10">
        <v>45807</v>
      </c>
      <c r="C592" s="11">
        <f>VLOOKUP(B:B,'Курс валют'!A:D,4,0)</f>
        <v>88.948099999999997</v>
      </c>
      <c r="D592" s="58" t="s">
        <v>2412</v>
      </c>
      <c r="E592" s="50" t="s">
        <v>60</v>
      </c>
      <c r="F592" s="58">
        <v>4275</v>
      </c>
      <c r="G592" s="58">
        <v>4281.74</v>
      </c>
      <c r="H592" s="56">
        <v>1705</v>
      </c>
      <c r="I592" s="58">
        <f t="shared" si="64"/>
        <v>6.7399999999997817</v>
      </c>
      <c r="J592" s="14">
        <f t="shared" si="65"/>
        <v>0.15766081871344517</v>
      </c>
      <c r="K592" s="56">
        <v>2.98</v>
      </c>
      <c r="L592" s="15">
        <f t="shared" si="67"/>
        <v>39.883040935672511</v>
      </c>
      <c r="M592" s="16">
        <f t="shared" si="66"/>
        <v>157.22070831111111</v>
      </c>
      <c r="N592" s="17">
        <f t="shared" si="72"/>
        <v>1.7675555555555555</v>
      </c>
      <c r="O592" s="17">
        <f t="shared" si="69"/>
        <v>7556.3</v>
      </c>
      <c r="P592" s="18">
        <f t="shared" si="70"/>
        <v>672118.52803000004</v>
      </c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>
      <c r="A593" s="54">
        <v>45807</v>
      </c>
      <c r="B593" s="10">
        <v>45807</v>
      </c>
      <c r="C593" s="11">
        <f>VLOOKUP(B:B,'Курс валют'!A:D,4,0)</f>
        <v>88.948099999999997</v>
      </c>
      <c r="D593" s="58" t="s">
        <v>2413</v>
      </c>
      <c r="E593" s="58" t="s">
        <v>2414</v>
      </c>
      <c r="F593" s="58">
        <v>10</v>
      </c>
      <c r="G593" s="58">
        <v>10</v>
      </c>
      <c r="H593" s="56">
        <v>0</v>
      </c>
      <c r="I593" s="58">
        <f t="shared" si="64"/>
        <v>0</v>
      </c>
      <c r="J593" s="14">
        <f t="shared" si="65"/>
        <v>0</v>
      </c>
      <c r="K593" s="56">
        <v>3.81</v>
      </c>
      <c r="L593" s="15">
        <f t="shared" si="67"/>
        <v>0</v>
      </c>
      <c r="M593" s="16">
        <f t="shared" si="66"/>
        <v>338.89226100000002</v>
      </c>
      <c r="N593" s="17">
        <f t="shared" si="72"/>
        <v>3.81</v>
      </c>
      <c r="O593" s="17">
        <f t="shared" si="69"/>
        <v>38.1</v>
      </c>
      <c r="P593" s="18">
        <f t="shared" si="70"/>
        <v>3388.9226100000001</v>
      </c>
      <c r="R593" s="19" t="s">
        <v>2415</v>
      </c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>
      <c r="A594" s="54">
        <v>45807</v>
      </c>
      <c r="B594" s="10">
        <v>45807</v>
      </c>
      <c r="C594" s="11">
        <f>VLOOKUP(B:B,'Курс валют'!A:D,4,0)</f>
        <v>88.948099999999997</v>
      </c>
      <c r="D594" s="58" t="s">
        <v>2416</v>
      </c>
      <c r="E594" s="58" t="s">
        <v>2417</v>
      </c>
      <c r="F594" s="58">
        <v>10</v>
      </c>
      <c r="G594" s="58">
        <v>10.1</v>
      </c>
      <c r="H594" s="56">
        <v>0</v>
      </c>
      <c r="I594" s="58">
        <f t="shared" si="64"/>
        <v>9.9999999999999645E-2</v>
      </c>
      <c r="J594" s="14">
        <f t="shared" si="65"/>
        <v>0.99999999999999634</v>
      </c>
      <c r="K594" s="56">
        <v>4.3499999999999996</v>
      </c>
      <c r="L594" s="15">
        <f t="shared" si="67"/>
        <v>0</v>
      </c>
      <c r="M594" s="16">
        <f t="shared" si="66"/>
        <v>386.92423500000001</v>
      </c>
      <c r="N594" s="17">
        <f t="shared" si="72"/>
        <v>4.3499999999999996</v>
      </c>
      <c r="O594" s="17">
        <f t="shared" si="69"/>
        <v>43.5</v>
      </c>
      <c r="P594" s="18">
        <f t="shared" si="70"/>
        <v>3869.24235</v>
      </c>
      <c r="R594" s="19" t="s">
        <v>2415</v>
      </c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>
      <c r="A595" s="10">
        <v>45807</v>
      </c>
      <c r="B595" s="10">
        <v>45810</v>
      </c>
      <c r="C595" s="11">
        <f>VLOOKUP(B:B,'Курс валют'!A:D,4,0)</f>
        <v>89.251199999999997</v>
      </c>
      <c r="D595" s="45" t="s">
        <v>2322</v>
      </c>
      <c r="E595" s="62" t="s">
        <v>115</v>
      </c>
      <c r="F595" s="11">
        <v>148</v>
      </c>
      <c r="G595" s="11">
        <v>150.11000000000001</v>
      </c>
      <c r="H595" s="56">
        <v>0</v>
      </c>
      <c r="I595" s="58">
        <f t="shared" ref="I595:I658" si="73">G595-F595</f>
        <v>2.1100000000000136</v>
      </c>
      <c r="J595" s="14">
        <f t="shared" ref="J595:J658" si="74">I595/F595*100</f>
        <v>1.425675675675685</v>
      </c>
      <c r="K595" s="46">
        <v>2.59</v>
      </c>
      <c r="L595" s="15">
        <f t="shared" si="67"/>
        <v>0</v>
      </c>
      <c r="M595" s="16">
        <f t="shared" ref="M595:M658" si="75">P595/F595</f>
        <v>231.160608</v>
      </c>
      <c r="N595" s="17">
        <f t="shared" si="72"/>
        <v>2.59</v>
      </c>
      <c r="O595" s="17">
        <f t="shared" si="69"/>
        <v>383.32</v>
      </c>
      <c r="P595" s="18">
        <f t="shared" si="70"/>
        <v>34211.769983999999</v>
      </c>
      <c r="R595" s="66"/>
      <c r="S595" s="19"/>
      <c r="T595" s="20"/>
      <c r="U595" s="20"/>
      <c r="V595" s="20"/>
      <c r="W595" s="20"/>
      <c r="X595" s="20"/>
      <c r="Y595" s="20"/>
      <c r="Z595" s="20"/>
      <c r="AA595" s="20"/>
    </row>
    <row r="596" spans="1:27">
      <c r="A596" s="10">
        <v>45808</v>
      </c>
      <c r="B596" s="10">
        <v>45809</v>
      </c>
      <c r="C596" s="11">
        <f>VLOOKUP(B:B,'Курс валют'!A:D,4,0)</f>
        <v>89.251199999999997</v>
      </c>
      <c r="D596" s="57" t="s">
        <v>2323</v>
      </c>
      <c r="E596" s="62" t="s">
        <v>15</v>
      </c>
      <c r="F596" s="58">
        <v>11000</v>
      </c>
      <c r="G596" s="58">
        <v>11021</v>
      </c>
      <c r="H596" s="56">
        <v>5023</v>
      </c>
      <c r="I596" s="58">
        <f t="shared" si="73"/>
        <v>21</v>
      </c>
      <c r="J596" s="14">
        <f t="shared" si="74"/>
        <v>0.19090909090909092</v>
      </c>
      <c r="K596" s="56">
        <v>3.84</v>
      </c>
      <c r="L596" s="15">
        <f t="shared" si="67"/>
        <v>45.663636363636364</v>
      </c>
      <c r="M596" s="16">
        <f t="shared" si="75"/>
        <v>218.82836400872722</v>
      </c>
      <c r="N596" s="17">
        <f t="shared" si="72"/>
        <v>2.4518254545454545</v>
      </c>
      <c r="O596" s="17">
        <f t="shared" si="69"/>
        <v>26970.079999999998</v>
      </c>
      <c r="P596" s="18">
        <f t="shared" si="70"/>
        <v>2407112.0040959995</v>
      </c>
      <c r="R596" s="66"/>
      <c r="S596" s="19"/>
      <c r="T596" s="20"/>
      <c r="U596" s="20"/>
      <c r="V596" s="20"/>
      <c r="W596" s="20"/>
      <c r="X596" s="20"/>
      <c r="Y596" s="20"/>
      <c r="Z596" s="20"/>
      <c r="AA596" s="20"/>
    </row>
    <row r="597" spans="1:27">
      <c r="A597" s="10">
        <v>45809</v>
      </c>
      <c r="B597" s="10">
        <v>45810</v>
      </c>
      <c r="C597" s="11">
        <f>VLOOKUP(B:B,'Курс валют'!A:D,4,0)</f>
        <v>89.251199999999997</v>
      </c>
      <c r="D597" s="57" t="s">
        <v>2324</v>
      </c>
      <c r="E597" s="62" t="s">
        <v>15</v>
      </c>
      <c r="F597" s="58">
        <v>11000</v>
      </c>
      <c r="G597" s="58">
        <v>11022</v>
      </c>
      <c r="H597" s="56">
        <v>5022</v>
      </c>
      <c r="I597" s="58">
        <f t="shared" si="73"/>
        <v>22</v>
      </c>
      <c r="J597" s="14">
        <f t="shared" si="74"/>
        <v>0.2</v>
      </c>
      <c r="K597" s="56">
        <v>3.84</v>
      </c>
      <c r="L597" s="15">
        <f t="shared" si="67"/>
        <v>45.654545454545456</v>
      </c>
      <c r="M597" s="16">
        <f t="shared" si="75"/>
        <v>218.85302979490905</v>
      </c>
      <c r="N597" s="17">
        <f t="shared" si="72"/>
        <v>2.4521018181818182</v>
      </c>
      <c r="O597" s="17">
        <f t="shared" si="69"/>
        <v>26973.119999999999</v>
      </c>
      <c r="P597" s="18">
        <f t="shared" si="70"/>
        <v>2407383.3277439997</v>
      </c>
      <c r="R597" s="66"/>
      <c r="S597" s="19"/>
      <c r="T597" s="20"/>
      <c r="U597" s="20"/>
      <c r="V597" s="20"/>
      <c r="W597" s="20"/>
      <c r="X597" s="20"/>
      <c r="Y597" s="20"/>
      <c r="Z597" s="20"/>
      <c r="AA597" s="20"/>
    </row>
    <row r="598" spans="1:27">
      <c r="A598" s="10">
        <v>45809</v>
      </c>
      <c r="B598" s="10">
        <v>45810</v>
      </c>
      <c r="C598" s="11">
        <f>VLOOKUP(B:B,'Курс валют'!A:D,4,0)</f>
        <v>89.251199999999997</v>
      </c>
      <c r="D598" s="57" t="s">
        <v>2325</v>
      </c>
      <c r="E598" s="50" t="s">
        <v>57</v>
      </c>
      <c r="F598" s="58">
        <v>1000</v>
      </c>
      <c r="G598" s="58">
        <v>1016</v>
      </c>
      <c r="H598" s="56">
        <v>0</v>
      </c>
      <c r="I598" s="58">
        <f t="shared" si="73"/>
        <v>16</v>
      </c>
      <c r="J598" s="14">
        <f t="shared" si="74"/>
        <v>1.6</v>
      </c>
      <c r="K598" s="56">
        <v>2.69</v>
      </c>
      <c r="L598" s="15">
        <f t="shared" si="67"/>
        <v>0</v>
      </c>
      <c r="M598" s="16">
        <f t="shared" si="75"/>
        <v>240.08572799999999</v>
      </c>
      <c r="N598" s="17">
        <f t="shared" si="72"/>
        <v>2.69</v>
      </c>
      <c r="O598" s="17">
        <f t="shared" si="69"/>
        <v>2690</v>
      </c>
      <c r="P598" s="18">
        <f t="shared" si="70"/>
        <v>240085.728</v>
      </c>
      <c r="R598" s="66"/>
      <c r="S598" s="19"/>
      <c r="T598" s="20"/>
      <c r="U598" s="20"/>
      <c r="V598" s="20"/>
      <c r="W598" s="20"/>
      <c r="X598" s="20"/>
      <c r="Y598" s="20"/>
      <c r="Z598" s="20"/>
      <c r="AA598" s="20"/>
    </row>
    <row r="599" spans="1:27">
      <c r="A599" s="10">
        <v>45810</v>
      </c>
      <c r="B599" s="10">
        <v>45811</v>
      </c>
      <c r="C599" s="11">
        <f>VLOOKUP(B:B,'Курс валют'!A:D,4,0)</f>
        <v>90.376999999999995</v>
      </c>
      <c r="D599" s="57" t="s">
        <v>2326</v>
      </c>
      <c r="E599" s="50" t="s">
        <v>57</v>
      </c>
      <c r="F599" s="58">
        <v>2000</v>
      </c>
      <c r="G599" s="58">
        <v>2032.6</v>
      </c>
      <c r="H599" s="56">
        <v>945</v>
      </c>
      <c r="I599" s="58">
        <f t="shared" si="73"/>
        <v>32.599999999999909</v>
      </c>
      <c r="J599" s="14">
        <f t="shared" si="74"/>
        <v>1.6299999999999955</v>
      </c>
      <c r="K599" s="56">
        <v>3.89</v>
      </c>
      <c r="L599" s="15">
        <f t="shared" si="67"/>
        <v>47.25</v>
      </c>
      <c r="M599" s="16">
        <f t="shared" si="75"/>
        <v>221.74900719999999</v>
      </c>
      <c r="N599" s="17">
        <f t="shared" si="72"/>
        <v>2.4535999999999998</v>
      </c>
      <c r="O599" s="17">
        <f t="shared" si="69"/>
        <v>4907.2</v>
      </c>
      <c r="P599" s="18">
        <f t="shared" si="70"/>
        <v>443498.01439999999</v>
      </c>
      <c r="R599" s="66"/>
      <c r="S599" s="19"/>
      <c r="T599" s="20"/>
      <c r="U599" s="20"/>
      <c r="V599" s="20"/>
      <c r="W599" s="20"/>
      <c r="X599" s="20"/>
      <c r="Y599" s="20"/>
      <c r="Z599" s="20"/>
      <c r="AA599" s="20"/>
    </row>
    <row r="600" spans="1:27">
      <c r="A600" s="10">
        <v>45810</v>
      </c>
      <c r="B600" s="10">
        <v>45811</v>
      </c>
      <c r="C600" s="11">
        <f>VLOOKUP(B:B,'Курс валют'!A:D,4,0)</f>
        <v>90.376999999999995</v>
      </c>
      <c r="D600" s="57" t="s">
        <v>2327</v>
      </c>
      <c r="E600" s="50" t="s">
        <v>15</v>
      </c>
      <c r="F600" s="58">
        <v>11000</v>
      </c>
      <c r="G600" s="58">
        <v>11062.5</v>
      </c>
      <c r="H600" s="56">
        <v>5044</v>
      </c>
      <c r="I600" s="58">
        <f t="shared" si="73"/>
        <v>62.5</v>
      </c>
      <c r="J600" s="14">
        <f t="shared" si="74"/>
        <v>0.56818181818181823</v>
      </c>
      <c r="K600" s="56">
        <v>3.61</v>
      </c>
      <c r="L600" s="15">
        <f t="shared" si="67"/>
        <v>45.854545454545452</v>
      </c>
      <c r="M600" s="16">
        <f t="shared" si="75"/>
        <v>200.27740386181816</v>
      </c>
      <c r="N600" s="17">
        <f t="shared" si="72"/>
        <v>2.2160218181818179</v>
      </c>
      <c r="O600" s="17">
        <f t="shared" si="69"/>
        <v>24376.239999999998</v>
      </c>
      <c r="P600" s="18">
        <f t="shared" si="70"/>
        <v>2203051.4424799997</v>
      </c>
      <c r="R600" s="66"/>
      <c r="S600" s="19"/>
      <c r="T600" s="20"/>
      <c r="U600" s="20"/>
      <c r="V600" s="20"/>
      <c r="W600" s="20"/>
      <c r="X600" s="20"/>
      <c r="Y600" s="20"/>
      <c r="Z600" s="20"/>
      <c r="AA600" s="20"/>
    </row>
    <row r="601" spans="1:27">
      <c r="A601" s="10">
        <v>45811</v>
      </c>
      <c r="B601" s="10">
        <v>45812</v>
      </c>
      <c r="C601" s="11">
        <f>VLOOKUP(B:B,'Курс валют'!A:D,4,0)</f>
        <v>89.926699999999997</v>
      </c>
      <c r="D601" s="57" t="s">
        <v>2328</v>
      </c>
      <c r="E601" s="64" t="s">
        <v>2329</v>
      </c>
      <c r="F601" s="58">
        <v>471.33</v>
      </c>
      <c r="G601" s="58">
        <v>481.5</v>
      </c>
      <c r="H601" s="56">
        <v>0</v>
      </c>
      <c r="I601" s="58">
        <f t="shared" si="73"/>
        <v>10.170000000000016</v>
      </c>
      <c r="J601" s="14">
        <f t="shared" si="74"/>
        <v>2.1577238877219815</v>
      </c>
      <c r="K601" s="56">
        <v>2.41</v>
      </c>
      <c r="L601" s="15">
        <f t="shared" si="67"/>
        <v>0</v>
      </c>
      <c r="M601" s="16">
        <f t="shared" si="75"/>
        <v>216.72334700000002</v>
      </c>
      <c r="N601" s="17">
        <f t="shared" si="72"/>
        <v>2.41</v>
      </c>
      <c r="O601" s="17">
        <f t="shared" si="69"/>
        <v>1135.9053000000001</v>
      </c>
      <c r="P601" s="18">
        <f t="shared" si="70"/>
        <v>102148.21514151001</v>
      </c>
      <c r="R601" s="66"/>
      <c r="S601" s="19"/>
      <c r="T601" s="20"/>
      <c r="U601" s="20"/>
      <c r="V601" s="20"/>
      <c r="W601" s="20"/>
      <c r="X601" s="20"/>
      <c r="Y601" s="20"/>
      <c r="Z601" s="20"/>
      <c r="AA601" s="20"/>
    </row>
    <row r="602" spans="1:27">
      <c r="A602" s="10">
        <v>45811</v>
      </c>
      <c r="B602" s="10">
        <v>45812</v>
      </c>
      <c r="C602" s="11">
        <f>VLOOKUP(B:B,'Курс валют'!A:D,4,0)</f>
        <v>89.926699999999997</v>
      </c>
      <c r="D602" s="57" t="s">
        <v>2330</v>
      </c>
      <c r="E602" s="64" t="s">
        <v>2331</v>
      </c>
      <c r="F602" s="58">
        <v>1980</v>
      </c>
      <c r="G602" s="58">
        <v>2012</v>
      </c>
      <c r="H602" s="56">
        <v>0</v>
      </c>
      <c r="I602" s="58">
        <f t="shared" si="73"/>
        <v>32</v>
      </c>
      <c r="J602" s="14">
        <f t="shared" si="74"/>
        <v>1.6161616161616161</v>
      </c>
      <c r="K602" s="56">
        <v>2.78</v>
      </c>
      <c r="L602" s="15">
        <f t="shared" si="67"/>
        <v>0</v>
      </c>
      <c r="M602" s="16">
        <f t="shared" si="75"/>
        <v>249.99622599999998</v>
      </c>
      <c r="N602" s="17">
        <f t="shared" si="72"/>
        <v>2.78</v>
      </c>
      <c r="O602" s="17">
        <f t="shared" si="69"/>
        <v>5504.4</v>
      </c>
      <c r="P602" s="18">
        <f t="shared" si="70"/>
        <v>494992.52747999993</v>
      </c>
      <c r="R602" s="66"/>
      <c r="S602" s="19"/>
      <c r="T602" s="20"/>
      <c r="U602" s="20"/>
      <c r="V602" s="20"/>
      <c r="W602" s="20"/>
      <c r="X602" s="20"/>
      <c r="Y602" s="20"/>
      <c r="Z602" s="20"/>
      <c r="AA602" s="20"/>
    </row>
    <row r="603" spans="1:27">
      <c r="A603" s="10">
        <v>45812</v>
      </c>
      <c r="B603" s="10">
        <v>45813</v>
      </c>
      <c r="C603" s="11">
        <f>VLOOKUP(B:B,'Курс валют'!A:D,4,0)</f>
        <v>89.3108</v>
      </c>
      <c r="D603" s="57" t="s">
        <v>2332</v>
      </c>
      <c r="E603" s="64" t="s">
        <v>58</v>
      </c>
      <c r="F603" s="58">
        <v>11000</v>
      </c>
      <c r="G603" s="58">
        <v>11083</v>
      </c>
      <c r="H603" s="56">
        <v>4605</v>
      </c>
      <c r="I603" s="58">
        <f t="shared" si="73"/>
        <v>83</v>
      </c>
      <c r="J603" s="14">
        <f t="shared" si="74"/>
        <v>0.75454545454545452</v>
      </c>
      <c r="K603" s="56">
        <v>3.6</v>
      </c>
      <c r="L603" s="15">
        <f t="shared" si="67"/>
        <v>41.863636363636367</v>
      </c>
      <c r="M603" s="16">
        <f t="shared" si="75"/>
        <v>207.8570844218182</v>
      </c>
      <c r="N603" s="17">
        <f t="shared" si="72"/>
        <v>2.3273454545454544</v>
      </c>
      <c r="O603" s="17">
        <f t="shared" si="69"/>
        <v>25600.799999999999</v>
      </c>
      <c r="P603" s="18">
        <f t="shared" si="70"/>
        <v>2286427.9286400001</v>
      </c>
      <c r="R603" s="66"/>
      <c r="S603" s="19"/>
      <c r="T603" s="20"/>
      <c r="U603" s="20"/>
      <c r="V603" s="20"/>
      <c r="W603" s="20"/>
      <c r="X603" s="20"/>
      <c r="Y603" s="20"/>
      <c r="Z603" s="20"/>
      <c r="AA603" s="20"/>
    </row>
    <row r="604" spans="1:27">
      <c r="A604" s="10">
        <v>45812</v>
      </c>
      <c r="B604" s="10">
        <v>45813</v>
      </c>
      <c r="C604" s="11">
        <f>VLOOKUP(B:B,'Курс валют'!A:D,4,0)</f>
        <v>89.3108</v>
      </c>
      <c r="D604" s="57" t="s">
        <v>2333</v>
      </c>
      <c r="E604" s="64" t="s">
        <v>2221</v>
      </c>
      <c r="F604" s="58">
        <v>2200</v>
      </c>
      <c r="G604" s="58">
        <v>2241.1</v>
      </c>
      <c r="H604" s="56">
        <v>880</v>
      </c>
      <c r="I604" s="58">
        <f t="shared" si="73"/>
        <v>41.099999999999909</v>
      </c>
      <c r="J604" s="14">
        <f t="shared" si="74"/>
        <v>1.8681818181818139</v>
      </c>
      <c r="K604" s="56">
        <v>3.15</v>
      </c>
      <c r="L604" s="15">
        <f t="shared" si="67"/>
        <v>40</v>
      </c>
      <c r="M604" s="16">
        <f t="shared" si="75"/>
        <v>172.7270872</v>
      </c>
      <c r="N604" s="17">
        <f t="shared" si="72"/>
        <v>1.9340000000000002</v>
      </c>
      <c r="O604" s="17">
        <f t="shared" si="69"/>
        <v>4254.8</v>
      </c>
      <c r="P604" s="18">
        <f t="shared" si="70"/>
        <v>379999.59184000001</v>
      </c>
      <c r="R604" s="66"/>
      <c r="S604" s="19"/>
      <c r="T604" s="20"/>
      <c r="U604" s="20"/>
      <c r="V604" s="20"/>
      <c r="W604" s="20"/>
      <c r="X604" s="20"/>
      <c r="Y604" s="20"/>
      <c r="Z604" s="20"/>
      <c r="AA604" s="20"/>
    </row>
    <row r="605" spans="1:27">
      <c r="A605" s="10">
        <v>45812</v>
      </c>
      <c r="B605" s="10">
        <v>45813</v>
      </c>
      <c r="C605" s="11">
        <f>VLOOKUP(B:B,'Курс валют'!A:D,4,0)</f>
        <v>89.3108</v>
      </c>
      <c r="D605" s="57" t="s">
        <v>2334</v>
      </c>
      <c r="E605" s="64" t="s">
        <v>2221</v>
      </c>
      <c r="F605" s="58">
        <v>2200</v>
      </c>
      <c r="G605" s="58">
        <v>2241.1</v>
      </c>
      <c r="H605" s="56">
        <v>880</v>
      </c>
      <c r="I605" s="58">
        <f t="shared" si="73"/>
        <v>41.099999999999909</v>
      </c>
      <c r="J605" s="14">
        <f t="shared" si="74"/>
        <v>1.8681818181818139</v>
      </c>
      <c r="K605" s="56">
        <v>3.15</v>
      </c>
      <c r="L605" s="15">
        <f t="shared" si="67"/>
        <v>40</v>
      </c>
      <c r="M605" s="16">
        <f t="shared" si="75"/>
        <v>172.7270872</v>
      </c>
      <c r="N605" s="17">
        <f t="shared" si="72"/>
        <v>1.9340000000000002</v>
      </c>
      <c r="O605" s="17">
        <f t="shared" si="69"/>
        <v>4254.8</v>
      </c>
      <c r="P605" s="18">
        <f t="shared" si="70"/>
        <v>379999.59184000001</v>
      </c>
      <c r="R605" s="66"/>
      <c r="S605" s="19"/>
      <c r="T605" s="20"/>
      <c r="U605" s="20"/>
      <c r="V605" s="20"/>
      <c r="W605" s="20"/>
      <c r="X605" s="20"/>
      <c r="Y605" s="20"/>
      <c r="Z605" s="20"/>
      <c r="AA605" s="20"/>
    </row>
    <row r="606" spans="1:27">
      <c r="A606" s="10">
        <v>45813</v>
      </c>
      <c r="B606" s="10">
        <v>45814</v>
      </c>
      <c r="C606" s="11">
        <f>VLOOKUP(B:B,'Курс валют'!A:D,4,0)</f>
        <v>90.663499999999999</v>
      </c>
      <c r="D606" s="57" t="s">
        <v>2335</v>
      </c>
      <c r="E606" s="64" t="s">
        <v>58</v>
      </c>
      <c r="F606" s="58">
        <v>7700</v>
      </c>
      <c r="G606" s="58">
        <v>7770</v>
      </c>
      <c r="H606" s="56">
        <v>3227</v>
      </c>
      <c r="I606" s="58">
        <f t="shared" si="73"/>
        <v>70</v>
      </c>
      <c r="J606" s="14">
        <f t="shared" si="74"/>
        <v>0.90909090909090906</v>
      </c>
      <c r="K606" s="56">
        <v>3.84</v>
      </c>
      <c r="L606" s="15">
        <f t="shared" si="67"/>
        <v>41.909090909090907</v>
      </c>
      <c r="M606" s="16">
        <f t="shared" si="75"/>
        <v>232.63924414545451</v>
      </c>
      <c r="N606" s="17">
        <f t="shared" si="72"/>
        <v>2.565963636363636</v>
      </c>
      <c r="O606" s="17">
        <f t="shared" si="69"/>
        <v>19757.919999999998</v>
      </c>
      <c r="P606" s="18">
        <f t="shared" si="70"/>
        <v>1791322.1799199998</v>
      </c>
      <c r="R606" s="66"/>
      <c r="S606" s="19"/>
      <c r="T606" s="20"/>
      <c r="U606" s="20"/>
      <c r="V606" s="20"/>
      <c r="W606" s="20"/>
      <c r="X606" s="20"/>
      <c r="Y606" s="20"/>
      <c r="Z606" s="20"/>
      <c r="AA606" s="20"/>
    </row>
    <row r="607" spans="1:27">
      <c r="A607" s="10">
        <v>45813</v>
      </c>
      <c r="B607" s="10">
        <v>45814</v>
      </c>
      <c r="C607" s="11">
        <f>VLOOKUP(B:B,'Курс валют'!A:D,4,0)</f>
        <v>90.663499999999999</v>
      </c>
      <c r="D607" s="57" t="s">
        <v>2336</v>
      </c>
      <c r="E607" s="64" t="s">
        <v>57</v>
      </c>
      <c r="F607" s="58">
        <v>2000</v>
      </c>
      <c r="G607" s="58">
        <v>2032.7</v>
      </c>
      <c r="H607" s="56">
        <v>945</v>
      </c>
      <c r="I607" s="58">
        <f t="shared" si="73"/>
        <v>32.700000000000045</v>
      </c>
      <c r="J607" s="14">
        <f t="shared" si="74"/>
        <v>1.6350000000000025</v>
      </c>
      <c r="K607" s="56">
        <v>3.77</v>
      </c>
      <c r="L607" s="15">
        <f t="shared" si="67"/>
        <v>47.25</v>
      </c>
      <c r="M607" s="16">
        <f t="shared" si="75"/>
        <v>211.57234359999998</v>
      </c>
      <c r="N607" s="17">
        <f t="shared" si="72"/>
        <v>2.3336000000000001</v>
      </c>
      <c r="O607" s="17">
        <f t="shared" si="69"/>
        <v>4667.2</v>
      </c>
      <c r="P607" s="18">
        <f t="shared" si="70"/>
        <v>423144.68719999999</v>
      </c>
      <c r="R607" s="66"/>
      <c r="S607" s="19"/>
      <c r="T607" s="20"/>
      <c r="U607" s="20"/>
      <c r="V607" s="20"/>
      <c r="W607" s="20"/>
      <c r="X607" s="20"/>
      <c r="Y607" s="20"/>
      <c r="Z607" s="20"/>
      <c r="AA607" s="20"/>
    </row>
    <row r="608" spans="1:27">
      <c r="A608" s="10">
        <v>45814</v>
      </c>
      <c r="B608" s="10">
        <v>45815</v>
      </c>
      <c r="C608" s="11">
        <f>VLOOKUP(B:B,'Курс валют'!A:D,4,0)</f>
        <v>90.395399999999995</v>
      </c>
      <c r="D608" s="57" t="s">
        <v>2337</v>
      </c>
      <c r="E608" s="64" t="s">
        <v>58</v>
      </c>
      <c r="F608" s="58">
        <v>11000</v>
      </c>
      <c r="G608" s="58">
        <v>11100</v>
      </c>
      <c r="H608" s="56">
        <v>4610</v>
      </c>
      <c r="I608" s="58">
        <f t="shared" si="73"/>
        <v>100</v>
      </c>
      <c r="J608" s="14">
        <f t="shared" si="74"/>
        <v>0.90909090909090906</v>
      </c>
      <c r="K608" s="56">
        <v>3.59</v>
      </c>
      <c r="L608" s="15">
        <f t="shared" si="67"/>
        <v>41.909090909090907</v>
      </c>
      <c r="M608" s="16">
        <f t="shared" si="75"/>
        <v>209.35245929454547</v>
      </c>
      <c r="N608" s="17">
        <f t="shared" si="72"/>
        <v>2.3159636363636364</v>
      </c>
      <c r="O608" s="17">
        <f t="shared" si="69"/>
        <v>25475.600000000002</v>
      </c>
      <c r="P608" s="18">
        <f t="shared" si="70"/>
        <v>2302877.0522400001</v>
      </c>
      <c r="R608" s="66"/>
      <c r="S608" s="19"/>
      <c r="T608" s="20"/>
      <c r="U608" s="20"/>
      <c r="V608" s="20"/>
      <c r="W608" s="20"/>
      <c r="X608" s="20"/>
      <c r="Y608" s="20"/>
      <c r="Z608" s="20"/>
      <c r="AA608" s="20"/>
    </row>
    <row r="609" spans="1:27">
      <c r="A609" s="54">
        <v>45814</v>
      </c>
      <c r="B609" s="10">
        <v>45815</v>
      </c>
      <c r="C609" s="11">
        <f>VLOOKUP(B:B,'Курс валют'!A:D,4,0)</f>
        <v>90.395399999999995</v>
      </c>
      <c r="D609" s="57" t="s">
        <v>2338</v>
      </c>
      <c r="E609" s="64" t="s">
        <v>2221</v>
      </c>
      <c r="F609" s="58">
        <v>2200</v>
      </c>
      <c r="G609" s="58">
        <v>2241.1</v>
      </c>
      <c r="H609" s="56">
        <v>880</v>
      </c>
      <c r="I609" s="58">
        <f t="shared" si="73"/>
        <v>41.099999999999909</v>
      </c>
      <c r="J609" s="14">
        <f t="shared" si="74"/>
        <v>1.8681818181818139</v>
      </c>
      <c r="K609" s="56">
        <v>3.12</v>
      </c>
      <c r="L609" s="15">
        <f t="shared" si="67"/>
        <v>40</v>
      </c>
      <c r="M609" s="16">
        <f t="shared" si="75"/>
        <v>172.1128416</v>
      </c>
      <c r="N609" s="17">
        <f t="shared" si="72"/>
        <v>1.9040000000000001</v>
      </c>
      <c r="O609" s="17">
        <f t="shared" si="69"/>
        <v>4188.8</v>
      </c>
      <c r="P609" s="18">
        <f t="shared" si="70"/>
        <v>378648.25151999999</v>
      </c>
      <c r="R609" s="65"/>
      <c r="S609" s="19"/>
      <c r="T609" s="24"/>
      <c r="U609" s="24"/>
      <c r="V609" s="24"/>
      <c r="W609" s="24"/>
      <c r="X609" s="24"/>
      <c r="Y609" s="24"/>
      <c r="Z609" s="24"/>
      <c r="AA609" s="24"/>
    </row>
    <row r="610" spans="1:27">
      <c r="A610" s="54">
        <v>45814</v>
      </c>
      <c r="B610" s="10">
        <v>45815</v>
      </c>
      <c r="C610" s="11">
        <f>VLOOKUP(B:B,'Курс валют'!A:D,4,0)</f>
        <v>90.395399999999995</v>
      </c>
      <c r="D610" s="57" t="s">
        <v>2339</v>
      </c>
      <c r="E610" s="50" t="s">
        <v>2221</v>
      </c>
      <c r="F610" s="58">
        <v>2200</v>
      </c>
      <c r="G610" s="58">
        <v>2241.1</v>
      </c>
      <c r="H610" s="56">
        <v>880</v>
      </c>
      <c r="I610" s="58">
        <f t="shared" si="73"/>
        <v>41.099999999999909</v>
      </c>
      <c r="J610" s="14">
        <f t="shared" si="74"/>
        <v>1.8681818181818139</v>
      </c>
      <c r="K610" s="56">
        <v>3.12</v>
      </c>
      <c r="L610" s="15">
        <f t="shared" si="67"/>
        <v>40</v>
      </c>
      <c r="M610" s="16">
        <f t="shared" si="75"/>
        <v>172.1128416</v>
      </c>
      <c r="N610" s="17">
        <f t="shared" si="72"/>
        <v>1.9040000000000001</v>
      </c>
      <c r="O610" s="17">
        <f t="shared" si="69"/>
        <v>4188.8</v>
      </c>
      <c r="P610" s="18">
        <f t="shared" si="70"/>
        <v>378648.25151999999</v>
      </c>
      <c r="R610" s="65"/>
      <c r="S610" s="19"/>
      <c r="T610" s="20"/>
      <c r="U610" s="20"/>
      <c r="V610" s="20"/>
      <c r="W610" s="20"/>
      <c r="X610" s="20"/>
      <c r="Y610" s="20"/>
      <c r="Z610" s="20"/>
      <c r="AA610" s="20"/>
    </row>
    <row r="611" spans="1:27">
      <c r="A611" s="54">
        <v>45815</v>
      </c>
      <c r="B611" s="10">
        <v>45816</v>
      </c>
      <c r="C611" s="11">
        <f>VLOOKUP(B:B,'Курс валют'!A:D,4,0)</f>
        <v>90.395399999999995</v>
      </c>
      <c r="D611" s="57" t="s">
        <v>2340</v>
      </c>
      <c r="E611" s="50" t="s">
        <v>58</v>
      </c>
      <c r="F611" s="58">
        <v>11000</v>
      </c>
      <c r="G611" s="58">
        <v>11100</v>
      </c>
      <c r="H611" s="56">
        <v>4149</v>
      </c>
      <c r="I611" s="58">
        <f t="shared" si="73"/>
        <v>100</v>
      </c>
      <c r="J611" s="14">
        <f t="shared" si="74"/>
        <v>0.90909090909090906</v>
      </c>
      <c r="K611" s="56">
        <v>3.71</v>
      </c>
      <c r="L611" s="15">
        <f t="shared" ref="L611:L674" si="76">H611/F611*100</f>
        <v>37.718181818181819</v>
      </c>
      <c r="M611" s="16">
        <f t="shared" si="75"/>
        <v>231.7166099650909</v>
      </c>
      <c r="N611" s="17">
        <f t="shared" si="72"/>
        <v>2.5633672727272727</v>
      </c>
      <c r="O611" s="17">
        <f t="shared" ref="O611:O674" si="77">N611*F611</f>
        <v>28197.040000000001</v>
      </c>
      <c r="P611" s="18">
        <f t="shared" ref="P611:P674" si="78">O611*C611</f>
        <v>2548882.7096159998</v>
      </c>
      <c r="R611" s="65"/>
      <c r="S611" s="19"/>
      <c r="T611" s="20"/>
      <c r="U611" s="20"/>
      <c r="V611" s="20"/>
      <c r="W611" s="20"/>
      <c r="X611" s="20"/>
      <c r="Y611" s="20"/>
      <c r="Z611" s="20"/>
      <c r="AA611" s="20"/>
    </row>
    <row r="612" spans="1:27">
      <c r="A612" s="54">
        <v>45815</v>
      </c>
      <c r="B612" s="10">
        <v>45816</v>
      </c>
      <c r="C612" s="11">
        <f>VLOOKUP(B:B,'Курс валют'!A:D,4,0)</f>
        <v>90.395399999999995</v>
      </c>
      <c r="D612" s="57" t="s">
        <v>2341</v>
      </c>
      <c r="E612" s="50" t="s">
        <v>2221</v>
      </c>
      <c r="F612" s="58">
        <v>2200</v>
      </c>
      <c r="G612" s="58">
        <v>2253.1</v>
      </c>
      <c r="H612" s="56">
        <v>892</v>
      </c>
      <c r="I612" s="58">
        <f t="shared" si="73"/>
        <v>53.099999999999909</v>
      </c>
      <c r="J612" s="14">
        <f t="shared" si="74"/>
        <v>2.4136363636363596</v>
      </c>
      <c r="K612" s="56">
        <v>3.26</v>
      </c>
      <c r="L612" s="15">
        <f t="shared" si="76"/>
        <v>40.545454545454547</v>
      </c>
      <c r="M612" s="16">
        <f t="shared" si="75"/>
        <v>183.26927751272726</v>
      </c>
      <c r="N612" s="17">
        <f t="shared" si="72"/>
        <v>2.0274181818181818</v>
      </c>
      <c r="O612" s="17">
        <f t="shared" si="77"/>
        <v>4460.32</v>
      </c>
      <c r="P612" s="18">
        <f t="shared" si="78"/>
        <v>403192.41052799998</v>
      </c>
      <c r="R612" s="65"/>
      <c r="S612" s="19"/>
      <c r="T612" s="24"/>
      <c r="U612" s="24"/>
      <c r="V612" s="24"/>
      <c r="W612" s="24"/>
      <c r="X612" s="24"/>
      <c r="Y612" s="24"/>
      <c r="Z612" s="24"/>
      <c r="AA612" s="24"/>
    </row>
    <row r="613" spans="1:27">
      <c r="A613" s="54">
        <v>45815</v>
      </c>
      <c r="B613" s="10">
        <v>45816</v>
      </c>
      <c r="C613" s="11">
        <f>VLOOKUP(B:B,'Курс валют'!A:D,4,0)</f>
        <v>90.395399999999995</v>
      </c>
      <c r="D613" s="57" t="s">
        <v>2342</v>
      </c>
      <c r="E613" s="50" t="s">
        <v>2221</v>
      </c>
      <c r="F613" s="58">
        <v>2200</v>
      </c>
      <c r="G613" s="58">
        <v>2253.1</v>
      </c>
      <c r="H613" s="56">
        <v>892</v>
      </c>
      <c r="I613" s="58">
        <f t="shared" si="73"/>
        <v>53.099999999999909</v>
      </c>
      <c r="J613" s="14">
        <f t="shared" si="74"/>
        <v>2.4136363636363596</v>
      </c>
      <c r="K613" s="56">
        <v>3.26</v>
      </c>
      <c r="L613" s="15">
        <f t="shared" si="76"/>
        <v>40.545454545454547</v>
      </c>
      <c r="M613" s="16">
        <f t="shared" si="75"/>
        <v>183.26927751272726</v>
      </c>
      <c r="N613" s="17">
        <f t="shared" si="72"/>
        <v>2.0274181818181818</v>
      </c>
      <c r="O613" s="17">
        <f t="shared" si="77"/>
        <v>4460.32</v>
      </c>
      <c r="P613" s="18">
        <f t="shared" si="78"/>
        <v>403192.41052799998</v>
      </c>
      <c r="R613" s="65"/>
      <c r="S613" s="19"/>
      <c r="T613" s="24"/>
      <c r="U613" s="24"/>
      <c r="V613" s="24"/>
      <c r="W613" s="24"/>
      <c r="X613" s="24"/>
      <c r="Y613" s="24"/>
      <c r="Z613" s="24"/>
      <c r="AA613" s="24"/>
    </row>
    <row r="614" spans="1:27">
      <c r="A614" s="54">
        <v>45816</v>
      </c>
      <c r="B614" s="10">
        <v>45817</v>
      </c>
      <c r="C614" s="11">
        <f>VLOOKUP(B:B,'Курс валют'!A:D,4,0)</f>
        <v>90.395399999999995</v>
      </c>
      <c r="D614" s="57" t="s">
        <v>2343</v>
      </c>
      <c r="E614" s="50" t="s">
        <v>58</v>
      </c>
      <c r="F614" s="58">
        <v>9900</v>
      </c>
      <c r="G614" s="58">
        <v>9990</v>
      </c>
      <c r="H614" s="56">
        <v>4149</v>
      </c>
      <c r="I614" s="58">
        <f t="shared" si="73"/>
        <v>90</v>
      </c>
      <c r="J614" s="14">
        <f t="shared" si="74"/>
        <v>0.90909090909090906</v>
      </c>
      <c r="K614" s="56">
        <v>3.72</v>
      </c>
      <c r="L614" s="15">
        <f t="shared" si="76"/>
        <v>41.909090909090907</v>
      </c>
      <c r="M614" s="16">
        <f t="shared" si="75"/>
        <v>221.10386129454545</v>
      </c>
      <c r="N614" s="17">
        <f t="shared" si="72"/>
        <v>2.4459636363636363</v>
      </c>
      <c r="O614" s="17">
        <f t="shared" si="77"/>
        <v>24215.040000000001</v>
      </c>
      <c r="P614" s="18">
        <f t="shared" si="78"/>
        <v>2188928.226816</v>
      </c>
      <c r="R614" s="66"/>
      <c r="S614" s="19"/>
      <c r="T614" s="24"/>
      <c r="U614" s="24"/>
      <c r="V614" s="24"/>
      <c r="W614" s="24"/>
      <c r="X614" s="24"/>
      <c r="Y614" s="24"/>
      <c r="Z614" s="24"/>
      <c r="AA614" s="24"/>
    </row>
    <row r="615" spans="1:27">
      <c r="A615" s="54">
        <v>45816</v>
      </c>
      <c r="B615" s="10">
        <v>45817</v>
      </c>
      <c r="C615" s="11">
        <f>VLOOKUP(B:B,'Курс валют'!A:D,4,0)</f>
        <v>90.395399999999995</v>
      </c>
      <c r="D615" s="57" t="s">
        <v>2344</v>
      </c>
      <c r="E615" s="50" t="s">
        <v>57</v>
      </c>
      <c r="F615" s="58">
        <v>2000</v>
      </c>
      <c r="G615" s="58">
        <v>2032.7</v>
      </c>
      <c r="H615" s="56">
        <v>945</v>
      </c>
      <c r="I615" s="58">
        <f t="shared" si="73"/>
        <v>32.700000000000045</v>
      </c>
      <c r="J615" s="14">
        <f t="shared" si="74"/>
        <v>1.6350000000000025</v>
      </c>
      <c r="K615" s="56">
        <v>3.75</v>
      </c>
      <c r="L615" s="15">
        <f t="shared" si="76"/>
        <v>47.25</v>
      </c>
      <c r="M615" s="16">
        <f t="shared" si="75"/>
        <v>209.13879743999999</v>
      </c>
      <c r="N615" s="17">
        <f t="shared" si="72"/>
        <v>2.3136000000000001</v>
      </c>
      <c r="O615" s="17">
        <f t="shared" si="77"/>
        <v>4627.2</v>
      </c>
      <c r="P615" s="18">
        <f t="shared" si="78"/>
        <v>418277.59487999999</v>
      </c>
      <c r="R615" s="65"/>
      <c r="S615" s="19"/>
      <c r="T615" s="20"/>
      <c r="U615" s="20"/>
      <c r="V615" s="20"/>
      <c r="W615" s="20"/>
      <c r="X615" s="20"/>
      <c r="Y615" s="20"/>
      <c r="Z615" s="20"/>
      <c r="AA615" s="20"/>
    </row>
    <row r="616" spans="1:27">
      <c r="A616" s="54">
        <v>45817</v>
      </c>
      <c r="B616" s="10">
        <v>45818</v>
      </c>
      <c r="C616" s="11">
        <f>VLOOKUP(B:B,'Курс валют'!A:D,4,0)</f>
        <v>90.366600000000005</v>
      </c>
      <c r="D616" s="57" t="s">
        <v>2345</v>
      </c>
      <c r="E616" s="64" t="s">
        <v>125</v>
      </c>
      <c r="F616" s="58">
        <v>2200</v>
      </c>
      <c r="G616" s="58">
        <v>2237.38</v>
      </c>
      <c r="H616" s="56">
        <v>250</v>
      </c>
      <c r="I616" s="58">
        <f t="shared" si="73"/>
        <v>37.380000000000109</v>
      </c>
      <c r="J616" s="14">
        <f t="shared" si="74"/>
        <v>1.6990909090909141</v>
      </c>
      <c r="K616" s="56">
        <v>2.4</v>
      </c>
      <c r="L616" s="15">
        <f t="shared" si="76"/>
        <v>11.363636363636363</v>
      </c>
      <c r="M616" s="16">
        <f t="shared" si="75"/>
        <v>185.66228727272727</v>
      </c>
      <c r="N616" s="17">
        <f t="shared" si="72"/>
        <v>2.0545454545454547</v>
      </c>
      <c r="O616" s="17">
        <f t="shared" si="77"/>
        <v>4520</v>
      </c>
      <c r="P616" s="18">
        <f t="shared" si="78"/>
        <v>408457.03200000001</v>
      </c>
      <c r="R616" s="66"/>
      <c r="S616" s="19"/>
      <c r="T616" s="20"/>
      <c r="U616" s="20"/>
      <c r="V616" s="20"/>
      <c r="W616" s="20"/>
      <c r="X616" s="20"/>
      <c r="Y616" s="20"/>
      <c r="Z616" s="20"/>
      <c r="AA616" s="20"/>
    </row>
    <row r="617" spans="1:27">
      <c r="A617" s="54">
        <v>45817</v>
      </c>
      <c r="B617" s="10">
        <v>45818</v>
      </c>
      <c r="C617" s="11">
        <f>VLOOKUP(B:B,'Курс валют'!A:D,4,0)</f>
        <v>90.366600000000005</v>
      </c>
      <c r="D617" s="57" t="s">
        <v>2346</v>
      </c>
      <c r="E617" s="50" t="s">
        <v>58</v>
      </c>
      <c r="F617" s="58">
        <v>8800</v>
      </c>
      <c r="G617" s="58">
        <v>8880</v>
      </c>
      <c r="H617" s="56">
        <v>3688</v>
      </c>
      <c r="I617" s="58">
        <f t="shared" si="73"/>
        <v>80</v>
      </c>
      <c r="J617" s="14">
        <f t="shared" si="74"/>
        <v>0.90909090909090906</v>
      </c>
      <c r="K617" s="56">
        <v>4.08</v>
      </c>
      <c r="L617" s="15">
        <f t="shared" si="76"/>
        <v>41.909090909090907</v>
      </c>
      <c r="M617" s="16">
        <f t="shared" si="75"/>
        <v>253.56539354181817</v>
      </c>
      <c r="N617" s="17">
        <f t="shared" si="72"/>
        <v>2.8059636363636362</v>
      </c>
      <c r="O617" s="17">
        <f t="shared" si="77"/>
        <v>24692.48</v>
      </c>
      <c r="P617" s="18">
        <f t="shared" si="78"/>
        <v>2231375.4631679999</v>
      </c>
      <c r="R617" s="66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>
      <c r="A618" s="54"/>
      <c r="B618" s="10">
        <v>45819</v>
      </c>
      <c r="C618" s="11">
        <f>VLOOKUP(B:B,'Курс валют'!A:D,4,0)</f>
        <v>89.791799999999995</v>
      </c>
      <c r="D618" s="57" t="s">
        <v>2347</v>
      </c>
      <c r="E618" s="50" t="s">
        <v>125</v>
      </c>
      <c r="F618" s="58">
        <v>2200</v>
      </c>
      <c r="G618" s="58">
        <v>2233</v>
      </c>
      <c r="H618" s="56">
        <v>250</v>
      </c>
      <c r="I618" s="58">
        <f t="shared" si="73"/>
        <v>33</v>
      </c>
      <c r="J618" s="14">
        <f t="shared" si="74"/>
        <v>1.5</v>
      </c>
      <c r="K618" s="56">
        <v>2.4</v>
      </c>
      <c r="L618" s="15">
        <f t="shared" si="76"/>
        <v>11.363636363636363</v>
      </c>
      <c r="M618" s="16">
        <f t="shared" si="75"/>
        <v>184.48133454545453</v>
      </c>
      <c r="N618" s="17">
        <f t="shared" si="72"/>
        <v>2.0545454545454547</v>
      </c>
      <c r="O618" s="17">
        <f t="shared" si="77"/>
        <v>4520</v>
      </c>
      <c r="P618" s="18">
        <f t="shared" si="78"/>
        <v>405858.93599999999</v>
      </c>
      <c r="R618" s="66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>
      <c r="A619" s="54"/>
      <c r="B619" s="10">
        <v>45819</v>
      </c>
      <c r="C619" s="11">
        <f>VLOOKUP(B:B,'Курс валют'!A:D,4,0)</f>
        <v>89.791799999999995</v>
      </c>
      <c r="D619" s="57" t="s">
        <v>2348</v>
      </c>
      <c r="E619" s="50" t="s">
        <v>51</v>
      </c>
      <c r="F619" s="58">
        <v>8000</v>
      </c>
      <c r="G619" s="58">
        <v>8120</v>
      </c>
      <c r="H619" s="56">
        <v>0</v>
      </c>
      <c r="I619" s="58">
        <f t="shared" si="73"/>
        <v>120</v>
      </c>
      <c r="J619" s="14">
        <f t="shared" si="74"/>
        <v>1.5</v>
      </c>
      <c r="K619" s="56">
        <v>1.89</v>
      </c>
      <c r="L619" s="15">
        <f t="shared" si="76"/>
        <v>0</v>
      </c>
      <c r="M619" s="16">
        <f t="shared" si="75"/>
        <v>169.70650199999997</v>
      </c>
      <c r="N619" s="17">
        <f t="shared" si="72"/>
        <v>1.89</v>
      </c>
      <c r="O619" s="17">
        <f t="shared" si="77"/>
        <v>15120</v>
      </c>
      <c r="P619" s="18">
        <f t="shared" si="78"/>
        <v>1357652.0159999998</v>
      </c>
      <c r="R619" s="66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>
      <c r="A620" s="54"/>
      <c r="B620" s="10">
        <v>45820</v>
      </c>
      <c r="C620" s="11">
        <f>VLOOKUP(B:B,'Курс валют'!A:D,4,0)</f>
        <v>90.006799999999998</v>
      </c>
      <c r="D620" s="57" t="s">
        <v>2349</v>
      </c>
      <c r="E620" s="50" t="s">
        <v>2187</v>
      </c>
      <c r="F620" s="58">
        <v>8000</v>
      </c>
      <c r="G620" s="58">
        <v>8121</v>
      </c>
      <c r="H620" s="56">
        <v>757</v>
      </c>
      <c r="I620" s="58">
        <f t="shared" si="73"/>
        <v>121</v>
      </c>
      <c r="J620" s="14">
        <f t="shared" si="74"/>
        <v>1.5125</v>
      </c>
      <c r="K620" s="56">
        <v>2.21</v>
      </c>
      <c r="L620" s="15">
        <f t="shared" si="76"/>
        <v>9.4625000000000004</v>
      </c>
      <c r="M620" s="16">
        <f t="shared" si="75"/>
        <v>173.023671912</v>
      </c>
      <c r="N620" s="17">
        <f t="shared" si="72"/>
        <v>1.9223399999999999</v>
      </c>
      <c r="O620" s="17">
        <f t="shared" si="77"/>
        <v>15378.72</v>
      </c>
      <c r="P620" s="18">
        <f t="shared" si="78"/>
        <v>1384189.3752959999</v>
      </c>
      <c r="R620" s="66"/>
      <c r="S620" s="48"/>
      <c r="T620" s="20"/>
      <c r="U620" s="20"/>
      <c r="V620" s="20"/>
      <c r="W620" s="20"/>
      <c r="X620" s="20"/>
      <c r="Y620" s="20"/>
      <c r="Z620" s="20"/>
      <c r="AA620" s="20"/>
    </row>
    <row r="621" spans="1:27">
      <c r="A621" s="54"/>
      <c r="B621" s="10">
        <v>45820</v>
      </c>
      <c r="C621" s="11">
        <f>VLOOKUP(B:B,'Курс валют'!A:D,4,0)</f>
        <v>90.006799999999998</v>
      </c>
      <c r="D621" s="57" t="s">
        <v>2350</v>
      </c>
      <c r="E621" s="64" t="s">
        <v>125</v>
      </c>
      <c r="F621" s="63">
        <v>2200</v>
      </c>
      <c r="G621" s="63">
        <v>2232.5</v>
      </c>
      <c r="H621" s="49">
        <v>250</v>
      </c>
      <c r="I621" s="58">
        <f t="shared" si="73"/>
        <v>32.5</v>
      </c>
      <c r="J621" s="14">
        <f t="shared" si="74"/>
        <v>1.4772727272727273</v>
      </c>
      <c r="K621" s="49">
        <v>2.46</v>
      </c>
      <c r="L621" s="15">
        <f t="shared" si="76"/>
        <v>11.363636363636363</v>
      </c>
      <c r="M621" s="16">
        <f t="shared" si="75"/>
        <v>190.32346981818182</v>
      </c>
      <c r="N621" s="17">
        <f t="shared" si="72"/>
        <v>2.1145454545454547</v>
      </c>
      <c r="O621" s="17">
        <f t="shared" si="77"/>
        <v>4652</v>
      </c>
      <c r="P621" s="18">
        <f t="shared" si="78"/>
        <v>418711.6336</v>
      </c>
      <c r="R621" s="66"/>
      <c r="S621" s="48"/>
      <c r="T621" s="20"/>
      <c r="U621" s="20"/>
      <c r="V621" s="20"/>
      <c r="W621" s="20"/>
      <c r="X621" s="20"/>
      <c r="Y621" s="20"/>
      <c r="Z621" s="20"/>
      <c r="AA621" s="20"/>
    </row>
    <row r="622" spans="1:27">
      <c r="A622" s="54"/>
      <c r="B622" s="10">
        <v>45821</v>
      </c>
      <c r="C622" s="11">
        <f>VLOOKUP(B:B,'Курс валют'!A:D,4,0)</f>
        <v>90.006799999999998</v>
      </c>
      <c r="D622" s="57" t="s">
        <v>2351</v>
      </c>
      <c r="E622" s="64" t="s">
        <v>54</v>
      </c>
      <c r="F622" s="58">
        <v>3200</v>
      </c>
      <c r="G622" s="58">
        <v>3248</v>
      </c>
      <c r="H622" s="56">
        <v>0</v>
      </c>
      <c r="I622" s="58">
        <f t="shared" si="73"/>
        <v>48</v>
      </c>
      <c r="J622" s="14">
        <f t="shared" si="74"/>
        <v>1.5</v>
      </c>
      <c r="K622" s="56">
        <v>3.19</v>
      </c>
      <c r="L622" s="15">
        <f t="shared" si="76"/>
        <v>0</v>
      </c>
      <c r="M622" s="16">
        <f t="shared" si="75"/>
        <v>287.121692</v>
      </c>
      <c r="N622" s="17">
        <f t="shared" si="72"/>
        <v>3.19</v>
      </c>
      <c r="O622" s="17">
        <f t="shared" si="77"/>
        <v>10208</v>
      </c>
      <c r="P622" s="18">
        <f t="shared" si="78"/>
        <v>918789.41440000001</v>
      </c>
      <c r="R622" s="66"/>
      <c r="S622" s="48"/>
      <c r="T622" s="20"/>
      <c r="U622" s="20"/>
      <c r="V622" s="20"/>
      <c r="W622" s="20"/>
      <c r="X622" s="20"/>
      <c r="Y622" s="20"/>
      <c r="Z622" s="20"/>
      <c r="AA622" s="20"/>
    </row>
    <row r="623" spans="1:27">
      <c r="A623" s="54"/>
      <c r="B623" s="10">
        <v>45821</v>
      </c>
      <c r="C623" s="11">
        <f>VLOOKUP(B:B,'Курс валют'!A:D,4,0)</f>
        <v>90.006799999999998</v>
      </c>
      <c r="D623" s="57" t="s">
        <v>2352</v>
      </c>
      <c r="E623" s="64" t="s">
        <v>125</v>
      </c>
      <c r="F623" s="58">
        <v>2200</v>
      </c>
      <c r="G623" s="58">
        <v>2233</v>
      </c>
      <c r="H623" s="56">
        <v>230</v>
      </c>
      <c r="I623" s="58">
        <f t="shared" si="73"/>
        <v>33</v>
      </c>
      <c r="J623" s="14">
        <f t="shared" si="74"/>
        <v>1.5</v>
      </c>
      <c r="K623" s="56">
        <v>2.2799999999999998</v>
      </c>
      <c r="L623" s="15">
        <f t="shared" si="76"/>
        <v>10.454545454545453</v>
      </c>
      <c r="M623" s="16">
        <f t="shared" si="75"/>
        <v>176.60970647272728</v>
      </c>
      <c r="N623" s="17">
        <f t="shared" si="72"/>
        <v>1.9621818181818182</v>
      </c>
      <c r="O623" s="17">
        <f t="shared" si="77"/>
        <v>4316.8</v>
      </c>
      <c r="P623" s="18">
        <f t="shared" si="78"/>
        <v>388541.35424000002</v>
      </c>
      <c r="R623" s="66"/>
      <c r="S623" s="48"/>
      <c r="T623" s="20"/>
      <c r="U623" s="20"/>
      <c r="V623" s="20"/>
      <c r="W623" s="20"/>
      <c r="X623" s="20"/>
      <c r="Y623" s="20"/>
      <c r="Z623" s="20"/>
      <c r="AA623" s="20"/>
    </row>
    <row r="624" spans="1:27">
      <c r="A624" s="54"/>
      <c r="B624" s="10">
        <v>45822</v>
      </c>
      <c r="C624" s="11">
        <f>VLOOKUP(B:B,'Курс валют'!A:D,4,0)</f>
        <v>90.006799999999998</v>
      </c>
      <c r="D624" s="57" t="s">
        <v>2353</v>
      </c>
      <c r="E624" s="64" t="s">
        <v>50</v>
      </c>
      <c r="F624" s="58">
        <v>8000</v>
      </c>
      <c r="G624" s="57">
        <v>8119.5</v>
      </c>
      <c r="H624" s="56">
        <v>0</v>
      </c>
      <c r="I624" s="58">
        <f t="shared" si="73"/>
        <v>119.5</v>
      </c>
      <c r="J624" s="14">
        <f t="shared" si="74"/>
        <v>1.4937499999999999</v>
      </c>
      <c r="K624" s="56">
        <v>1.91</v>
      </c>
      <c r="L624" s="15">
        <f t="shared" si="76"/>
        <v>0</v>
      </c>
      <c r="M624" s="16">
        <f t="shared" si="75"/>
        <v>171.91298799999998</v>
      </c>
      <c r="N624" s="17">
        <f t="shared" si="72"/>
        <v>1.91</v>
      </c>
      <c r="O624" s="17">
        <f t="shared" si="77"/>
        <v>15280</v>
      </c>
      <c r="P624" s="18">
        <f t="shared" si="78"/>
        <v>1375303.9039999999</v>
      </c>
      <c r="R624" s="66"/>
      <c r="S624" s="48"/>
      <c r="T624" s="20"/>
      <c r="U624" s="20"/>
      <c r="V624" s="20"/>
      <c r="W624" s="20"/>
      <c r="X624" s="20"/>
      <c r="Y624" s="20"/>
      <c r="Z624" s="20"/>
      <c r="AA624" s="20"/>
    </row>
    <row r="625" spans="1:27">
      <c r="A625" s="54"/>
      <c r="B625" s="10">
        <v>45822</v>
      </c>
      <c r="C625" s="11">
        <f>VLOOKUP(B:B,'Курс валют'!A:D,4,0)</f>
        <v>90.006799999999998</v>
      </c>
      <c r="D625" s="57" t="s">
        <v>2354</v>
      </c>
      <c r="E625" s="50" t="s">
        <v>2355</v>
      </c>
      <c r="F625" s="58">
        <v>2160</v>
      </c>
      <c r="G625" s="57">
        <v>2192.4</v>
      </c>
      <c r="H625" s="56">
        <v>0</v>
      </c>
      <c r="I625" s="58">
        <f t="shared" si="73"/>
        <v>32.400000000000091</v>
      </c>
      <c r="J625" s="14">
        <f t="shared" si="74"/>
        <v>1.5000000000000042</v>
      </c>
      <c r="K625" s="56">
        <v>2.83</v>
      </c>
      <c r="L625" s="15">
        <f t="shared" si="76"/>
        <v>0</v>
      </c>
      <c r="M625" s="16">
        <f t="shared" si="75"/>
        <v>254.719244</v>
      </c>
      <c r="N625" s="17">
        <f t="shared" si="72"/>
        <v>2.83</v>
      </c>
      <c r="O625" s="17">
        <f t="shared" si="77"/>
        <v>6112.8</v>
      </c>
      <c r="P625" s="18">
        <f t="shared" si="78"/>
        <v>550193.56703999999</v>
      </c>
      <c r="R625" s="65"/>
      <c r="S625" s="48"/>
      <c r="T625" s="20"/>
      <c r="U625" s="20"/>
      <c r="V625" s="20"/>
      <c r="W625" s="20"/>
      <c r="X625" s="20"/>
      <c r="Y625" s="20"/>
      <c r="Z625" s="20"/>
      <c r="AA625" s="20"/>
    </row>
    <row r="626" spans="1:27">
      <c r="A626" s="54"/>
      <c r="B626" s="10">
        <v>45823</v>
      </c>
      <c r="C626" s="11">
        <f>VLOOKUP(B:B,'Курс валют'!A:D,4,0)</f>
        <v>90.006799999999998</v>
      </c>
      <c r="D626" s="57" t="s">
        <v>2356</v>
      </c>
      <c r="E626" s="50" t="s">
        <v>2357</v>
      </c>
      <c r="F626" s="58">
        <v>1640</v>
      </c>
      <c r="G626" s="57">
        <v>1664.6</v>
      </c>
      <c r="H626" s="56">
        <v>0</v>
      </c>
      <c r="I626" s="58">
        <f t="shared" si="73"/>
        <v>24.599999999999909</v>
      </c>
      <c r="J626" s="14">
        <f t="shared" si="74"/>
        <v>1.4999999999999944</v>
      </c>
      <c r="K626" s="56">
        <v>2.72</v>
      </c>
      <c r="L626" s="15">
        <f t="shared" si="76"/>
        <v>0</v>
      </c>
      <c r="M626" s="16">
        <f t="shared" si="75"/>
        <v>244.81849600000001</v>
      </c>
      <c r="N626" s="17">
        <f t="shared" ref="N626:N653" si="79">(F626*K626-H626*3.04)/F626</f>
        <v>2.72</v>
      </c>
      <c r="O626" s="17">
        <f t="shared" si="77"/>
        <v>4460.8</v>
      </c>
      <c r="P626" s="18">
        <f t="shared" si="78"/>
        <v>401502.33344000002</v>
      </c>
      <c r="R626" s="65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>
      <c r="A627" s="54"/>
      <c r="B627" s="10">
        <v>45823</v>
      </c>
      <c r="C627" s="11">
        <f>VLOOKUP(B:B,'Курс валют'!A:D,4,0)</f>
        <v>90.006799999999998</v>
      </c>
      <c r="D627" s="57" t="s">
        <v>2358</v>
      </c>
      <c r="E627" s="50" t="s">
        <v>50</v>
      </c>
      <c r="F627" s="58">
        <v>8000</v>
      </c>
      <c r="G627" s="57">
        <v>8120</v>
      </c>
      <c r="H627" s="56">
        <v>0</v>
      </c>
      <c r="I627" s="58">
        <f t="shared" si="73"/>
        <v>120</v>
      </c>
      <c r="J627" s="14">
        <f t="shared" si="74"/>
        <v>1.5</v>
      </c>
      <c r="K627" s="56">
        <v>1.77</v>
      </c>
      <c r="L627" s="15">
        <f t="shared" si="76"/>
        <v>0</v>
      </c>
      <c r="M627" s="16">
        <f t="shared" si="75"/>
        <v>159.31203600000001</v>
      </c>
      <c r="N627" s="17">
        <f t="shared" si="79"/>
        <v>1.77</v>
      </c>
      <c r="O627" s="17">
        <f t="shared" si="77"/>
        <v>14160</v>
      </c>
      <c r="P627" s="18">
        <f t="shared" si="78"/>
        <v>1274496.2879999999</v>
      </c>
      <c r="R627" s="65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>
      <c r="A628" s="54"/>
      <c r="B628" s="10">
        <v>45824</v>
      </c>
      <c r="C628" s="11">
        <f>VLOOKUP(B:B,'Курс валют'!A:D,4,0)</f>
        <v>90.006799999999998</v>
      </c>
      <c r="D628" s="57" t="s">
        <v>2359</v>
      </c>
      <c r="E628" s="50" t="s">
        <v>50</v>
      </c>
      <c r="F628" s="58">
        <v>8000</v>
      </c>
      <c r="G628" s="57">
        <v>8122</v>
      </c>
      <c r="H628" s="56">
        <v>0</v>
      </c>
      <c r="I628" s="58">
        <f t="shared" si="73"/>
        <v>122</v>
      </c>
      <c r="J628" s="14">
        <f t="shared" si="74"/>
        <v>1.5249999999999999</v>
      </c>
      <c r="K628" s="56">
        <v>1.91</v>
      </c>
      <c r="L628" s="15">
        <f t="shared" si="76"/>
        <v>0</v>
      </c>
      <c r="M628" s="16">
        <f t="shared" si="75"/>
        <v>171.91298799999998</v>
      </c>
      <c r="N628" s="17">
        <f t="shared" si="79"/>
        <v>1.91</v>
      </c>
      <c r="O628" s="17">
        <f t="shared" si="77"/>
        <v>15280</v>
      </c>
      <c r="P628" s="18">
        <f t="shared" si="78"/>
        <v>1375303.9039999999</v>
      </c>
      <c r="R628" s="65"/>
      <c r="S628" s="19"/>
      <c r="T628" s="20"/>
      <c r="U628" s="20"/>
      <c r="V628" s="20"/>
      <c r="W628" s="20"/>
      <c r="X628" s="20"/>
      <c r="Y628" s="20"/>
      <c r="Z628" s="20"/>
      <c r="AA628" s="20"/>
    </row>
    <row r="629" spans="1:27">
      <c r="A629" s="54"/>
      <c r="B629" s="10">
        <v>45824</v>
      </c>
      <c r="C629" s="11">
        <f>VLOOKUP(B:B,'Курс валют'!A:D,4,0)</f>
        <v>90.006799999999998</v>
      </c>
      <c r="D629" s="57" t="s">
        <v>2360</v>
      </c>
      <c r="E629" s="50" t="s">
        <v>2355</v>
      </c>
      <c r="F629" s="58">
        <v>1920</v>
      </c>
      <c r="G629" s="57">
        <v>1948.8</v>
      </c>
      <c r="H629" s="56">
        <v>0</v>
      </c>
      <c r="I629" s="58">
        <f t="shared" si="73"/>
        <v>28.799999999999955</v>
      </c>
      <c r="J629" s="14">
        <f t="shared" si="74"/>
        <v>1.4999999999999978</v>
      </c>
      <c r="K629" s="56">
        <v>2.78</v>
      </c>
      <c r="L629" s="15">
        <f t="shared" si="76"/>
        <v>0</v>
      </c>
      <c r="M629" s="16">
        <f t="shared" si="75"/>
        <v>250.21890399999995</v>
      </c>
      <c r="N629" s="17">
        <f t="shared" si="79"/>
        <v>2.78</v>
      </c>
      <c r="O629" s="17">
        <f t="shared" si="77"/>
        <v>5337.5999999999995</v>
      </c>
      <c r="P629" s="18">
        <f t="shared" si="78"/>
        <v>480420.29567999992</v>
      </c>
      <c r="R629" s="66"/>
      <c r="S629" s="19"/>
      <c r="T629" s="20"/>
      <c r="U629" s="20"/>
      <c r="V629" s="20"/>
      <c r="W629" s="20"/>
      <c r="X629" s="20"/>
      <c r="Y629" s="20"/>
      <c r="Z629" s="20"/>
      <c r="AA629" s="20"/>
    </row>
    <row r="630" spans="1:27">
      <c r="A630" s="54"/>
      <c r="B630" s="10">
        <v>45825</v>
      </c>
      <c r="C630" s="11">
        <f>VLOOKUP(B:B,'Курс валют'!A:D,4,0)</f>
        <v>90.943799999999996</v>
      </c>
      <c r="D630" s="57" t="s">
        <v>2361</v>
      </c>
      <c r="E630" s="50" t="s">
        <v>2116</v>
      </c>
      <c r="F630" s="58">
        <v>3600</v>
      </c>
      <c r="G630" s="57">
        <v>3654.9</v>
      </c>
      <c r="H630" s="56">
        <v>0</v>
      </c>
      <c r="I630" s="58">
        <f t="shared" si="73"/>
        <v>54.900000000000091</v>
      </c>
      <c r="J630" s="14">
        <f t="shared" si="74"/>
        <v>1.5250000000000026</v>
      </c>
      <c r="K630" s="56">
        <v>2.33</v>
      </c>
      <c r="L630" s="15">
        <f t="shared" si="76"/>
        <v>0</v>
      </c>
      <c r="M630" s="16">
        <f t="shared" si="75"/>
        <v>211.89905399999998</v>
      </c>
      <c r="N630" s="17">
        <f t="shared" si="79"/>
        <v>2.33</v>
      </c>
      <c r="O630" s="17">
        <f t="shared" si="77"/>
        <v>8388</v>
      </c>
      <c r="P630" s="18">
        <f t="shared" si="78"/>
        <v>762836.59439999994</v>
      </c>
      <c r="R630" s="66"/>
      <c r="S630" s="19"/>
      <c r="T630" s="20"/>
      <c r="U630" s="20"/>
      <c r="V630" s="20"/>
      <c r="W630" s="20"/>
      <c r="X630" s="20"/>
      <c r="Y630" s="20"/>
      <c r="Z630" s="20"/>
      <c r="AA630" s="20"/>
    </row>
    <row r="631" spans="1:27">
      <c r="A631" s="54"/>
      <c r="B631" s="10">
        <v>45826</v>
      </c>
      <c r="C631" s="11">
        <f>VLOOKUP(B:B,'Курс валют'!A:D,4,0)</f>
        <v>90.754800000000003</v>
      </c>
      <c r="D631" s="57" t="s">
        <v>2362</v>
      </c>
      <c r="E631" s="50" t="s">
        <v>70</v>
      </c>
      <c r="F631" s="58">
        <v>200</v>
      </c>
      <c r="G631" s="57">
        <v>203</v>
      </c>
      <c r="H631" s="56">
        <v>0</v>
      </c>
      <c r="I631" s="58">
        <f t="shared" si="73"/>
        <v>3</v>
      </c>
      <c r="J631" s="14">
        <f t="shared" si="74"/>
        <v>1.5</v>
      </c>
      <c r="K631" s="56">
        <v>0.34</v>
      </c>
      <c r="L631" s="15">
        <f t="shared" si="76"/>
        <v>0</v>
      </c>
      <c r="M631" s="16">
        <f t="shared" si="75"/>
        <v>30.856632000000001</v>
      </c>
      <c r="N631" s="17">
        <f t="shared" si="79"/>
        <v>0.34</v>
      </c>
      <c r="O631" s="17">
        <f t="shared" si="77"/>
        <v>68</v>
      </c>
      <c r="P631" s="18">
        <f t="shared" si="78"/>
        <v>6171.3263999999999</v>
      </c>
      <c r="R631" s="66"/>
      <c r="S631" s="19"/>
      <c r="T631" s="20"/>
      <c r="U631" s="20"/>
      <c r="V631" s="20"/>
      <c r="W631" s="20"/>
      <c r="X631" s="20"/>
      <c r="Y631" s="20"/>
      <c r="Z631" s="20"/>
      <c r="AA631" s="20"/>
    </row>
    <row r="632" spans="1:27">
      <c r="A632" s="54"/>
      <c r="B632" s="10">
        <v>45826</v>
      </c>
      <c r="C632" s="11">
        <f>VLOOKUP(B:B,'Курс валют'!A:D,4,0)</f>
        <v>90.754800000000003</v>
      </c>
      <c r="D632" s="57" t="s">
        <v>2363</v>
      </c>
      <c r="E632" s="50" t="s">
        <v>70</v>
      </c>
      <c r="F632" s="58">
        <v>200</v>
      </c>
      <c r="G632" s="52">
        <v>203</v>
      </c>
      <c r="H632" s="56">
        <v>0</v>
      </c>
      <c r="I632" s="13">
        <f t="shared" si="73"/>
        <v>3</v>
      </c>
      <c r="J632" s="14">
        <f t="shared" si="74"/>
        <v>1.5</v>
      </c>
      <c r="K632" s="56">
        <v>0.34</v>
      </c>
      <c r="L632" s="15">
        <f t="shared" si="76"/>
        <v>0</v>
      </c>
      <c r="M632" s="16">
        <f t="shared" si="75"/>
        <v>30.856632000000001</v>
      </c>
      <c r="N632" s="17">
        <f t="shared" si="79"/>
        <v>0.34</v>
      </c>
      <c r="O632" s="17">
        <f t="shared" si="77"/>
        <v>68</v>
      </c>
      <c r="P632" s="18">
        <f t="shared" si="78"/>
        <v>6171.3263999999999</v>
      </c>
      <c r="R632" s="65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>
      <c r="A633" s="54"/>
      <c r="B633" s="10">
        <v>45826</v>
      </c>
      <c r="C633" s="11">
        <f>VLOOKUP(B:B,'Курс валют'!A:D,4,0)</f>
        <v>90.754800000000003</v>
      </c>
      <c r="D633" s="57" t="s">
        <v>2364</v>
      </c>
      <c r="E633" s="50" t="s">
        <v>67</v>
      </c>
      <c r="F633" s="58">
        <v>200</v>
      </c>
      <c r="G633" s="57">
        <v>203.5</v>
      </c>
      <c r="H633" s="56">
        <v>0</v>
      </c>
      <c r="I633" s="58">
        <f t="shared" si="73"/>
        <v>3.5</v>
      </c>
      <c r="J633" s="14">
        <f t="shared" si="74"/>
        <v>1.7500000000000002</v>
      </c>
      <c r="K633" s="56">
        <v>0.3</v>
      </c>
      <c r="L633" s="15">
        <f t="shared" si="76"/>
        <v>0</v>
      </c>
      <c r="M633" s="16">
        <f t="shared" si="75"/>
        <v>27.226440000000004</v>
      </c>
      <c r="N633" s="17">
        <f t="shared" si="79"/>
        <v>0.3</v>
      </c>
      <c r="O633" s="17">
        <f t="shared" si="77"/>
        <v>60</v>
      </c>
      <c r="P633" s="18">
        <f t="shared" si="78"/>
        <v>5445.2880000000005</v>
      </c>
      <c r="R633" s="66"/>
      <c r="S633" s="19"/>
      <c r="T633" s="20"/>
      <c r="U633" s="20"/>
      <c r="V633" s="20"/>
      <c r="W633" s="20"/>
      <c r="X633" s="20"/>
      <c r="Y633" s="20"/>
      <c r="Z633" s="20"/>
      <c r="AA633" s="20"/>
    </row>
    <row r="634" spans="1:27">
      <c r="A634" s="54"/>
      <c r="B634" s="54">
        <v>45826</v>
      </c>
      <c r="C634" s="11">
        <f>VLOOKUP(B:B,'Курс валют'!A:D,4,0)</f>
        <v>90.754800000000003</v>
      </c>
      <c r="D634" s="57" t="s">
        <v>2365</v>
      </c>
      <c r="E634" s="50" t="s">
        <v>2366</v>
      </c>
      <c r="F634" s="58">
        <v>2880</v>
      </c>
      <c r="G634" s="57">
        <v>2924</v>
      </c>
      <c r="H634" s="56">
        <v>0</v>
      </c>
      <c r="I634" s="58">
        <f t="shared" si="73"/>
        <v>44</v>
      </c>
      <c r="J634" s="14">
        <f t="shared" si="74"/>
        <v>1.5277777777777777</v>
      </c>
      <c r="K634" s="56">
        <v>2.1800000000000002</v>
      </c>
      <c r="L634" s="15">
        <f t="shared" si="76"/>
        <v>0</v>
      </c>
      <c r="M634" s="16">
        <f t="shared" si="75"/>
        <v>197.84546400000002</v>
      </c>
      <c r="N634" s="17">
        <f t="shared" si="79"/>
        <v>2.1800000000000002</v>
      </c>
      <c r="O634" s="17">
        <f t="shared" si="77"/>
        <v>6278.4000000000005</v>
      </c>
      <c r="P634" s="18">
        <f t="shared" si="78"/>
        <v>569794.9363200001</v>
      </c>
      <c r="R634" s="66"/>
      <c r="S634" s="19"/>
      <c r="T634" s="20"/>
      <c r="U634" s="20"/>
      <c r="V634" s="20"/>
      <c r="W634" s="20"/>
      <c r="X634" s="20"/>
      <c r="Y634" s="20"/>
      <c r="Z634" s="20"/>
      <c r="AA634" s="20"/>
    </row>
    <row r="635" spans="1:27">
      <c r="A635" s="54"/>
      <c r="B635" s="10">
        <v>45827</v>
      </c>
      <c r="C635" s="11">
        <f>VLOOKUP(B:B,'Курс валют'!A:D,4,0)</f>
        <v>90.309299999999993</v>
      </c>
      <c r="D635" s="57" t="s">
        <v>2367</v>
      </c>
      <c r="E635" s="50" t="s">
        <v>68</v>
      </c>
      <c r="F635" s="58">
        <v>4800</v>
      </c>
      <c r="G635" s="57">
        <v>4970.18</v>
      </c>
      <c r="H635" s="56">
        <v>531.70000000000005</v>
      </c>
      <c r="I635" s="58">
        <f t="shared" si="73"/>
        <v>170.18000000000029</v>
      </c>
      <c r="J635" s="14">
        <f t="shared" si="74"/>
        <v>3.5454166666666724</v>
      </c>
      <c r="K635" s="56">
        <v>2.23</v>
      </c>
      <c r="L635" s="15">
        <f t="shared" si="76"/>
        <v>11.077083333333334</v>
      </c>
      <c r="M635" s="16">
        <f t="shared" si="75"/>
        <v>170.97868428699996</v>
      </c>
      <c r="N635" s="17">
        <f t="shared" si="79"/>
        <v>1.8932566666666666</v>
      </c>
      <c r="O635" s="17">
        <f t="shared" si="77"/>
        <v>9087.6319999999996</v>
      </c>
      <c r="P635" s="18">
        <f t="shared" si="78"/>
        <v>820697.68457759987</v>
      </c>
      <c r="R635" s="66"/>
      <c r="S635" s="19"/>
      <c r="T635" s="20"/>
      <c r="U635" s="20"/>
      <c r="V635" s="20"/>
      <c r="W635" s="20"/>
      <c r="X635" s="20"/>
      <c r="Y635" s="20"/>
      <c r="Z635" s="20"/>
      <c r="AA635" s="20"/>
    </row>
    <row r="636" spans="1:27">
      <c r="A636" s="54"/>
      <c r="B636" s="10">
        <v>45828</v>
      </c>
      <c r="C636" s="11">
        <f>VLOOKUP(B:B,'Курс валют'!A:D,4,0)</f>
        <v>89.837999999999994</v>
      </c>
      <c r="D636" s="57" t="s">
        <v>2368</v>
      </c>
      <c r="E636" s="50" t="s">
        <v>68</v>
      </c>
      <c r="F636" s="58">
        <v>3200</v>
      </c>
      <c r="G636" s="52">
        <v>3264.82</v>
      </c>
      <c r="H636" s="56">
        <v>309.14999999999998</v>
      </c>
      <c r="I636" s="13">
        <f t="shared" si="73"/>
        <v>64.820000000000164</v>
      </c>
      <c r="J636" s="14">
        <f t="shared" si="74"/>
        <v>2.0256250000000051</v>
      </c>
      <c r="K636" s="56">
        <v>2.21</v>
      </c>
      <c r="L636" s="15">
        <f t="shared" si="76"/>
        <v>9.6609374999999993</v>
      </c>
      <c r="M636" s="16">
        <f t="shared" si="75"/>
        <v>172.157233185</v>
      </c>
      <c r="N636" s="17">
        <f t="shared" si="79"/>
        <v>1.9163075000000001</v>
      </c>
      <c r="O636" s="17">
        <f t="shared" si="77"/>
        <v>6132.1840000000002</v>
      </c>
      <c r="P636" s="18">
        <f t="shared" si="78"/>
        <v>550903.14619200001</v>
      </c>
      <c r="R636" s="66"/>
      <c r="S636" s="19"/>
      <c r="T636" s="20"/>
      <c r="U636" s="20"/>
      <c r="V636" s="20"/>
      <c r="W636" s="20"/>
      <c r="X636" s="20"/>
      <c r="Y636" s="20"/>
      <c r="Z636" s="20"/>
      <c r="AA636" s="20"/>
    </row>
    <row r="637" spans="1:27">
      <c r="A637" s="54"/>
      <c r="B637" s="10">
        <v>45829</v>
      </c>
      <c r="C637" s="11">
        <f>VLOOKUP(B:B,'Курс валют'!A:D,4,0)</f>
        <v>90.135599999999997</v>
      </c>
      <c r="D637" s="57" t="s">
        <v>2369</v>
      </c>
      <c r="E637" s="50" t="s">
        <v>2370</v>
      </c>
      <c r="F637" s="58">
        <v>11000</v>
      </c>
      <c r="G637" s="57">
        <v>11102.45</v>
      </c>
      <c r="H637" s="56">
        <v>5049.9799999999996</v>
      </c>
      <c r="I637" s="58">
        <f t="shared" si="73"/>
        <v>102.45000000000073</v>
      </c>
      <c r="J637" s="14">
        <f t="shared" si="74"/>
        <v>0.93136363636364305</v>
      </c>
      <c r="K637" s="56">
        <v>4.18</v>
      </c>
      <c r="L637" s="15">
        <f t="shared" si="76"/>
        <v>45.908909090909091</v>
      </c>
      <c r="M637" s="16">
        <f t="shared" si="75"/>
        <v>250.97078518586179</v>
      </c>
      <c r="N637" s="17">
        <f t="shared" si="79"/>
        <v>2.7843691636363634</v>
      </c>
      <c r="O637" s="17">
        <f t="shared" si="77"/>
        <v>30628.060799999999</v>
      </c>
      <c r="P637" s="18">
        <f t="shared" si="78"/>
        <v>2760678.6370444796</v>
      </c>
      <c r="R637" s="66"/>
      <c r="S637" s="19"/>
      <c r="T637" s="20"/>
      <c r="U637" s="20"/>
      <c r="V637" s="20"/>
      <c r="W637" s="20"/>
      <c r="X637" s="20"/>
      <c r="Y637" s="20"/>
      <c r="Z637" s="20"/>
      <c r="AA637" s="20"/>
    </row>
    <row r="638" spans="1:27">
      <c r="A638" s="54"/>
      <c r="B638" s="10">
        <v>45830</v>
      </c>
      <c r="C638" s="11">
        <f>VLOOKUP(B:B,'Курс валют'!A:D,4,0)</f>
        <v>90.135599999999997</v>
      </c>
      <c r="D638" s="57" t="s">
        <v>2371</v>
      </c>
      <c r="E638" s="50" t="s">
        <v>2370</v>
      </c>
      <c r="F638" s="58">
        <v>10660</v>
      </c>
      <c r="G638" s="52">
        <v>10753.3</v>
      </c>
      <c r="H638" s="56">
        <v>5197.8</v>
      </c>
      <c r="I638" s="13">
        <f t="shared" si="73"/>
        <v>93.299999999999272</v>
      </c>
      <c r="J638" s="14">
        <f t="shared" si="74"/>
        <v>0.87523452157597814</v>
      </c>
      <c r="K638" s="56">
        <v>4.2300000000000004</v>
      </c>
      <c r="L638" s="15">
        <f t="shared" si="76"/>
        <v>48.75984990619137</v>
      </c>
      <c r="M638" s="16">
        <f t="shared" si="75"/>
        <v>247.66563885298319</v>
      </c>
      <c r="N638" s="17">
        <f t="shared" si="79"/>
        <v>2.747700562851783</v>
      </c>
      <c r="O638" s="17">
        <f t="shared" si="77"/>
        <v>29290.488000000008</v>
      </c>
      <c r="P638" s="18">
        <f t="shared" si="78"/>
        <v>2640115.7101728008</v>
      </c>
      <c r="R638" s="66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>
      <c r="A639" s="54"/>
      <c r="B639" s="10">
        <v>45830</v>
      </c>
      <c r="C639" s="11">
        <f>VLOOKUP(B:B,'Курс валют'!A:D,4,0)</f>
        <v>90.135599999999997</v>
      </c>
      <c r="D639" s="57" t="s">
        <v>2372</v>
      </c>
      <c r="E639" s="50" t="s">
        <v>204</v>
      </c>
      <c r="F639" s="58">
        <v>440</v>
      </c>
      <c r="G639" s="57">
        <v>448.84</v>
      </c>
      <c r="H639" s="56">
        <v>204.64</v>
      </c>
      <c r="I639" s="58">
        <f t="shared" si="73"/>
        <v>8.839999999999975</v>
      </c>
      <c r="J639" s="14">
        <f t="shared" si="74"/>
        <v>2.0090909090909035</v>
      </c>
      <c r="K639" s="56">
        <v>4.26</v>
      </c>
      <c r="L639" s="15">
        <f t="shared" si="76"/>
        <v>46.509090909090908</v>
      </c>
      <c r="M639" s="16">
        <f t="shared" si="75"/>
        <v>256.53706163781811</v>
      </c>
      <c r="N639" s="17">
        <f t="shared" si="79"/>
        <v>2.846123636363636</v>
      </c>
      <c r="O639" s="17">
        <f t="shared" si="77"/>
        <v>1252.2943999999998</v>
      </c>
      <c r="P639" s="18">
        <f t="shared" si="78"/>
        <v>112876.30712063998</v>
      </c>
      <c r="R639" s="66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>
      <c r="A640" s="54"/>
      <c r="B640" s="10">
        <v>45831</v>
      </c>
      <c r="C640" s="11">
        <f>VLOOKUP(B:B,'Курс валют'!A:D,4,0)</f>
        <v>90.135599999999997</v>
      </c>
      <c r="D640" s="57" t="s">
        <v>2373</v>
      </c>
      <c r="E640" s="50" t="s">
        <v>2370</v>
      </c>
      <c r="F640" s="58">
        <v>11000</v>
      </c>
      <c r="G640" s="57">
        <v>11172.34</v>
      </c>
      <c r="H640" s="56">
        <v>5139.4399999999996</v>
      </c>
      <c r="I640" s="58">
        <f t="shared" si="73"/>
        <v>172.34000000000015</v>
      </c>
      <c r="J640" s="14">
        <f t="shared" si="74"/>
        <v>1.5667272727272741</v>
      </c>
      <c r="K640" s="56">
        <v>4.1500000000000004</v>
      </c>
      <c r="L640" s="15">
        <f t="shared" si="76"/>
        <v>46.722181818181809</v>
      </c>
      <c r="M640" s="16">
        <f t="shared" si="75"/>
        <v>270.88510865847275</v>
      </c>
      <c r="N640" s="17">
        <f>(F640*K640-H640*2.45)/F640</f>
        <v>3.0053065454545456</v>
      </c>
      <c r="O640" s="17">
        <f t="shared" si="77"/>
        <v>33058.372000000003</v>
      </c>
      <c r="P640" s="18">
        <f t="shared" si="78"/>
        <v>2979736.1952432003</v>
      </c>
      <c r="S640" s="19"/>
      <c r="T640" s="20"/>
      <c r="U640" s="20"/>
      <c r="V640" s="20"/>
      <c r="W640" s="20"/>
      <c r="X640" s="20"/>
      <c r="Y640" s="20"/>
      <c r="Z640" s="20"/>
      <c r="AA640" s="20"/>
    </row>
    <row r="641" spans="1:27">
      <c r="A641" s="54"/>
      <c r="B641" s="10">
        <v>45831</v>
      </c>
      <c r="C641" s="11">
        <f>VLOOKUP(B:B,'Курс валют'!A:D,4,0)</f>
        <v>90.135599999999997</v>
      </c>
      <c r="D641" s="57" t="s">
        <v>2374</v>
      </c>
      <c r="E641" s="50" t="s">
        <v>57</v>
      </c>
      <c r="F641" s="58">
        <v>2000</v>
      </c>
      <c r="G641" s="57">
        <v>2048.6999999999998</v>
      </c>
      <c r="H641" s="49">
        <v>1048</v>
      </c>
      <c r="I641" s="58">
        <f t="shared" si="73"/>
        <v>48.699999999999818</v>
      </c>
      <c r="J641" s="14">
        <f t="shared" si="74"/>
        <v>2.4349999999999912</v>
      </c>
      <c r="K641" s="56">
        <v>4.1900000000000004</v>
      </c>
      <c r="L641" s="15">
        <f t="shared" si="76"/>
        <v>52.400000000000006</v>
      </c>
      <c r="M641" s="16">
        <f t="shared" si="75"/>
        <v>234.08575862399999</v>
      </c>
      <c r="N641" s="17">
        <f t="shared" ref="N641:N700" si="80">(F641*K641-H641*3.04)/F641</f>
        <v>2.5970399999999998</v>
      </c>
      <c r="O641" s="17">
        <f t="shared" si="77"/>
        <v>5194.08</v>
      </c>
      <c r="P641" s="18">
        <f t="shared" si="78"/>
        <v>468171.51724799996</v>
      </c>
      <c r="R641" s="66"/>
      <c r="S641" s="19"/>
      <c r="T641" s="20"/>
      <c r="U641" s="20"/>
      <c r="V641" s="20"/>
      <c r="W641" s="20"/>
      <c r="X641" s="20"/>
      <c r="Y641" s="20"/>
      <c r="Z641" s="20"/>
      <c r="AA641" s="20"/>
    </row>
    <row r="642" spans="1:27">
      <c r="A642" s="54"/>
      <c r="B642" s="10">
        <v>45832</v>
      </c>
      <c r="C642" s="11">
        <f>VLOOKUP(B:B,'Курс валют'!A:D,4,0)</f>
        <v>89.838800000000006</v>
      </c>
      <c r="D642" s="57" t="s">
        <v>2375</v>
      </c>
      <c r="E642" s="50" t="s">
        <v>57</v>
      </c>
      <c r="F642" s="58">
        <v>2000</v>
      </c>
      <c r="G642" s="57">
        <v>2047.6</v>
      </c>
      <c r="H642" s="49">
        <v>940</v>
      </c>
      <c r="I642" s="58">
        <f t="shared" si="73"/>
        <v>47.599999999999909</v>
      </c>
      <c r="J642" s="14">
        <f t="shared" si="74"/>
        <v>2.3799999999999955</v>
      </c>
      <c r="K642" s="56">
        <v>4.07</v>
      </c>
      <c r="L642" s="15">
        <f t="shared" si="76"/>
        <v>47</v>
      </c>
      <c r="M642" s="16">
        <f t="shared" si="75"/>
        <v>237.28223856000008</v>
      </c>
      <c r="N642" s="17">
        <f t="shared" si="80"/>
        <v>2.6412000000000009</v>
      </c>
      <c r="O642" s="17">
        <f t="shared" si="77"/>
        <v>5282.4000000000015</v>
      </c>
      <c r="P642" s="18">
        <f t="shared" si="78"/>
        <v>474564.47712000017</v>
      </c>
      <c r="R642" s="65"/>
      <c r="S642" s="19"/>
      <c r="T642" s="20"/>
      <c r="U642" s="20"/>
      <c r="V642" s="20"/>
      <c r="W642" s="20"/>
      <c r="X642" s="20"/>
      <c r="Y642" s="20"/>
      <c r="Z642" s="20"/>
      <c r="AA642" s="20"/>
    </row>
    <row r="643" spans="1:27">
      <c r="A643" s="54"/>
      <c r="B643" s="10">
        <v>45832</v>
      </c>
      <c r="C643" s="11">
        <f>VLOOKUP(B:B,'Курс валют'!A:D,4,0)</f>
        <v>89.838800000000006</v>
      </c>
      <c r="D643" s="57" t="s">
        <v>2376</v>
      </c>
      <c r="E643" s="50" t="s">
        <v>101</v>
      </c>
      <c r="F643" s="58">
        <v>2200</v>
      </c>
      <c r="G643" s="57">
        <v>2339.5</v>
      </c>
      <c r="H643" s="49">
        <v>0</v>
      </c>
      <c r="I643" s="58">
        <f t="shared" si="73"/>
        <v>139.5</v>
      </c>
      <c r="J643" s="14">
        <f t="shared" si="74"/>
        <v>6.3409090909090917</v>
      </c>
      <c r="K643" s="56">
        <v>2.73</v>
      </c>
      <c r="L643" s="15">
        <f t="shared" si="76"/>
        <v>0</v>
      </c>
      <c r="M643" s="16">
        <f t="shared" si="75"/>
        <v>245.25992400000004</v>
      </c>
      <c r="N643" s="17">
        <f t="shared" si="80"/>
        <v>2.73</v>
      </c>
      <c r="O643" s="17">
        <f t="shared" si="77"/>
        <v>6006</v>
      </c>
      <c r="P643" s="18">
        <f t="shared" si="78"/>
        <v>539571.83280000009</v>
      </c>
      <c r="R643" s="65"/>
      <c r="S643" s="19"/>
      <c r="T643" s="20"/>
      <c r="U643" s="20"/>
      <c r="V643" s="20"/>
      <c r="W643" s="20"/>
      <c r="X643" s="20"/>
      <c r="Y643" s="20"/>
      <c r="Z643" s="20"/>
      <c r="AA643" s="20"/>
    </row>
    <row r="644" spans="1:27">
      <c r="A644" s="54"/>
      <c r="B644" s="10">
        <v>45832</v>
      </c>
      <c r="C644" s="11">
        <f>VLOOKUP(B:B,'Курс валют'!A:D,4,0)</f>
        <v>89.838800000000006</v>
      </c>
      <c r="D644" s="57" t="s">
        <v>2377</v>
      </c>
      <c r="E644" s="50" t="s">
        <v>207</v>
      </c>
      <c r="F644" s="58">
        <v>200</v>
      </c>
      <c r="G644" s="57">
        <v>200</v>
      </c>
      <c r="H644" s="49">
        <v>0</v>
      </c>
      <c r="I644" s="58">
        <f t="shared" si="73"/>
        <v>0</v>
      </c>
      <c r="J644" s="14">
        <f t="shared" si="74"/>
        <v>0</v>
      </c>
      <c r="K644" s="56">
        <v>2.93</v>
      </c>
      <c r="L644" s="15">
        <f t="shared" si="76"/>
        <v>0</v>
      </c>
      <c r="M644" s="16">
        <f t="shared" si="75"/>
        <v>263.22768400000001</v>
      </c>
      <c r="N644" s="17">
        <f t="shared" si="80"/>
        <v>2.93</v>
      </c>
      <c r="O644" s="17">
        <f t="shared" si="77"/>
        <v>586</v>
      </c>
      <c r="P644" s="18">
        <f t="shared" si="78"/>
        <v>52645.536800000002</v>
      </c>
      <c r="R644" s="65"/>
      <c r="S644" s="19"/>
      <c r="T644" s="20"/>
      <c r="U644" s="20"/>
      <c r="V644" s="20"/>
      <c r="W644" s="20"/>
      <c r="X644" s="20"/>
      <c r="Y644" s="20"/>
      <c r="Z644" s="20"/>
      <c r="AA644" s="20"/>
    </row>
    <row r="645" spans="1:27">
      <c r="A645" s="54"/>
      <c r="B645" s="10">
        <v>45832</v>
      </c>
      <c r="C645" s="11">
        <f>VLOOKUP(B:B,'Курс валют'!A:D,4,0)</f>
        <v>89.838800000000006</v>
      </c>
      <c r="D645" s="57" t="s">
        <v>2378</v>
      </c>
      <c r="E645" s="50" t="s">
        <v>57</v>
      </c>
      <c r="F645" s="58">
        <v>2000</v>
      </c>
      <c r="G645" s="57">
        <v>2048.6</v>
      </c>
      <c r="H645" s="49">
        <v>958.8</v>
      </c>
      <c r="I645" s="58">
        <f t="shared" si="73"/>
        <v>48.599999999999909</v>
      </c>
      <c r="J645" s="14">
        <f t="shared" si="74"/>
        <v>2.4299999999999953</v>
      </c>
      <c r="K645" s="56">
        <v>4.2300000000000004</v>
      </c>
      <c r="L645" s="15">
        <f t="shared" si="76"/>
        <v>47.94</v>
      </c>
      <c r="M645" s="16">
        <f t="shared" si="75"/>
        <v>249.08921301119997</v>
      </c>
      <c r="N645" s="17">
        <f t="shared" si="80"/>
        <v>2.772624</v>
      </c>
      <c r="O645" s="17">
        <f t="shared" si="77"/>
        <v>5545.2479999999996</v>
      </c>
      <c r="P645" s="18">
        <f t="shared" si="78"/>
        <v>498178.42602239997</v>
      </c>
      <c r="R645" s="65"/>
      <c r="S645" s="19"/>
      <c r="T645" s="20"/>
      <c r="U645" s="20"/>
      <c r="V645" s="20"/>
      <c r="W645" s="20"/>
      <c r="X645" s="20"/>
      <c r="Y645" s="20"/>
      <c r="Z645" s="20"/>
      <c r="AA645" s="20"/>
    </row>
    <row r="646" spans="1:27">
      <c r="A646" s="54"/>
      <c r="B646" s="10">
        <v>45833</v>
      </c>
      <c r="C646" s="11">
        <f>VLOOKUP(B:B,'Курс валют'!A:D,4,0)</f>
        <v>91.736999999999995</v>
      </c>
      <c r="D646" s="57" t="s">
        <v>2379</v>
      </c>
      <c r="E646" s="50" t="s">
        <v>54</v>
      </c>
      <c r="F646" s="58">
        <v>3200</v>
      </c>
      <c r="G646" s="57">
        <v>3284.2</v>
      </c>
      <c r="H646" s="56">
        <v>0</v>
      </c>
      <c r="I646" s="58">
        <f t="shared" si="73"/>
        <v>84.199999999999818</v>
      </c>
      <c r="J646" s="14">
        <f t="shared" si="74"/>
        <v>2.6312499999999943</v>
      </c>
      <c r="K646" s="53">
        <v>2.4</v>
      </c>
      <c r="L646" s="15">
        <f t="shared" si="76"/>
        <v>0</v>
      </c>
      <c r="M646" s="16">
        <f t="shared" si="75"/>
        <v>220.16879999999998</v>
      </c>
      <c r="N646" s="17">
        <f t="shared" si="80"/>
        <v>2.4</v>
      </c>
      <c r="O646" s="17">
        <f t="shared" si="77"/>
        <v>7680</v>
      </c>
      <c r="P646" s="18">
        <f t="shared" si="78"/>
        <v>704540.15999999992</v>
      </c>
      <c r="R646" s="65"/>
      <c r="S646" s="19"/>
      <c r="T646" s="20"/>
      <c r="U646" s="20"/>
      <c r="V646" s="20"/>
      <c r="W646" s="20"/>
      <c r="X646" s="20"/>
      <c r="Y646" s="20"/>
      <c r="Z646" s="20"/>
      <c r="AA646" s="20"/>
    </row>
    <row r="647" spans="1:27">
      <c r="A647" s="54"/>
      <c r="B647" s="10">
        <v>45834</v>
      </c>
      <c r="C647" s="11">
        <f>VLOOKUP(B:B,'Курс валют'!A:D,4,0)</f>
        <v>91.059899999999999</v>
      </c>
      <c r="D647" s="57" t="s">
        <v>2380</v>
      </c>
      <c r="E647" s="50" t="s">
        <v>54</v>
      </c>
      <c r="F647" s="58">
        <v>3200</v>
      </c>
      <c r="G647" s="57">
        <v>3267.7</v>
      </c>
      <c r="H647" s="56">
        <v>0</v>
      </c>
      <c r="I647" s="58">
        <f t="shared" si="73"/>
        <v>67.699999999999818</v>
      </c>
      <c r="J647" s="14">
        <f t="shared" si="74"/>
        <v>2.1156249999999943</v>
      </c>
      <c r="K647" s="53">
        <v>2.5499999999999998</v>
      </c>
      <c r="L647" s="15">
        <f t="shared" si="76"/>
        <v>0</v>
      </c>
      <c r="M647" s="16">
        <f t="shared" si="75"/>
        <v>232.20274499999996</v>
      </c>
      <c r="N647" s="17">
        <f t="shared" si="80"/>
        <v>2.5499999999999998</v>
      </c>
      <c r="O647" s="17">
        <f t="shared" si="77"/>
        <v>8159.9999999999991</v>
      </c>
      <c r="P647" s="18">
        <f t="shared" si="78"/>
        <v>743048.78399999987</v>
      </c>
      <c r="R647" s="65"/>
      <c r="S647" s="19"/>
      <c r="T647" s="20"/>
      <c r="U647" s="20"/>
      <c r="V647" s="20"/>
      <c r="W647" s="20"/>
      <c r="X647" s="20"/>
      <c r="Y647" s="20"/>
      <c r="Z647" s="20"/>
      <c r="AA647" s="20"/>
    </row>
    <row r="648" spans="1:27">
      <c r="A648" s="54"/>
      <c r="B648" s="10">
        <v>45834</v>
      </c>
      <c r="C648" s="11">
        <f>VLOOKUP(B:B,'Курс валют'!A:D,4,0)</f>
        <v>91.059899999999999</v>
      </c>
      <c r="D648" s="57" t="s">
        <v>2381</v>
      </c>
      <c r="E648" s="50" t="s">
        <v>61</v>
      </c>
      <c r="F648" s="58">
        <v>2000</v>
      </c>
      <c r="G648" s="57">
        <v>2012</v>
      </c>
      <c r="H648" s="56">
        <v>0</v>
      </c>
      <c r="I648" s="58">
        <f t="shared" si="73"/>
        <v>12</v>
      </c>
      <c r="J648" s="14">
        <f t="shared" si="74"/>
        <v>0.6</v>
      </c>
      <c r="K648" s="56">
        <v>2.62</v>
      </c>
      <c r="L648" s="15">
        <f t="shared" si="76"/>
        <v>0</v>
      </c>
      <c r="M648" s="16">
        <f t="shared" si="75"/>
        <v>238.57693799999998</v>
      </c>
      <c r="N648" s="17">
        <f t="shared" si="80"/>
        <v>2.62</v>
      </c>
      <c r="O648" s="17">
        <f t="shared" si="77"/>
        <v>5240</v>
      </c>
      <c r="P648" s="18">
        <f t="shared" si="78"/>
        <v>477153.87599999999</v>
      </c>
      <c r="R648" s="66" t="s">
        <v>2382</v>
      </c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>
      <c r="A649" s="54"/>
      <c r="B649" s="10">
        <v>45835</v>
      </c>
      <c r="C649" s="11">
        <f>VLOOKUP(B:B,'Курс валют'!A:D,4,0)</f>
        <v>91.6601</v>
      </c>
      <c r="D649" s="57" t="s">
        <v>2383</v>
      </c>
      <c r="E649" s="55" t="s">
        <v>119</v>
      </c>
      <c r="F649" s="58">
        <v>23.18</v>
      </c>
      <c r="G649" s="57">
        <v>23.292999999999999</v>
      </c>
      <c r="H649" s="56">
        <v>0</v>
      </c>
      <c r="I649" s="58">
        <f t="shared" si="73"/>
        <v>0.11299999999999955</v>
      </c>
      <c r="J649" s="14">
        <f t="shared" si="74"/>
        <v>0.48748921484037766</v>
      </c>
      <c r="K649" s="56">
        <v>2.52</v>
      </c>
      <c r="L649" s="15">
        <f t="shared" si="76"/>
        <v>0</v>
      </c>
      <c r="M649" s="16">
        <f t="shared" si="75"/>
        <v>230.983452</v>
      </c>
      <c r="N649" s="17">
        <f t="shared" si="80"/>
        <v>2.52</v>
      </c>
      <c r="O649" s="17">
        <f t="shared" si="77"/>
        <v>58.413600000000002</v>
      </c>
      <c r="P649" s="18">
        <f t="shared" si="78"/>
        <v>5354.1964173599999</v>
      </c>
      <c r="R649" s="66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>
      <c r="A650" s="54"/>
      <c r="B650" s="10">
        <v>45835</v>
      </c>
      <c r="C650" s="11">
        <f>VLOOKUP(B:B,'Курс валют'!A:D,4,0)</f>
        <v>91.6601</v>
      </c>
      <c r="D650" s="57" t="s">
        <v>2384</v>
      </c>
      <c r="E650" s="55" t="s">
        <v>105</v>
      </c>
      <c r="F650" s="58">
        <v>23.18</v>
      </c>
      <c r="G650" s="58">
        <v>23.36</v>
      </c>
      <c r="H650" s="56">
        <v>0</v>
      </c>
      <c r="I650" s="58">
        <f t="shared" si="73"/>
        <v>0.17999999999999972</v>
      </c>
      <c r="J650" s="14">
        <f t="shared" si="74"/>
        <v>0.77653149266609023</v>
      </c>
      <c r="K650" s="56">
        <v>2.64</v>
      </c>
      <c r="L650" s="15">
        <f t="shared" si="76"/>
        <v>0</v>
      </c>
      <c r="M650" s="16">
        <f t="shared" si="75"/>
        <v>241.98266399999997</v>
      </c>
      <c r="N650" s="17">
        <f t="shared" si="80"/>
        <v>2.64</v>
      </c>
      <c r="O650" s="17">
        <f t="shared" si="77"/>
        <v>61.1952</v>
      </c>
      <c r="P650" s="18">
        <f t="shared" si="78"/>
        <v>5609.1581515199996</v>
      </c>
      <c r="R650" s="65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>
      <c r="A651" s="54"/>
      <c r="B651" s="10">
        <v>45836</v>
      </c>
      <c r="C651" s="11">
        <f>VLOOKUP(B:B,'Курс валют'!A:D,4,0)</f>
        <v>92.278499999999994</v>
      </c>
      <c r="D651" s="57" t="s">
        <v>2385</v>
      </c>
      <c r="E651" s="50" t="s">
        <v>61</v>
      </c>
      <c r="F651" s="58">
        <v>1800</v>
      </c>
      <c r="G651" s="58">
        <v>2450</v>
      </c>
      <c r="H651" s="56">
        <v>0</v>
      </c>
      <c r="I651" s="58">
        <f t="shared" si="73"/>
        <v>650</v>
      </c>
      <c r="J651" s="14">
        <f t="shared" si="74"/>
        <v>36.111111111111107</v>
      </c>
      <c r="K651" s="56">
        <v>2.68</v>
      </c>
      <c r="L651" s="15">
        <f t="shared" si="76"/>
        <v>0</v>
      </c>
      <c r="M651" s="16">
        <f t="shared" si="75"/>
        <v>247.30637999999999</v>
      </c>
      <c r="N651" s="17">
        <f t="shared" si="80"/>
        <v>2.68</v>
      </c>
      <c r="O651" s="17">
        <f t="shared" si="77"/>
        <v>4824</v>
      </c>
      <c r="P651" s="18">
        <f t="shared" si="78"/>
        <v>445151.484</v>
      </c>
      <c r="R651" s="65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>
      <c r="A652" s="54"/>
      <c r="B652" s="10">
        <v>45837</v>
      </c>
      <c r="C652" s="11">
        <f>VLOOKUP(B:B,'Курс валют'!A:D,4,0)</f>
        <v>92.278499999999994</v>
      </c>
      <c r="D652" s="57" t="s">
        <v>2386</v>
      </c>
      <c r="E652" s="55" t="s">
        <v>2221</v>
      </c>
      <c r="F652" s="58">
        <v>2200</v>
      </c>
      <c r="G652" s="58">
        <v>2259.8000000000002</v>
      </c>
      <c r="H652" s="56">
        <v>897</v>
      </c>
      <c r="I652" s="58">
        <f t="shared" si="73"/>
        <v>59.800000000000182</v>
      </c>
      <c r="J652" s="14">
        <f t="shared" si="74"/>
        <v>2.7181818181818267</v>
      </c>
      <c r="K652" s="56">
        <v>3.35</v>
      </c>
      <c r="L652" s="15">
        <f t="shared" si="76"/>
        <v>40.772727272727273</v>
      </c>
      <c r="M652" s="16">
        <f t="shared" si="75"/>
        <v>194.75461314545453</v>
      </c>
      <c r="N652" s="17">
        <f t="shared" si="80"/>
        <v>2.1105090909090909</v>
      </c>
      <c r="O652" s="17">
        <f t="shared" si="77"/>
        <v>4643.12</v>
      </c>
      <c r="P652" s="18">
        <f t="shared" si="78"/>
        <v>428460.14891999995</v>
      </c>
      <c r="R652" s="66"/>
      <c r="S652" s="19"/>
      <c r="T652" s="20"/>
      <c r="U652" s="20"/>
      <c r="V652" s="20"/>
      <c r="W652" s="20"/>
      <c r="X652" s="20"/>
      <c r="Y652" s="20"/>
      <c r="Z652" s="20"/>
      <c r="AA652" s="20"/>
    </row>
    <row r="653" spans="1:27">
      <c r="A653" s="54"/>
      <c r="B653" s="10">
        <v>45837</v>
      </c>
      <c r="C653" s="11">
        <f>VLOOKUP(B:B,'Курс валют'!A:D,4,0)</f>
        <v>92.278499999999994</v>
      </c>
      <c r="D653" s="57" t="s">
        <v>2387</v>
      </c>
      <c r="E653" s="55" t="s">
        <v>2221</v>
      </c>
      <c r="F653" s="58">
        <v>2200</v>
      </c>
      <c r="G653" s="58">
        <v>2251</v>
      </c>
      <c r="H653" s="56">
        <v>896.5</v>
      </c>
      <c r="I653" s="58">
        <f t="shared" si="73"/>
        <v>51</v>
      </c>
      <c r="J653" s="14">
        <f t="shared" si="74"/>
        <v>2.3181818181818183</v>
      </c>
      <c r="K653" s="56">
        <v>3.35</v>
      </c>
      <c r="L653" s="15">
        <f t="shared" si="76"/>
        <v>40.75</v>
      </c>
      <c r="M653" s="16">
        <f t="shared" si="75"/>
        <v>194.81836919999995</v>
      </c>
      <c r="N653" s="17">
        <f t="shared" si="80"/>
        <v>2.1111999999999997</v>
      </c>
      <c r="O653" s="17">
        <f t="shared" si="77"/>
        <v>4644.6399999999994</v>
      </c>
      <c r="P653" s="18">
        <f t="shared" si="78"/>
        <v>428600.41223999992</v>
      </c>
      <c r="R653" s="66"/>
      <c r="S653" s="19"/>
      <c r="T653" s="20"/>
      <c r="U653" s="20"/>
      <c r="V653" s="20"/>
      <c r="W653" s="20"/>
      <c r="X653" s="20"/>
      <c r="Y653" s="20"/>
      <c r="Z653" s="20"/>
      <c r="AA653" s="20"/>
    </row>
    <row r="654" spans="1:27" ht="12.75">
      <c r="A654" s="10"/>
      <c r="B654" s="10">
        <v>45839</v>
      </c>
      <c r="C654" s="11">
        <f>VLOOKUP(B:B,'Курс валют'!A:D,4,0)</f>
        <v>92.267200000000003</v>
      </c>
      <c r="D654" s="45" t="s">
        <v>2217</v>
      </c>
      <c r="E654" s="62" t="s">
        <v>2187</v>
      </c>
      <c r="F654" s="11">
        <v>6400</v>
      </c>
      <c r="G654" s="11">
        <v>6542.6880000000001</v>
      </c>
      <c r="H654" s="56">
        <v>620.16</v>
      </c>
      <c r="I654" s="58">
        <f t="shared" si="73"/>
        <v>142.6880000000001</v>
      </c>
      <c r="J654" s="14">
        <f t="shared" si="74"/>
        <v>2.2295000000000016</v>
      </c>
      <c r="K654" s="46">
        <v>2.2799999999999998</v>
      </c>
      <c r="L654" s="15">
        <f t="shared" si="76"/>
        <v>9.69</v>
      </c>
      <c r="M654" s="16">
        <f t="shared" si="75"/>
        <v>183.1895132928</v>
      </c>
      <c r="N654" s="17">
        <f t="shared" si="80"/>
        <v>1.9854239999999999</v>
      </c>
      <c r="O654" s="17">
        <f t="shared" si="77"/>
        <v>12706.713599999999</v>
      </c>
      <c r="P654" s="18">
        <f t="shared" si="78"/>
        <v>1172412.88507392</v>
      </c>
      <c r="R654" s="66"/>
      <c r="S654" s="19"/>
      <c r="T654" s="20"/>
      <c r="U654" s="20"/>
      <c r="V654" s="20"/>
      <c r="W654" s="20"/>
      <c r="X654" s="20"/>
      <c r="Y654" s="20"/>
      <c r="Z654" s="20"/>
      <c r="AA654" s="20"/>
    </row>
    <row r="655" spans="1:27" ht="12.75">
      <c r="A655" s="10"/>
      <c r="B655" s="10">
        <v>45839</v>
      </c>
      <c r="C655" s="11">
        <f>VLOOKUP(B:B,'Курс валют'!A:D,4,0)</f>
        <v>92.267200000000003</v>
      </c>
      <c r="D655" s="57" t="s">
        <v>2218</v>
      </c>
      <c r="E655" s="62" t="s">
        <v>2116</v>
      </c>
      <c r="F655" s="58">
        <v>180</v>
      </c>
      <c r="G655" s="58">
        <v>185.64</v>
      </c>
      <c r="H655" s="56">
        <v>0</v>
      </c>
      <c r="I655" s="58">
        <f t="shared" si="73"/>
        <v>5.6399999999999864</v>
      </c>
      <c r="J655" s="14">
        <f t="shared" si="74"/>
        <v>3.1333333333333253</v>
      </c>
      <c r="K655" s="56">
        <v>2.2599999999999998</v>
      </c>
      <c r="L655" s="15">
        <f t="shared" si="76"/>
        <v>0</v>
      </c>
      <c r="M655" s="16">
        <f t="shared" si="75"/>
        <v>208.52387200000001</v>
      </c>
      <c r="N655" s="17">
        <f t="shared" si="80"/>
        <v>2.2599999999999998</v>
      </c>
      <c r="O655" s="17">
        <f t="shared" si="77"/>
        <v>406.79999999999995</v>
      </c>
      <c r="P655" s="18">
        <f t="shared" si="78"/>
        <v>37534.29696</v>
      </c>
      <c r="R655" s="66"/>
      <c r="S655" s="19"/>
      <c r="T655" s="20"/>
      <c r="U655" s="20"/>
      <c r="V655" s="20"/>
      <c r="W655" s="20"/>
      <c r="X655" s="20"/>
      <c r="Y655" s="20"/>
      <c r="Z655" s="20"/>
      <c r="AA655" s="20"/>
    </row>
    <row r="656" spans="1:27" ht="12.75">
      <c r="A656" s="10"/>
      <c r="B656" s="10">
        <v>45839</v>
      </c>
      <c r="C656" s="11">
        <f>VLOOKUP(B:B,'Курс валют'!A:D,4,0)</f>
        <v>92.267200000000003</v>
      </c>
      <c r="D656" s="57" t="s">
        <v>2219</v>
      </c>
      <c r="E656" s="62" t="s">
        <v>57</v>
      </c>
      <c r="F656" s="58">
        <v>2000</v>
      </c>
      <c r="G656" s="58">
        <v>2050.8130000000001</v>
      </c>
      <c r="H656" s="56">
        <v>86.7</v>
      </c>
      <c r="I656" s="58">
        <f t="shared" si="73"/>
        <v>50.813000000000102</v>
      </c>
      <c r="J656" s="14">
        <f t="shared" si="74"/>
        <v>2.5406500000000052</v>
      </c>
      <c r="K656" s="56">
        <v>2.73</v>
      </c>
      <c r="L656" s="15">
        <f t="shared" si="76"/>
        <v>4.335</v>
      </c>
      <c r="M656" s="16">
        <f t="shared" si="75"/>
        <v>239.73011531520001</v>
      </c>
      <c r="N656" s="17">
        <f t="shared" si="80"/>
        <v>2.5982159999999999</v>
      </c>
      <c r="O656" s="17">
        <f t="shared" si="77"/>
        <v>5196.4319999999998</v>
      </c>
      <c r="P656" s="18">
        <f t="shared" si="78"/>
        <v>479460.23063040001</v>
      </c>
      <c r="R656" s="66"/>
      <c r="S656" s="19"/>
      <c r="T656" s="20"/>
      <c r="U656" s="20"/>
      <c r="V656" s="20"/>
      <c r="W656" s="20"/>
      <c r="X656" s="20"/>
      <c r="Y656" s="20"/>
      <c r="Z656" s="20"/>
      <c r="AA656" s="20"/>
    </row>
    <row r="657" spans="1:27" ht="12.75">
      <c r="A657" s="10"/>
      <c r="B657" s="10">
        <v>45839</v>
      </c>
      <c r="C657" s="11">
        <f>VLOOKUP(B:B,'Курс валют'!A:D,4,0)</f>
        <v>92.267200000000003</v>
      </c>
      <c r="D657" s="57" t="s">
        <v>2220</v>
      </c>
      <c r="E657" s="50" t="s">
        <v>2221</v>
      </c>
      <c r="F657" s="58">
        <v>2200</v>
      </c>
      <c r="G657" s="58">
        <v>2289.6959999999999</v>
      </c>
      <c r="H657" s="56">
        <v>914.94</v>
      </c>
      <c r="I657" s="58">
        <f t="shared" si="73"/>
        <v>89.695999999999913</v>
      </c>
      <c r="J657" s="127">
        <f t="shared" si="74"/>
        <v>4.0770909090909049</v>
      </c>
      <c r="K657" s="56">
        <v>3.73</v>
      </c>
      <c r="L657" s="15">
        <f t="shared" si="76"/>
        <v>41.588181818181816</v>
      </c>
      <c r="M657" s="16">
        <f t="shared" si="75"/>
        <v>227.50501328058178</v>
      </c>
      <c r="N657" s="17">
        <f t="shared" si="80"/>
        <v>2.4657192727272723</v>
      </c>
      <c r="O657" s="17">
        <f t="shared" si="77"/>
        <v>5424.5823999999993</v>
      </c>
      <c r="P657" s="18">
        <f t="shared" si="78"/>
        <v>500511.02921727992</v>
      </c>
      <c r="R657" s="66"/>
      <c r="S657" s="19"/>
      <c r="T657" s="20"/>
      <c r="U657" s="20"/>
      <c r="V657" s="20"/>
      <c r="W657" s="20"/>
      <c r="X657" s="20"/>
      <c r="Y657" s="20"/>
      <c r="Z657" s="20"/>
      <c r="AA657" s="20"/>
    </row>
    <row r="658" spans="1:27" ht="12.75">
      <c r="A658" s="10"/>
      <c r="B658" s="10">
        <v>45840</v>
      </c>
      <c r="C658" s="11">
        <f>VLOOKUP(B:B,'Курс валют'!A:D,4,0)</f>
        <v>92.744</v>
      </c>
      <c r="D658" s="57" t="s">
        <v>2222</v>
      </c>
      <c r="E658" s="50" t="s">
        <v>60</v>
      </c>
      <c r="F658" s="58">
        <v>2250</v>
      </c>
      <c r="G658" s="58">
        <v>2315.982</v>
      </c>
      <c r="H658" s="56">
        <v>912</v>
      </c>
      <c r="I658" s="58">
        <f t="shared" si="73"/>
        <v>65.981999999999971</v>
      </c>
      <c r="J658" s="14">
        <f t="shared" si="74"/>
        <v>2.9325333333333323</v>
      </c>
      <c r="K658" s="56">
        <v>3.58</v>
      </c>
      <c r="L658" s="15">
        <f t="shared" si="76"/>
        <v>40.533333333333331</v>
      </c>
      <c r="M658" s="16">
        <f t="shared" si="75"/>
        <v>217.74312661333335</v>
      </c>
      <c r="N658" s="17">
        <f t="shared" si="80"/>
        <v>2.3477866666666669</v>
      </c>
      <c r="O658" s="17">
        <f t="shared" si="77"/>
        <v>5282.52</v>
      </c>
      <c r="P658" s="18">
        <f t="shared" si="78"/>
        <v>489922.03488000005</v>
      </c>
      <c r="R658" s="66"/>
      <c r="S658" s="19"/>
      <c r="T658" s="20"/>
      <c r="U658" s="20"/>
      <c r="V658" s="20"/>
      <c r="W658" s="20"/>
      <c r="X658" s="20"/>
      <c r="Y658" s="20"/>
      <c r="Z658" s="20"/>
      <c r="AA658" s="20"/>
    </row>
    <row r="659" spans="1:27" ht="12.75">
      <c r="A659" s="10"/>
      <c r="B659" s="10">
        <v>45840</v>
      </c>
      <c r="C659" s="11">
        <f>VLOOKUP(B:B,'Курс валют'!A:D,4,0)</f>
        <v>92.744</v>
      </c>
      <c r="D659" s="57" t="s">
        <v>2223</v>
      </c>
      <c r="E659" s="50" t="s">
        <v>51</v>
      </c>
      <c r="F659" s="58">
        <v>8000</v>
      </c>
      <c r="G659" s="58">
        <v>8197.02</v>
      </c>
      <c r="H659" s="56">
        <v>0</v>
      </c>
      <c r="I659" s="58">
        <f t="shared" ref="I659:I746" si="81">G659-F659</f>
        <v>197.02000000000044</v>
      </c>
      <c r="J659" s="14">
        <f t="shared" ref="J659:J746" si="82">I659/F659*100</f>
        <v>2.4627500000000055</v>
      </c>
      <c r="K659" s="56">
        <v>1.99</v>
      </c>
      <c r="L659" s="15">
        <f t="shared" si="76"/>
        <v>0</v>
      </c>
      <c r="M659" s="16">
        <f t="shared" ref="M659:M746" si="83">P659/F659</f>
        <v>184.56056000000001</v>
      </c>
      <c r="N659" s="17">
        <f t="shared" si="80"/>
        <v>1.99</v>
      </c>
      <c r="O659" s="17">
        <f t="shared" si="77"/>
        <v>15920</v>
      </c>
      <c r="P659" s="18">
        <f t="shared" si="78"/>
        <v>1476484.48</v>
      </c>
      <c r="R659" s="66"/>
      <c r="S659" s="19"/>
      <c r="T659" s="20"/>
      <c r="U659" s="20"/>
      <c r="V659" s="20"/>
      <c r="W659" s="20"/>
      <c r="X659" s="20"/>
      <c r="Y659" s="20"/>
      <c r="Z659" s="20"/>
      <c r="AA659" s="20"/>
    </row>
    <row r="660" spans="1:27" ht="12.75">
      <c r="A660" s="10"/>
      <c r="B660" s="10">
        <v>45841</v>
      </c>
      <c r="C660" s="11">
        <f>VLOOKUP(B:B,'Курс валют'!A:D,4,0)</f>
        <v>92.677400000000006</v>
      </c>
      <c r="D660" s="57" t="s">
        <v>2224</v>
      </c>
      <c r="E660" s="64" t="s">
        <v>115</v>
      </c>
      <c r="F660" s="58">
        <v>266.39999999999998</v>
      </c>
      <c r="G660" s="58">
        <v>290.77</v>
      </c>
      <c r="H660" s="56">
        <v>0</v>
      </c>
      <c r="I660" s="58">
        <f t="shared" si="81"/>
        <v>24.370000000000005</v>
      </c>
      <c r="J660" s="14">
        <f t="shared" si="82"/>
        <v>9.1478978978979004</v>
      </c>
      <c r="K660" s="56">
        <v>1.84</v>
      </c>
      <c r="L660" s="15">
        <f t="shared" si="76"/>
        <v>0</v>
      </c>
      <c r="M660" s="16">
        <f t="shared" si="83"/>
        <v>170.52641600000001</v>
      </c>
      <c r="N660" s="17">
        <f t="shared" si="80"/>
        <v>1.84</v>
      </c>
      <c r="O660" s="17">
        <f t="shared" si="77"/>
        <v>490.17599999999999</v>
      </c>
      <c r="P660" s="18">
        <f t="shared" si="78"/>
        <v>45428.237222399999</v>
      </c>
      <c r="R660" s="66" t="s">
        <v>2225</v>
      </c>
      <c r="S660" s="19"/>
      <c r="T660" s="20"/>
      <c r="U660" s="20"/>
      <c r="V660" s="20"/>
      <c r="W660" s="20"/>
      <c r="X660" s="20"/>
      <c r="Y660" s="20"/>
      <c r="Z660" s="20"/>
      <c r="AA660" s="20"/>
    </row>
    <row r="661" spans="1:27" ht="12.75">
      <c r="A661" s="10"/>
      <c r="B661" s="10">
        <v>45841</v>
      </c>
      <c r="C661" s="11">
        <f>VLOOKUP(B:B,'Курс валют'!A:D,4,0)</f>
        <v>92.677400000000006</v>
      </c>
      <c r="D661" s="57" t="s">
        <v>2226</v>
      </c>
      <c r="E661" s="64" t="s">
        <v>115</v>
      </c>
      <c r="F661" s="58">
        <v>236.8</v>
      </c>
      <c r="G661" s="58">
        <v>244.422</v>
      </c>
      <c r="H661" s="56">
        <v>0</v>
      </c>
      <c r="I661" s="58">
        <f t="shared" si="81"/>
        <v>7.6219999999999857</v>
      </c>
      <c r="J661" s="14">
        <f t="shared" si="82"/>
        <v>3.2187499999999938</v>
      </c>
      <c r="K661" s="56">
        <v>1.84</v>
      </c>
      <c r="L661" s="15">
        <f t="shared" si="76"/>
        <v>0</v>
      </c>
      <c r="M661" s="16">
        <f t="shared" si="83"/>
        <v>170.52641600000001</v>
      </c>
      <c r="N661" s="17">
        <f t="shared" si="80"/>
        <v>1.84</v>
      </c>
      <c r="O661" s="17">
        <f t="shared" si="77"/>
        <v>435.71200000000005</v>
      </c>
      <c r="P661" s="18">
        <f t="shared" si="78"/>
        <v>40380.655308800007</v>
      </c>
      <c r="R661" s="66" t="s">
        <v>2225</v>
      </c>
      <c r="S661" s="19"/>
      <c r="T661" s="20"/>
      <c r="U661" s="20"/>
      <c r="V661" s="20"/>
      <c r="W661" s="20"/>
      <c r="X661" s="20"/>
      <c r="Y661" s="20"/>
      <c r="Z661" s="20"/>
      <c r="AA661" s="20"/>
    </row>
    <row r="662" spans="1:27" ht="12.75">
      <c r="A662" s="10"/>
      <c r="B662" s="10">
        <v>45841</v>
      </c>
      <c r="C662" s="11">
        <f>VLOOKUP(B:B,'Курс валют'!A:D,4,0)</f>
        <v>92.677400000000006</v>
      </c>
      <c r="D662" s="57" t="s">
        <v>2227</v>
      </c>
      <c r="E662" s="64" t="s">
        <v>2113</v>
      </c>
      <c r="F662" s="58">
        <v>1400</v>
      </c>
      <c r="G662" s="58">
        <v>1447.788</v>
      </c>
      <c r="H662" s="56">
        <v>0</v>
      </c>
      <c r="I662" s="58">
        <f t="shared" si="81"/>
        <v>47.788000000000011</v>
      </c>
      <c r="J662" s="14">
        <f t="shared" si="82"/>
        <v>3.4134285714285721</v>
      </c>
      <c r="K662" s="56">
        <v>2.46</v>
      </c>
      <c r="L662" s="15">
        <f t="shared" si="76"/>
        <v>0</v>
      </c>
      <c r="M662" s="16">
        <f t="shared" si="83"/>
        <v>227.98640399999999</v>
      </c>
      <c r="N662" s="17">
        <f t="shared" si="80"/>
        <v>2.46</v>
      </c>
      <c r="O662" s="17">
        <f t="shared" si="77"/>
        <v>3444</v>
      </c>
      <c r="P662" s="18">
        <f t="shared" si="78"/>
        <v>319180.9656</v>
      </c>
      <c r="R662" s="66"/>
      <c r="S662" s="19"/>
      <c r="T662" s="20"/>
      <c r="U662" s="20"/>
      <c r="V662" s="20"/>
      <c r="W662" s="20"/>
      <c r="X662" s="20"/>
      <c r="Y662" s="20"/>
      <c r="Z662" s="20"/>
      <c r="AA662" s="20"/>
    </row>
    <row r="663" spans="1:27" ht="12.75">
      <c r="A663" s="10"/>
      <c r="B663" s="10">
        <v>45842</v>
      </c>
      <c r="C663" s="11">
        <f>VLOOKUP(B:B,'Курс валют'!A:D,4,0)</f>
        <v>93.127700000000004</v>
      </c>
      <c r="D663" s="57" t="s">
        <v>2228</v>
      </c>
      <c r="E663" s="64" t="s">
        <v>432</v>
      </c>
      <c r="F663" s="58">
        <v>927.2</v>
      </c>
      <c r="G663" s="58">
        <v>953.52499999999998</v>
      </c>
      <c r="H663" s="56">
        <v>0</v>
      </c>
      <c r="I663" s="58">
        <f t="shared" si="81"/>
        <v>26.324999999999932</v>
      </c>
      <c r="J663" s="14">
        <f t="shared" si="82"/>
        <v>2.8391932700603895</v>
      </c>
      <c r="K663" s="56">
        <v>1.46</v>
      </c>
      <c r="L663" s="15">
        <f t="shared" si="76"/>
        <v>0</v>
      </c>
      <c r="M663" s="16">
        <f t="shared" si="83"/>
        <v>135.966442</v>
      </c>
      <c r="N663" s="17">
        <f t="shared" si="80"/>
        <v>1.46</v>
      </c>
      <c r="O663" s="17">
        <f t="shared" si="77"/>
        <v>1353.712</v>
      </c>
      <c r="P663" s="18">
        <f t="shared" si="78"/>
        <v>126068.0850224</v>
      </c>
      <c r="R663" s="66"/>
      <c r="S663" s="19"/>
      <c r="T663" s="20"/>
      <c r="U663" s="20"/>
      <c r="V663" s="20"/>
      <c r="W663" s="20"/>
      <c r="X663" s="20"/>
      <c r="Y663" s="20"/>
      <c r="Z663" s="20"/>
      <c r="AA663" s="20"/>
    </row>
    <row r="664" spans="1:27" ht="12.75">
      <c r="A664" s="10"/>
      <c r="B664" s="10">
        <v>45842</v>
      </c>
      <c r="C664" s="11">
        <f>VLOOKUP(B:B,'Курс валют'!A:D,4,0)</f>
        <v>93.127700000000004</v>
      </c>
      <c r="D664" s="57" t="s">
        <v>2229</v>
      </c>
      <c r="E664" s="64" t="s">
        <v>50</v>
      </c>
      <c r="F664" s="58">
        <v>800</v>
      </c>
      <c r="G664" s="58">
        <v>815.53</v>
      </c>
      <c r="H664" s="56">
        <v>0</v>
      </c>
      <c r="I664" s="58">
        <f t="shared" si="81"/>
        <v>15.529999999999973</v>
      </c>
      <c r="J664" s="14">
        <f t="shared" si="82"/>
        <v>1.9412499999999964</v>
      </c>
      <c r="K664" s="56">
        <v>1.95</v>
      </c>
      <c r="L664" s="15">
        <f t="shared" si="76"/>
        <v>0</v>
      </c>
      <c r="M664" s="16">
        <f t="shared" si="83"/>
        <v>181.59901500000001</v>
      </c>
      <c r="N664" s="17">
        <f t="shared" si="80"/>
        <v>1.95</v>
      </c>
      <c r="O664" s="17">
        <f t="shared" si="77"/>
        <v>1560</v>
      </c>
      <c r="P664" s="18">
        <f t="shared" si="78"/>
        <v>145279.212</v>
      </c>
      <c r="R664" s="66"/>
      <c r="S664" s="19"/>
      <c r="T664" s="20"/>
      <c r="U664" s="20"/>
      <c r="V664" s="20"/>
      <c r="W664" s="20"/>
      <c r="X664" s="20"/>
      <c r="Y664" s="20"/>
      <c r="Z664" s="20"/>
      <c r="AA664" s="20"/>
    </row>
    <row r="665" spans="1:27" ht="12.75">
      <c r="A665" s="10"/>
      <c r="B665" s="10">
        <v>45842</v>
      </c>
      <c r="C665" s="11">
        <f>VLOOKUP(B:B,'Курс валют'!A:D,4,0)</f>
        <v>93.127700000000004</v>
      </c>
      <c r="D665" s="57" t="s">
        <v>2230</v>
      </c>
      <c r="E665" s="64" t="s">
        <v>60</v>
      </c>
      <c r="F665" s="58">
        <v>2250</v>
      </c>
      <c r="G665" s="58">
        <v>2322</v>
      </c>
      <c r="H665" s="56">
        <v>917.85</v>
      </c>
      <c r="I665" s="58">
        <f t="shared" si="81"/>
        <v>72</v>
      </c>
      <c r="J665" s="14">
        <f t="shared" si="82"/>
        <v>3.2</v>
      </c>
      <c r="K665" s="56">
        <v>3.4</v>
      </c>
      <c r="L665" s="15">
        <f t="shared" si="76"/>
        <v>40.793333333333337</v>
      </c>
      <c r="M665" s="16">
        <f t="shared" si="83"/>
        <v>201.1449050165333</v>
      </c>
      <c r="N665" s="17">
        <f t="shared" si="80"/>
        <v>2.1598826666666664</v>
      </c>
      <c r="O665" s="17">
        <f t="shared" si="77"/>
        <v>4859.735999999999</v>
      </c>
      <c r="P665" s="18">
        <f t="shared" si="78"/>
        <v>452576.03628719994</v>
      </c>
      <c r="R665" s="66"/>
      <c r="S665" s="19"/>
      <c r="T665" s="20"/>
      <c r="U665" s="20"/>
      <c r="V665" s="20"/>
      <c r="W665" s="20"/>
      <c r="X665" s="20"/>
      <c r="Y665" s="20"/>
      <c r="Z665" s="20"/>
      <c r="AA665" s="20"/>
    </row>
    <row r="666" spans="1:27" ht="12.75">
      <c r="A666" s="10"/>
      <c r="B666" s="10">
        <v>45842</v>
      </c>
      <c r="C666" s="11">
        <f>VLOOKUP(B:B,'Курс валют'!A:D,4,0)</f>
        <v>93.127700000000004</v>
      </c>
      <c r="D666" s="57" t="s">
        <v>2231</v>
      </c>
      <c r="E666" s="64" t="s">
        <v>60</v>
      </c>
      <c r="F666" s="58">
        <v>2250</v>
      </c>
      <c r="G666" s="58">
        <v>2322.66</v>
      </c>
      <c r="H666" s="56">
        <v>917.85</v>
      </c>
      <c r="I666" s="58">
        <f t="shared" si="81"/>
        <v>72.659999999999854</v>
      </c>
      <c r="J666" s="14">
        <f t="shared" si="82"/>
        <v>3.2293333333333272</v>
      </c>
      <c r="K666" s="56">
        <v>3.4</v>
      </c>
      <c r="L666" s="15">
        <f t="shared" si="76"/>
        <v>40.793333333333337</v>
      </c>
      <c r="M666" s="16">
        <f t="shared" si="83"/>
        <v>201.1449050165333</v>
      </c>
      <c r="N666" s="17">
        <f t="shared" si="80"/>
        <v>2.1598826666666664</v>
      </c>
      <c r="O666" s="17">
        <f t="shared" si="77"/>
        <v>4859.735999999999</v>
      </c>
      <c r="P666" s="18">
        <f t="shared" si="78"/>
        <v>452576.03628719994</v>
      </c>
      <c r="R666" s="66"/>
      <c r="S666" s="19"/>
      <c r="T666" s="20"/>
      <c r="U666" s="20"/>
      <c r="V666" s="20"/>
      <c r="W666" s="20"/>
      <c r="X666" s="20"/>
      <c r="Y666" s="20"/>
      <c r="Z666" s="20"/>
      <c r="AA666" s="20"/>
    </row>
    <row r="667" spans="1:27" ht="12.75">
      <c r="A667" s="10"/>
      <c r="B667" s="10">
        <v>45843</v>
      </c>
      <c r="C667" s="11">
        <f>VLOOKUP(B:B,'Курс валют'!A:D,4,0)</f>
        <v>93.010300000000001</v>
      </c>
      <c r="D667" s="57" t="s">
        <v>2232</v>
      </c>
      <c r="E667" s="64" t="s">
        <v>58</v>
      </c>
      <c r="F667" s="58">
        <v>11000</v>
      </c>
      <c r="G667" s="58">
        <v>11322</v>
      </c>
      <c r="H667" s="56">
        <v>214.2</v>
      </c>
      <c r="I667" s="58">
        <f t="shared" si="81"/>
        <v>322</v>
      </c>
      <c r="J667" s="14">
        <f t="shared" si="82"/>
        <v>2.9272727272727272</v>
      </c>
      <c r="K667" s="56">
        <v>2.67</v>
      </c>
      <c r="L667" s="15">
        <f t="shared" si="76"/>
        <v>1.947272727272727</v>
      </c>
      <c r="M667" s="16">
        <f t="shared" si="83"/>
        <v>242.83156181541818</v>
      </c>
      <c r="N667" s="17">
        <f t="shared" si="80"/>
        <v>2.6108029090909088</v>
      </c>
      <c r="O667" s="17">
        <f t="shared" si="77"/>
        <v>28718.831999999999</v>
      </c>
      <c r="P667" s="18">
        <f t="shared" si="78"/>
        <v>2671147.1799695999</v>
      </c>
      <c r="R667" s="66"/>
      <c r="S667" s="19"/>
      <c r="T667" s="20"/>
      <c r="U667" s="20"/>
      <c r="V667" s="20"/>
      <c r="W667" s="20"/>
      <c r="X667" s="20"/>
      <c r="Y667" s="20"/>
      <c r="Z667" s="20"/>
      <c r="AA667" s="20"/>
    </row>
    <row r="668" spans="1:27" ht="12.75">
      <c r="A668" s="10"/>
      <c r="B668" s="10">
        <v>45843</v>
      </c>
      <c r="C668" s="11">
        <f>VLOOKUP(B:B,'Курс валют'!A:D,4,0)</f>
        <v>93.010300000000001</v>
      </c>
      <c r="D668" s="57" t="s">
        <v>2233</v>
      </c>
      <c r="E668" s="64" t="s">
        <v>60</v>
      </c>
      <c r="F668" s="58">
        <v>2250</v>
      </c>
      <c r="G668" s="58">
        <v>2349.29</v>
      </c>
      <c r="H668" s="56">
        <v>400.24</v>
      </c>
      <c r="I668" s="58">
        <f t="shared" si="81"/>
        <v>99.289999999999964</v>
      </c>
      <c r="J668" s="14">
        <f t="shared" si="82"/>
        <v>4.4128888888888866</v>
      </c>
      <c r="K668" s="56">
        <v>2.64</v>
      </c>
      <c r="L668" s="15">
        <f t="shared" si="76"/>
        <v>17.788444444444444</v>
      </c>
      <c r="M668" s="16">
        <f t="shared" si="83"/>
        <v>195.2501319489422</v>
      </c>
      <c r="N668" s="17">
        <f t="shared" si="80"/>
        <v>2.0992312888888884</v>
      </c>
      <c r="O668" s="17">
        <f t="shared" si="77"/>
        <v>4723.2703999999994</v>
      </c>
      <c r="P668" s="18">
        <f t="shared" si="78"/>
        <v>439312.79688511993</v>
      </c>
      <c r="R668" s="66"/>
      <c r="S668" s="19"/>
      <c r="T668" s="20"/>
      <c r="U668" s="20"/>
      <c r="V668" s="20"/>
      <c r="W668" s="20"/>
      <c r="X668" s="20"/>
      <c r="Y668" s="20"/>
      <c r="Z668" s="20"/>
      <c r="AA668" s="20"/>
    </row>
    <row r="669" spans="1:27" ht="12.75">
      <c r="A669" s="10"/>
      <c r="B669" s="10">
        <v>45844</v>
      </c>
      <c r="C669" s="11">
        <f>VLOOKUP(B:B,'Курс валют'!A:D,4,0)</f>
        <v>93.010300000000001</v>
      </c>
      <c r="D669" s="57" t="s">
        <v>2234</v>
      </c>
      <c r="E669" s="64" t="s">
        <v>58</v>
      </c>
      <c r="F669" s="58">
        <v>11000</v>
      </c>
      <c r="G669" s="58">
        <v>11322</v>
      </c>
      <c r="H669" s="56">
        <v>214.2</v>
      </c>
      <c r="I669" s="58">
        <f t="shared" si="81"/>
        <v>322</v>
      </c>
      <c r="J669" s="14">
        <f t="shared" si="82"/>
        <v>2.9272727272727272</v>
      </c>
      <c r="K669" s="56">
        <v>2.64</v>
      </c>
      <c r="L669" s="15">
        <f t="shared" si="76"/>
        <v>1.947272727272727</v>
      </c>
      <c r="M669" s="16">
        <f t="shared" si="83"/>
        <v>240.04125281541815</v>
      </c>
      <c r="N669" s="17">
        <f t="shared" si="80"/>
        <v>2.580802909090909</v>
      </c>
      <c r="O669" s="17">
        <f t="shared" si="77"/>
        <v>28388.831999999999</v>
      </c>
      <c r="P669" s="18">
        <f t="shared" si="78"/>
        <v>2640453.7809695997</v>
      </c>
      <c r="R669" s="66"/>
      <c r="S669" s="19"/>
      <c r="T669" s="20"/>
      <c r="U669" s="20"/>
      <c r="V669" s="20"/>
      <c r="W669" s="20"/>
      <c r="X669" s="20"/>
      <c r="Y669" s="20"/>
      <c r="Z669" s="20"/>
      <c r="AA669" s="20"/>
    </row>
    <row r="670" spans="1:27" ht="12.75">
      <c r="A670" s="54"/>
      <c r="B670" s="10">
        <v>45844</v>
      </c>
      <c r="C670" s="11">
        <f>VLOOKUP(B:B,'Курс валют'!A:D,4,0)</f>
        <v>93.010300000000001</v>
      </c>
      <c r="D670" s="57" t="s">
        <v>2235</v>
      </c>
      <c r="E670" s="64" t="s">
        <v>61</v>
      </c>
      <c r="F670" s="58">
        <v>1400</v>
      </c>
      <c r="G670" s="58">
        <v>1440.71</v>
      </c>
      <c r="H670" s="56">
        <v>0</v>
      </c>
      <c r="I670" s="58">
        <f t="shared" si="81"/>
        <v>40.710000000000036</v>
      </c>
      <c r="J670" s="14">
        <f t="shared" si="82"/>
        <v>2.9078571428571456</v>
      </c>
      <c r="K670" s="56">
        <v>2.74</v>
      </c>
      <c r="L670" s="15">
        <f t="shared" si="76"/>
        <v>0</v>
      </c>
      <c r="M670" s="16">
        <f t="shared" si="83"/>
        <v>254.84822200000002</v>
      </c>
      <c r="N670" s="17">
        <f t="shared" si="80"/>
        <v>2.74</v>
      </c>
      <c r="O670" s="17">
        <f t="shared" si="77"/>
        <v>3836.0000000000005</v>
      </c>
      <c r="P670" s="18">
        <f t="shared" si="78"/>
        <v>356787.51080000005</v>
      </c>
      <c r="R670" s="65"/>
      <c r="S670" s="19"/>
      <c r="T670" s="24"/>
      <c r="U670" s="24"/>
      <c r="V670" s="24"/>
      <c r="W670" s="24"/>
      <c r="X670" s="24"/>
      <c r="Y670" s="24"/>
      <c r="Z670" s="24"/>
      <c r="AA670" s="24"/>
    </row>
    <row r="671" spans="1:27" ht="12.75">
      <c r="A671" s="54"/>
      <c r="B671" s="10">
        <v>45845</v>
      </c>
      <c r="C671" s="11">
        <f>VLOOKUP(B:B,'Курс валют'!A:D,4,0)</f>
        <v>93.010300000000001</v>
      </c>
      <c r="D671" s="57" t="s">
        <v>2236</v>
      </c>
      <c r="E671" s="50" t="s">
        <v>58</v>
      </c>
      <c r="F671" s="58">
        <v>1100</v>
      </c>
      <c r="G671" s="58">
        <v>1132.2</v>
      </c>
      <c r="H671" s="56">
        <v>21.42</v>
      </c>
      <c r="I671" s="58">
        <f t="shared" si="81"/>
        <v>32.200000000000045</v>
      </c>
      <c r="J671" s="14">
        <f t="shared" si="82"/>
        <v>2.9272727272727317</v>
      </c>
      <c r="K671" s="56">
        <v>2.64</v>
      </c>
      <c r="L671" s="15">
        <f t="shared" si="76"/>
        <v>1.9472727272727273</v>
      </c>
      <c r="M671" s="16">
        <f t="shared" si="83"/>
        <v>240.0412528154182</v>
      </c>
      <c r="N671" s="17">
        <f t="shared" si="80"/>
        <v>2.5808029090909095</v>
      </c>
      <c r="O671" s="17">
        <f t="shared" si="77"/>
        <v>2838.8832000000002</v>
      </c>
      <c r="P671" s="18">
        <f t="shared" si="78"/>
        <v>264045.37809696002</v>
      </c>
      <c r="R671" s="65"/>
      <c r="S671" s="19"/>
      <c r="T671" s="20"/>
      <c r="U671" s="20"/>
      <c r="V671" s="20"/>
      <c r="W671" s="20"/>
      <c r="X671" s="20"/>
      <c r="Y671" s="20"/>
      <c r="Z671" s="20"/>
      <c r="AA671" s="20"/>
    </row>
    <row r="672" spans="1:27" ht="12.75">
      <c r="A672" s="54"/>
      <c r="B672" s="10">
        <v>45845</v>
      </c>
      <c r="C672" s="11">
        <f>VLOOKUP(B:B,'Курс валют'!A:D,4,0)</f>
        <v>93.010300000000001</v>
      </c>
      <c r="D672" s="57" t="s">
        <v>2237</v>
      </c>
      <c r="E672" s="50" t="s">
        <v>61</v>
      </c>
      <c r="F672" s="58">
        <v>1600</v>
      </c>
      <c r="G672" s="58">
        <v>1628.51</v>
      </c>
      <c r="H672" s="56">
        <v>0</v>
      </c>
      <c r="I672" s="58">
        <f t="shared" si="81"/>
        <v>28.509999999999991</v>
      </c>
      <c r="J672" s="14">
        <f t="shared" si="82"/>
        <v>1.7818749999999994</v>
      </c>
      <c r="K672" s="56">
        <v>2.5499999999999998</v>
      </c>
      <c r="L672" s="15">
        <f t="shared" si="76"/>
        <v>0</v>
      </c>
      <c r="M672" s="16">
        <f t="shared" si="83"/>
        <v>237.17626499999997</v>
      </c>
      <c r="N672" s="17">
        <f t="shared" si="80"/>
        <v>2.5499999999999998</v>
      </c>
      <c r="O672" s="17">
        <f t="shared" si="77"/>
        <v>4079.9999999999995</v>
      </c>
      <c r="P672" s="18">
        <f t="shared" si="78"/>
        <v>379482.02399999998</v>
      </c>
      <c r="R672" s="65"/>
      <c r="S672" s="19"/>
      <c r="T672" s="20"/>
      <c r="U672" s="20"/>
      <c r="V672" s="20"/>
      <c r="W672" s="20"/>
      <c r="X672" s="20"/>
      <c r="Y672" s="20"/>
      <c r="Z672" s="20"/>
      <c r="AA672" s="20"/>
    </row>
    <row r="673" spans="1:27" ht="12.75">
      <c r="A673" s="54"/>
      <c r="B673" s="10">
        <v>45846</v>
      </c>
      <c r="C673" s="11">
        <f>VLOOKUP(B:B,'Курс валют'!A:D,4,0)</f>
        <v>92.413799999999995</v>
      </c>
      <c r="D673" s="57" t="s">
        <v>2238</v>
      </c>
      <c r="E673" s="50" t="s">
        <v>2116</v>
      </c>
      <c r="F673" s="58">
        <v>6300</v>
      </c>
      <c r="G673" s="58">
        <v>6426</v>
      </c>
      <c r="H673" s="56">
        <v>0</v>
      </c>
      <c r="I673" s="58">
        <f t="shared" si="81"/>
        <v>126</v>
      </c>
      <c r="J673" s="14">
        <f t="shared" si="82"/>
        <v>2</v>
      </c>
      <c r="K673" s="56">
        <v>2.31</v>
      </c>
      <c r="L673" s="15">
        <f t="shared" si="76"/>
        <v>0</v>
      </c>
      <c r="M673" s="16">
        <f t="shared" si="83"/>
        <v>213.47587799999999</v>
      </c>
      <c r="N673" s="17">
        <f t="shared" si="80"/>
        <v>2.31</v>
      </c>
      <c r="O673" s="17">
        <f t="shared" si="77"/>
        <v>14553</v>
      </c>
      <c r="P673" s="18">
        <f t="shared" si="78"/>
        <v>1344898.0314</v>
      </c>
      <c r="R673" s="65"/>
      <c r="S673" s="19"/>
      <c r="T673" s="24"/>
      <c r="U673" s="24"/>
      <c r="V673" s="24"/>
      <c r="W673" s="24"/>
      <c r="X673" s="24"/>
      <c r="Y673" s="24"/>
      <c r="Z673" s="24"/>
      <c r="AA673" s="24"/>
    </row>
    <row r="674" spans="1:27" ht="12.75">
      <c r="A674" s="54"/>
      <c r="B674" s="10">
        <v>45847</v>
      </c>
      <c r="C674" s="11">
        <f>VLOOKUP(B:B,'Курс валют'!A:D,4,0)</f>
        <v>91.966700000000003</v>
      </c>
      <c r="D674" s="57" t="s">
        <v>2239</v>
      </c>
      <c r="E674" s="50" t="s">
        <v>104</v>
      </c>
      <c r="F674" s="58">
        <v>1920</v>
      </c>
      <c r="G674" s="58">
        <v>1963.7</v>
      </c>
      <c r="H674" s="56">
        <v>0</v>
      </c>
      <c r="I674" s="58">
        <f t="shared" si="81"/>
        <v>43.700000000000045</v>
      </c>
      <c r="J674" s="14">
        <f t="shared" si="82"/>
        <v>2.2760416666666687</v>
      </c>
      <c r="K674" s="56">
        <v>2.79</v>
      </c>
      <c r="L674" s="15">
        <f t="shared" si="76"/>
        <v>0</v>
      </c>
      <c r="M674" s="16">
        <f t="shared" si="83"/>
        <v>256.58709299999998</v>
      </c>
      <c r="N674" s="17">
        <f t="shared" si="80"/>
        <v>2.79</v>
      </c>
      <c r="O674" s="17">
        <f t="shared" si="77"/>
        <v>5356.8</v>
      </c>
      <c r="P674" s="18">
        <f t="shared" si="78"/>
        <v>492647.21856000001</v>
      </c>
      <c r="R674" s="65"/>
      <c r="S674" s="19"/>
      <c r="T674" s="24"/>
      <c r="U674" s="24"/>
      <c r="V674" s="24"/>
      <c r="W674" s="24"/>
      <c r="X674" s="24"/>
      <c r="Y674" s="24"/>
      <c r="Z674" s="24"/>
      <c r="AA674" s="24"/>
    </row>
    <row r="675" spans="1:27" ht="12.75">
      <c r="A675" s="54"/>
      <c r="B675" s="10">
        <v>45847</v>
      </c>
      <c r="C675" s="11">
        <f>VLOOKUP(B:B,'Курс валют'!A:D,4,0)</f>
        <v>91.966700000000003</v>
      </c>
      <c r="D675" s="57" t="s">
        <v>2240</v>
      </c>
      <c r="E675" s="50" t="s">
        <v>2241</v>
      </c>
      <c r="F675" s="58">
        <v>200</v>
      </c>
      <c r="G675" s="58">
        <v>209.17</v>
      </c>
      <c r="H675" s="56">
        <v>9.18</v>
      </c>
      <c r="I675" s="58">
        <f t="shared" si="81"/>
        <v>9.1699999999999875</v>
      </c>
      <c r="J675" s="14">
        <f t="shared" si="82"/>
        <v>4.5849999999999937</v>
      </c>
      <c r="K675" s="56">
        <v>2.64</v>
      </c>
      <c r="L675" s="15">
        <f t="shared" ref="L675:L746" si="84">H675/F675*100</f>
        <v>4.59</v>
      </c>
      <c r="M675" s="16">
        <f t="shared" si="83"/>
        <v>229.95942254880003</v>
      </c>
      <c r="N675" s="17">
        <f t="shared" si="80"/>
        <v>2.500464</v>
      </c>
      <c r="O675" s="17">
        <f t="shared" ref="O675:O746" si="85">N675*F675</f>
        <v>500.09280000000001</v>
      </c>
      <c r="P675" s="18">
        <f t="shared" ref="P675:P746" si="86">O675*C675</f>
        <v>45991.884509760006</v>
      </c>
      <c r="R675" s="66" t="s">
        <v>2066</v>
      </c>
      <c r="S675" s="19"/>
      <c r="T675" s="24"/>
      <c r="U675" s="24"/>
      <c r="V675" s="24"/>
      <c r="W675" s="24"/>
      <c r="X675" s="24"/>
      <c r="Y675" s="24"/>
      <c r="Z675" s="24"/>
      <c r="AA675" s="24"/>
    </row>
    <row r="676" spans="1:27" ht="12.75">
      <c r="A676" s="54"/>
      <c r="B676" s="10">
        <v>45847</v>
      </c>
      <c r="C676" s="11">
        <f>VLOOKUP(B:B,'Курс валют'!A:D,4,0)</f>
        <v>91.966700000000003</v>
      </c>
      <c r="D676" s="57" t="s">
        <v>2242</v>
      </c>
      <c r="E676" s="50" t="s">
        <v>58</v>
      </c>
      <c r="F676" s="58">
        <v>220</v>
      </c>
      <c r="G676" s="58">
        <v>224.61</v>
      </c>
      <c r="H676" s="56">
        <v>3.67</v>
      </c>
      <c r="I676" s="58">
        <f t="shared" si="81"/>
        <v>4.6100000000000136</v>
      </c>
      <c r="J676" s="14">
        <f t="shared" si="82"/>
        <v>2.0954545454545519</v>
      </c>
      <c r="K676" s="56">
        <v>2.65</v>
      </c>
      <c r="L676" s="15">
        <f t="shared" si="84"/>
        <v>1.6681818181818182</v>
      </c>
      <c r="M676" s="16">
        <f t="shared" si="83"/>
        <v>239.04787282472731</v>
      </c>
      <c r="N676" s="17">
        <f t="shared" si="80"/>
        <v>2.5992872727272727</v>
      </c>
      <c r="O676" s="17">
        <f t="shared" si="85"/>
        <v>571.84320000000002</v>
      </c>
      <c r="P676" s="18">
        <f t="shared" si="86"/>
        <v>52590.532021440005</v>
      </c>
      <c r="R676" s="65" t="s">
        <v>2243</v>
      </c>
      <c r="S676" s="19"/>
      <c r="T676" s="20"/>
      <c r="U676" s="20"/>
      <c r="V676" s="20"/>
      <c r="W676" s="20"/>
      <c r="X676" s="20"/>
      <c r="Y676" s="20"/>
      <c r="Z676" s="20"/>
      <c r="AA676" s="20"/>
    </row>
    <row r="677" spans="1:27" ht="12.75">
      <c r="A677" s="54"/>
      <c r="B677" s="10">
        <v>45847</v>
      </c>
      <c r="C677" s="11">
        <f>VLOOKUP(B:B,'Курс валют'!A:D,4,0)</f>
        <v>91.966700000000003</v>
      </c>
      <c r="D677" s="57" t="s">
        <v>2244</v>
      </c>
      <c r="E677" s="64" t="s">
        <v>2245</v>
      </c>
      <c r="F677" s="58">
        <v>200</v>
      </c>
      <c r="G677" s="58">
        <v>205.12</v>
      </c>
      <c r="H677" s="56">
        <v>3.67</v>
      </c>
      <c r="I677" s="58">
        <f t="shared" si="81"/>
        <v>5.1200000000000045</v>
      </c>
      <c r="J677" s="14">
        <f t="shared" si="82"/>
        <v>2.5600000000000023</v>
      </c>
      <c r="K677" s="56">
        <v>2.71</v>
      </c>
      <c r="L677" s="15">
        <f t="shared" si="84"/>
        <v>1.8349999999999997</v>
      </c>
      <c r="M677" s="16">
        <f t="shared" si="83"/>
        <v>244.09948660720002</v>
      </c>
      <c r="N677" s="17">
        <f t="shared" si="80"/>
        <v>2.6542159999999999</v>
      </c>
      <c r="O677" s="17">
        <f t="shared" si="85"/>
        <v>530.84320000000002</v>
      </c>
      <c r="P677" s="18">
        <f t="shared" si="86"/>
        <v>48819.897321440003</v>
      </c>
      <c r="R677" s="66"/>
      <c r="S677" s="19"/>
      <c r="T677" s="20"/>
      <c r="U677" s="20"/>
      <c r="V677" s="20"/>
      <c r="W677" s="20"/>
      <c r="X677" s="20"/>
      <c r="Y677" s="20"/>
      <c r="Z677" s="20"/>
      <c r="AA677" s="20"/>
    </row>
    <row r="678" spans="1:27" ht="12.75">
      <c r="A678" s="54"/>
      <c r="B678" s="10">
        <v>45847</v>
      </c>
      <c r="C678" s="11">
        <f>VLOOKUP(B:B,'Курс валют'!A:D,4,0)</f>
        <v>91.966700000000003</v>
      </c>
      <c r="D678" s="57" t="s">
        <v>2246</v>
      </c>
      <c r="E678" s="50" t="s">
        <v>54</v>
      </c>
      <c r="F678" s="58">
        <v>1600</v>
      </c>
      <c r="G678" s="58">
        <v>1634.24</v>
      </c>
      <c r="H678" s="56">
        <v>0</v>
      </c>
      <c r="I678" s="58">
        <f t="shared" si="81"/>
        <v>34.240000000000009</v>
      </c>
      <c r="J678" s="14">
        <f t="shared" si="82"/>
        <v>2.1400000000000006</v>
      </c>
      <c r="K678" s="56">
        <v>2.59</v>
      </c>
      <c r="L678" s="15">
        <f t="shared" si="84"/>
        <v>0</v>
      </c>
      <c r="M678" s="16">
        <f t="shared" si="83"/>
        <v>238.19375299999999</v>
      </c>
      <c r="N678" s="17">
        <f t="shared" si="80"/>
        <v>2.59</v>
      </c>
      <c r="O678" s="17">
        <f t="shared" si="85"/>
        <v>4144</v>
      </c>
      <c r="P678" s="18">
        <f t="shared" si="86"/>
        <v>381110.0048</v>
      </c>
      <c r="R678" s="66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5" customHeight="1">
      <c r="A679" s="54"/>
      <c r="B679" s="10">
        <v>45848</v>
      </c>
      <c r="C679" s="11">
        <f>VLOOKUP(B:B,'Курс валют'!A:D,4,0)</f>
        <v>91.417500000000004</v>
      </c>
      <c r="D679" s="57" t="s">
        <v>2247</v>
      </c>
      <c r="E679" s="50" t="s">
        <v>104</v>
      </c>
      <c r="F679" s="58">
        <v>1920</v>
      </c>
      <c r="G679" s="58">
        <v>1963.7</v>
      </c>
      <c r="H679" s="56">
        <v>0</v>
      </c>
      <c r="I679" s="58">
        <f t="shared" si="81"/>
        <v>43.700000000000045</v>
      </c>
      <c r="J679" s="14">
        <f t="shared" si="82"/>
        <v>2.2760416666666687</v>
      </c>
      <c r="K679" s="56">
        <v>2.79</v>
      </c>
      <c r="L679" s="15">
        <f t="shared" si="84"/>
        <v>0</v>
      </c>
      <c r="M679" s="16">
        <f t="shared" si="83"/>
        <v>255.05482500000002</v>
      </c>
      <c r="N679" s="17">
        <f t="shared" si="80"/>
        <v>2.79</v>
      </c>
      <c r="O679" s="17">
        <f t="shared" si="85"/>
        <v>5356.8</v>
      </c>
      <c r="P679" s="18">
        <f t="shared" si="86"/>
        <v>489705.26400000002</v>
      </c>
      <c r="R679" s="66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>
      <c r="A680" s="54"/>
      <c r="B680" s="10">
        <v>45848</v>
      </c>
      <c r="C680" s="11">
        <f>VLOOKUP(B:B,'Курс валют'!A:D,4,0)</f>
        <v>91.417500000000004</v>
      </c>
      <c r="D680" s="57" t="s">
        <v>2248</v>
      </c>
      <c r="E680" s="50" t="s">
        <v>54</v>
      </c>
      <c r="F680" s="58">
        <v>4000</v>
      </c>
      <c r="G680" s="58">
        <v>4085.8</v>
      </c>
      <c r="H680" s="56">
        <v>0</v>
      </c>
      <c r="I680" s="58">
        <f t="shared" si="81"/>
        <v>85.800000000000182</v>
      </c>
      <c r="J680" s="14">
        <f t="shared" si="82"/>
        <v>2.1450000000000045</v>
      </c>
      <c r="K680" s="56">
        <v>2.6</v>
      </c>
      <c r="L680" s="15">
        <f t="shared" si="84"/>
        <v>0</v>
      </c>
      <c r="M680" s="16">
        <f t="shared" si="83"/>
        <v>237.68549999999999</v>
      </c>
      <c r="N680" s="17">
        <f t="shared" si="80"/>
        <v>2.6</v>
      </c>
      <c r="O680" s="17">
        <f t="shared" si="85"/>
        <v>10400</v>
      </c>
      <c r="P680" s="18">
        <f t="shared" si="86"/>
        <v>950742</v>
      </c>
      <c r="R680" s="66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>
      <c r="A681" s="54"/>
      <c r="B681" s="10">
        <v>45849</v>
      </c>
      <c r="C681" s="11">
        <f>VLOOKUP(B:B,'Курс валют'!A:D,4,0)</f>
        <v>91.499200000000002</v>
      </c>
      <c r="D681" s="57" t="s">
        <v>2249</v>
      </c>
      <c r="E681" s="50" t="s">
        <v>54</v>
      </c>
      <c r="F681" s="58">
        <v>4000</v>
      </c>
      <c r="G681" s="58">
        <v>4085.8</v>
      </c>
      <c r="H681" s="56">
        <v>0</v>
      </c>
      <c r="I681" s="58">
        <f t="shared" si="81"/>
        <v>85.800000000000182</v>
      </c>
      <c r="J681" s="14">
        <f t="shared" si="82"/>
        <v>2.1450000000000045</v>
      </c>
      <c r="K681" s="56">
        <v>2.59</v>
      </c>
      <c r="L681" s="15">
        <f t="shared" si="84"/>
        <v>0</v>
      </c>
      <c r="M681" s="16">
        <f t="shared" si="83"/>
        <v>236.98292800000002</v>
      </c>
      <c r="N681" s="17">
        <f t="shared" si="80"/>
        <v>2.59</v>
      </c>
      <c r="O681" s="17">
        <f t="shared" si="85"/>
        <v>10360</v>
      </c>
      <c r="P681" s="18">
        <f t="shared" si="86"/>
        <v>947931.71200000006</v>
      </c>
      <c r="R681" s="66"/>
      <c r="S681" s="48"/>
      <c r="T681" s="20"/>
      <c r="U681" s="20"/>
      <c r="V681" s="20"/>
      <c r="W681" s="20"/>
      <c r="X681" s="20"/>
      <c r="Y681" s="20"/>
      <c r="Z681" s="20"/>
      <c r="AA681" s="20"/>
    </row>
    <row r="682" spans="1:27" ht="12.75">
      <c r="A682" s="54"/>
      <c r="B682" s="10">
        <v>45849</v>
      </c>
      <c r="C682" s="11">
        <f>VLOOKUP(B:B,'Курс валют'!A:D,4,0)</f>
        <v>91.499200000000002</v>
      </c>
      <c r="D682" s="57" t="s">
        <v>2250</v>
      </c>
      <c r="E682" s="64" t="s">
        <v>125</v>
      </c>
      <c r="F682" s="63">
        <v>2200</v>
      </c>
      <c r="G682" s="63">
        <v>2251.56</v>
      </c>
      <c r="H682" s="49">
        <v>0</v>
      </c>
      <c r="I682" s="58">
        <f t="shared" si="81"/>
        <v>51.559999999999945</v>
      </c>
      <c r="J682" s="14">
        <f t="shared" si="82"/>
        <v>2.3436363636363611</v>
      </c>
      <c r="K682" s="49">
        <v>1.97</v>
      </c>
      <c r="L682" s="15">
        <f t="shared" si="84"/>
        <v>0</v>
      </c>
      <c r="M682" s="16">
        <f t="shared" si="83"/>
        <v>180.253424</v>
      </c>
      <c r="N682" s="17">
        <f t="shared" si="80"/>
        <v>1.97</v>
      </c>
      <c r="O682" s="17">
        <f t="shared" si="85"/>
        <v>4334</v>
      </c>
      <c r="P682" s="18">
        <f t="shared" si="86"/>
        <v>396557.53279999999</v>
      </c>
      <c r="R682" s="66"/>
      <c r="S682" s="48"/>
      <c r="T682" s="20"/>
      <c r="U682" s="20"/>
      <c r="V682" s="20"/>
      <c r="W682" s="20"/>
      <c r="X682" s="20"/>
      <c r="Y682" s="20"/>
      <c r="Z682" s="20"/>
      <c r="AA682" s="20"/>
    </row>
    <row r="683" spans="1:27" ht="12.75">
      <c r="A683" s="54"/>
      <c r="B683" s="10">
        <v>45849</v>
      </c>
      <c r="C683" s="11">
        <f>VLOOKUP(B:B,'Курс валют'!A:D,4,0)</f>
        <v>91.499200000000002</v>
      </c>
      <c r="D683" s="57" t="s">
        <v>2251</v>
      </c>
      <c r="E683" s="64" t="s">
        <v>104</v>
      </c>
      <c r="F683" s="58">
        <v>1920</v>
      </c>
      <c r="G683" s="58">
        <v>1963.7</v>
      </c>
      <c r="H683" s="56">
        <v>0</v>
      </c>
      <c r="I683" s="58">
        <f t="shared" si="81"/>
        <v>43.700000000000045</v>
      </c>
      <c r="J683" s="14">
        <f t="shared" si="82"/>
        <v>2.2760416666666687</v>
      </c>
      <c r="K683" s="56">
        <v>2.76</v>
      </c>
      <c r="L683" s="15">
        <f t="shared" si="84"/>
        <v>0</v>
      </c>
      <c r="M683" s="16">
        <f t="shared" si="83"/>
        <v>252.537792</v>
      </c>
      <c r="N683" s="17">
        <f t="shared" si="80"/>
        <v>2.76</v>
      </c>
      <c r="O683" s="17">
        <f t="shared" si="85"/>
        <v>5299.2</v>
      </c>
      <c r="P683" s="18">
        <f t="shared" si="86"/>
        <v>484872.56063999998</v>
      </c>
      <c r="R683" s="66"/>
      <c r="S683" s="48"/>
      <c r="T683" s="20"/>
      <c r="U683" s="20"/>
      <c r="V683" s="20"/>
      <c r="W683" s="20"/>
      <c r="X683" s="20"/>
      <c r="Y683" s="20"/>
      <c r="Z683" s="20"/>
      <c r="AA683" s="20"/>
    </row>
    <row r="684" spans="1:27" ht="12.75">
      <c r="A684" s="54"/>
      <c r="B684" s="10">
        <v>45850</v>
      </c>
      <c r="C684" s="11">
        <f>VLOOKUP(B:B,'Курс валют'!A:D,4,0)</f>
        <v>91.120099999999994</v>
      </c>
      <c r="D684" s="57" t="s">
        <v>2252</v>
      </c>
      <c r="E684" s="64" t="s">
        <v>57</v>
      </c>
      <c r="F684" s="58">
        <v>2200</v>
      </c>
      <c r="G684" s="58">
        <v>2278</v>
      </c>
      <c r="H684" s="56">
        <v>0</v>
      </c>
      <c r="I684" s="58">
        <f t="shared" si="81"/>
        <v>78</v>
      </c>
      <c r="J684" s="14">
        <f t="shared" si="82"/>
        <v>3.5454545454545454</v>
      </c>
      <c r="K684" s="56">
        <v>2.5099999999999998</v>
      </c>
      <c r="L684" s="15">
        <f t="shared" si="84"/>
        <v>0</v>
      </c>
      <c r="M684" s="16">
        <f t="shared" si="83"/>
        <v>228.71145099999995</v>
      </c>
      <c r="N684" s="17">
        <f t="shared" si="80"/>
        <v>2.5099999999999998</v>
      </c>
      <c r="O684" s="17">
        <f t="shared" si="85"/>
        <v>5521.9999999999991</v>
      </c>
      <c r="P684" s="18">
        <f t="shared" si="86"/>
        <v>503165.19219999987</v>
      </c>
      <c r="R684" s="66"/>
      <c r="S684" s="48"/>
      <c r="T684" s="20"/>
      <c r="U684" s="20"/>
      <c r="V684" s="20"/>
      <c r="W684" s="20"/>
      <c r="X684" s="20"/>
      <c r="Y684" s="20"/>
      <c r="Z684" s="20"/>
      <c r="AA684" s="20"/>
    </row>
    <row r="685" spans="1:27" ht="12.75">
      <c r="A685" s="54"/>
      <c r="B685" s="10">
        <v>45850</v>
      </c>
      <c r="C685" s="11">
        <f>VLOOKUP(B:B,'Курс валют'!A:D,4,0)</f>
        <v>91.120099999999994</v>
      </c>
      <c r="D685" s="57" t="s">
        <v>2253</v>
      </c>
      <c r="E685" s="64" t="s">
        <v>125</v>
      </c>
      <c r="F685" s="58">
        <v>2200</v>
      </c>
      <c r="G685" s="57">
        <v>2251.36</v>
      </c>
      <c r="H685" s="56">
        <v>0</v>
      </c>
      <c r="I685" s="58">
        <f t="shared" si="81"/>
        <v>51.360000000000127</v>
      </c>
      <c r="J685" s="14">
        <f t="shared" si="82"/>
        <v>2.3345454545454603</v>
      </c>
      <c r="K685" s="56">
        <v>2</v>
      </c>
      <c r="L685" s="15">
        <f t="shared" si="84"/>
        <v>0</v>
      </c>
      <c r="M685" s="16">
        <f t="shared" si="83"/>
        <v>182.24019999999999</v>
      </c>
      <c r="N685" s="17">
        <f t="shared" si="80"/>
        <v>2</v>
      </c>
      <c r="O685" s="17">
        <f t="shared" si="85"/>
        <v>4400</v>
      </c>
      <c r="P685" s="18">
        <f t="shared" si="86"/>
        <v>400928.43999999994</v>
      </c>
      <c r="R685" s="66"/>
      <c r="S685" s="48"/>
      <c r="T685" s="20"/>
      <c r="U685" s="20"/>
      <c r="V685" s="20"/>
      <c r="W685" s="20"/>
      <c r="X685" s="20"/>
      <c r="Y685" s="20"/>
      <c r="Z685" s="20"/>
      <c r="AA685" s="20"/>
    </row>
    <row r="686" spans="1:27" ht="12.75">
      <c r="A686" s="54"/>
      <c r="B686" s="10">
        <v>45850</v>
      </c>
      <c r="C686" s="11">
        <f>VLOOKUP(B:B,'Курс валют'!A:D,4,0)</f>
        <v>91.120099999999994</v>
      </c>
      <c r="D686" s="57" t="s">
        <v>2254</v>
      </c>
      <c r="E686" s="50" t="s">
        <v>2209</v>
      </c>
      <c r="F686" s="58">
        <v>8000</v>
      </c>
      <c r="G686" s="57">
        <v>8160</v>
      </c>
      <c r="H686" s="56">
        <v>775.2</v>
      </c>
      <c r="I686" s="58">
        <f t="shared" si="81"/>
        <v>160</v>
      </c>
      <c r="J686" s="14">
        <f t="shared" si="82"/>
        <v>2</v>
      </c>
      <c r="K686" s="56">
        <v>2.21</v>
      </c>
      <c r="L686" s="15">
        <f t="shared" si="84"/>
        <v>9.69</v>
      </c>
      <c r="M686" s="16">
        <f t="shared" si="83"/>
        <v>174.53362642239998</v>
      </c>
      <c r="N686" s="17">
        <f t="shared" si="80"/>
        <v>1.915424</v>
      </c>
      <c r="O686" s="17">
        <f t="shared" si="85"/>
        <v>15323.392</v>
      </c>
      <c r="P686" s="18">
        <f t="shared" si="86"/>
        <v>1396269.0113791998</v>
      </c>
      <c r="R686" s="65"/>
      <c r="S686" s="48"/>
      <c r="T686" s="20"/>
      <c r="U686" s="20"/>
      <c r="V686" s="20"/>
      <c r="W686" s="20"/>
      <c r="X686" s="20"/>
      <c r="Y686" s="20"/>
      <c r="Z686" s="20"/>
      <c r="AA686" s="20"/>
    </row>
    <row r="687" spans="1:27" ht="12.75">
      <c r="A687" s="54"/>
      <c r="B687" s="10">
        <v>45851</v>
      </c>
      <c r="C687" s="11">
        <f>VLOOKUP(B:B,'Курс валют'!A:D,4,0)</f>
        <v>91.120099999999994</v>
      </c>
      <c r="D687" s="57" t="s">
        <v>2255</v>
      </c>
      <c r="E687" s="50" t="s">
        <v>57</v>
      </c>
      <c r="F687" s="58">
        <v>2200</v>
      </c>
      <c r="G687" s="57">
        <v>2250.6</v>
      </c>
      <c r="H687" s="56">
        <v>973.88</v>
      </c>
      <c r="I687" s="58">
        <f t="shared" si="81"/>
        <v>50.599999999999909</v>
      </c>
      <c r="J687" s="14">
        <f t="shared" si="82"/>
        <v>2.2999999999999958</v>
      </c>
      <c r="K687" s="56">
        <v>4.09</v>
      </c>
      <c r="L687" s="15">
        <f t="shared" si="84"/>
        <v>44.267272727272726</v>
      </c>
      <c r="M687" s="16">
        <f t="shared" si="83"/>
        <v>250.05860414385452</v>
      </c>
      <c r="N687" s="17">
        <f t="shared" si="80"/>
        <v>2.7442749090909091</v>
      </c>
      <c r="O687" s="17">
        <f t="shared" si="85"/>
        <v>6037.4048000000003</v>
      </c>
      <c r="P687" s="18">
        <f t="shared" si="86"/>
        <v>550128.92911647994</v>
      </c>
      <c r="R687" s="65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>
      <c r="A688" s="54"/>
      <c r="B688" s="10">
        <v>45851</v>
      </c>
      <c r="C688" s="11">
        <f>VLOOKUP(B:B,'Курс валют'!A:D,4,0)</f>
        <v>91.120099999999994</v>
      </c>
      <c r="D688" s="57" t="s">
        <v>2256</v>
      </c>
      <c r="E688" s="50" t="s">
        <v>50</v>
      </c>
      <c r="F688" s="58">
        <v>8000</v>
      </c>
      <c r="G688" s="57">
        <v>8150.28</v>
      </c>
      <c r="H688" s="56">
        <v>0</v>
      </c>
      <c r="I688" s="58">
        <f t="shared" si="81"/>
        <v>150.27999999999975</v>
      </c>
      <c r="J688" s="14">
        <f t="shared" si="82"/>
        <v>1.8784999999999967</v>
      </c>
      <c r="K688" s="56">
        <v>1.88</v>
      </c>
      <c r="L688" s="15">
        <f t="shared" si="84"/>
        <v>0</v>
      </c>
      <c r="M688" s="16">
        <f t="shared" si="83"/>
        <v>171.30578800000001</v>
      </c>
      <c r="N688" s="17">
        <f t="shared" si="80"/>
        <v>1.88</v>
      </c>
      <c r="O688" s="17">
        <f t="shared" si="85"/>
        <v>15040</v>
      </c>
      <c r="P688" s="18">
        <f t="shared" si="86"/>
        <v>1370446.304</v>
      </c>
      <c r="R688" s="65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>
      <c r="A689" s="54"/>
      <c r="B689" s="10">
        <v>45852</v>
      </c>
      <c r="C689" s="11">
        <f>VLOOKUP(B:B,'Курс валют'!A:D,4,0)</f>
        <v>91.120099999999994</v>
      </c>
      <c r="D689" s="57" t="s">
        <v>2257</v>
      </c>
      <c r="E689" s="50" t="s">
        <v>50</v>
      </c>
      <c r="F689" s="58">
        <v>8000</v>
      </c>
      <c r="G689" s="57">
        <v>8120.3</v>
      </c>
      <c r="H689" s="56">
        <v>0</v>
      </c>
      <c r="I689" s="58">
        <f t="shared" si="81"/>
        <v>120.30000000000018</v>
      </c>
      <c r="J689" s="14">
        <f t="shared" si="82"/>
        <v>1.5037500000000024</v>
      </c>
      <c r="K689" s="56">
        <v>1.84</v>
      </c>
      <c r="L689" s="15">
        <f t="shared" si="84"/>
        <v>0</v>
      </c>
      <c r="M689" s="16">
        <f t="shared" si="83"/>
        <v>167.66098399999998</v>
      </c>
      <c r="N689" s="17">
        <f t="shared" si="80"/>
        <v>1.84</v>
      </c>
      <c r="O689" s="17">
        <f t="shared" si="85"/>
        <v>14720</v>
      </c>
      <c r="P689" s="18">
        <f t="shared" si="86"/>
        <v>1341287.872</v>
      </c>
      <c r="R689" s="65"/>
      <c r="S689" s="19"/>
      <c r="T689" s="20"/>
      <c r="U689" s="20"/>
      <c r="V689" s="20"/>
      <c r="W689" s="20"/>
      <c r="X689" s="20"/>
      <c r="Y689" s="20"/>
      <c r="Z689" s="20"/>
      <c r="AA689" s="20"/>
    </row>
    <row r="690" spans="1:27" ht="12.75">
      <c r="A690" s="54"/>
      <c r="B690" s="10">
        <v>45852</v>
      </c>
      <c r="C690" s="11">
        <f>VLOOKUP(B:B,'Курс валют'!A:D,4,0)</f>
        <v>91.120099999999994</v>
      </c>
      <c r="D690" s="57" t="s">
        <v>2258</v>
      </c>
      <c r="E690" s="50" t="s">
        <v>57</v>
      </c>
      <c r="F690" s="58">
        <v>2000</v>
      </c>
      <c r="G690" s="57">
        <v>2037.73</v>
      </c>
      <c r="H690" s="56">
        <v>954.1</v>
      </c>
      <c r="I690" s="58">
        <f t="shared" si="81"/>
        <v>37.730000000000018</v>
      </c>
      <c r="J690" s="14">
        <f t="shared" si="82"/>
        <v>1.886500000000001</v>
      </c>
      <c r="K690" s="56">
        <v>4.21</v>
      </c>
      <c r="L690" s="15">
        <f t="shared" si="84"/>
        <v>47.705000000000005</v>
      </c>
      <c r="M690" s="16">
        <f t="shared" si="83"/>
        <v>251.47033613679997</v>
      </c>
      <c r="N690" s="17">
        <f t="shared" si="80"/>
        <v>2.7597680000000002</v>
      </c>
      <c r="O690" s="17">
        <f t="shared" si="85"/>
        <v>5519.5360000000001</v>
      </c>
      <c r="P690" s="18">
        <f t="shared" si="86"/>
        <v>502940.67227359995</v>
      </c>
      <c r="R690" s="66"/>
      <c r="S690" s="19"/>
      <c r="T690" s="20"/>
      <c r="U690" s="20"/>
      <c r="V690" s="20"/>
      <c r="W690" s="20"/>
      <c r="X690" s="20"/>
      <c r="Y690" s="20"/>
      <c r="Z690" s="20"/>
      <c r="AA690" s="20"/>
    </row>
    <row r="691" spans="1:27" ht="12.75">
      <c r="A691" s="54"/>
      <c r="B691" s="10">
        <v>45852</v>
      </c>
      <c r="C691" s="11">
        <f>VLOOKUP(B:B,'Курс валют'!A:D,4,0)</f>
        <v>91.120099999999994</v>
      </c>
      <c r="D691" s="57" t="s">
        <v>2259</v>
      </c>
      <c r="E691" s="50" t="s">
        <v>125</v>
      </c>
      <c r="F691" s="58">
        <v>2200</v>
      </c>
      <c r="G691" s="57">
        <v>2228.64</v>
      </c>
      <c r="H691" s="56">
        <v>0</v>
      </c>
      <c r="I691" s="58">
        <f t="shared" si="81"/>
        <v>28.639999999999873</v>
      </c>
      <c r="J691" s="14">
        <f t="shared" si="82"/>
        <v>1.301818181818176</v>
      </c>
      <c r="K691" s="56">
        <v>1.95</v>
      </c>
      <c r="L691" s="15">
        <f t="shared" si="84"/>
        <v>0</v>
      </c>
      <c r="M691" s="16">
        <f t="shared" si="83"/>
        <v>177.68419499999999</v>
      </c>
      <c r="N691" s="17">
        <f t="shared" si="80"/>
        <v>1.95</v>
      </c>
      <c r="O691" s="17">
        <f t="shared" si="85"/>
        <v>4290</v>
      </c>
      <c r="P691" s="18">
        <f t="shared" si="86"/>
        <v>390905.22899999999</v>
      </c>
      <c r="R691" s="66"/>
      <c r="S691" s="19"/>
      <c r="T691" s="20"/>
      <c r="U691" s="20"/>
      <c r="V691" s="20"/>
      <c r="W691" s="20"/>
      <c r="X691" s="20"/>
      <c r="Y691" s="20"/>
      <c r="Z691" s="20"/>
      <c r="AA691" s="20"/>
    </row>
    <row r="692" spans="1:27" ht="12.75">
      <c r="A692" s="54"/>
      <c r="B692" s="10">
        <v>45853</v>
      </c>
      <c r="C692" s="11">
        <f>VLOOKUP(B:B,'Курс валют'!A:D,4,0)</f>
        <v>91.773799999999994</v>
      </c>
      <c r="D692" s="57" t="s">
        <v>2260</v>
      </c>
      <c r="E692" s="50" t="s">
        <v>2209</v>
      </c>
      <c r="F692" s="58">
        <v>8000</v>
      </c>
      <c r="G692" s="57">
        <v>8158.2</v>
      </c>
      <c r="H692" s="56">
        <v>775</v>
      </c>
      <c r="I692" s="58">
        <f t="shared" si="81"/>
        <v>158.19999999999982</v>
      </c>
      <c r="J692" s="14">
        <f t="shared" si="82"/>
        <v>1.9774999999999976</v>
      </c>
      <c r="K692" s="56">
        <v>1.93</v>
      </c>
      <c r="L692" s="15">
        <f t="shared" si="84"/>
        <v>9.6875</v>
      </c>
      <c r="M692" s="16">
        <f t="shared" si="83"/>
        <v>150.0960499</v>
      </c>
      <c r="N692" s="17">
        <f t="shared" si="80"/>
        <v>1.6355</v>
      </c>
      <c r="O692" s="17">
        <f t="shared" si="85"/>
        <v>13084</v>
      </c>
      <c r="P692" s="18">
        <f t="shared" si="86"/>
        <v>1200768.3991999999</v>
      </c>
      <c r="R692" s="66"/>
      <c r="S692" s="19"/>
      <c r="T692" s="20"/>
      <c r="U692" s="20"/>
      <c r="V692" s="20"/>
      <c r="W692" s="20"/>
      <c r="X692" s="20"/>
      <c r="Y692" s="20"/>
      <c r="Z692" s="20"/>
      <c r="AA692" s="20"/>
    </row>
    <row r="693" spans="1:27" ht="12.75">
      <c r="A693" s="54"/>
      <c r="B693" s="10">
        <v>45853</v>
      </c>
      <c r="C693" s="11">
        <f>VLOOKUP(B:B,'Курс валют'!A:D,4,0)</f>
        <v>91.773799999999994</v>
      </c>
      <c r="D693" s="57" t="s">
        <v>2261</v>
      </c>
      <c r="E693" s="50" t="s">
        <v>2262</v>
      </c>
      <c r="F693" s="58">
        <v>60</v>
      </c>
      <c r="G693" s="52">
        <v>64.7</v>
      </c>
      <c r="H693" s="56">
        <v>0</v>
      </c>
      <c r="I693" s="13">
        <f t="shared" si="81"/>
        <v>4.7000000000000028</v>
      </c>
      <c r="J693" s="14">
        <f t="shared" si="82"/>
        <v>7.8333333333333384</v>
      </c>
      <c r="K693" s="56">
        <v>2.99</v>
      </c>
      <c r="L693" s="15">
        <f t="shared" si="84"/>
        <v>0</v>
      </c>
      <c r="M693" s="16">
        <f t="shared" si="83"/>
        <v>274.403662</v>
      </c>
      <c r="N693" s="17">
        <f t="shared" si="80"/>
        <v>2.99</v>
      </c>
      <c r="O693" s="17">
        <f t="shared" si="85"/>
        <v>179.4</v>
      </c>
      <c r="P693" s="18">
        <f t="shared" si="86"/>
        <v>16464.219720000001</v>
      </c>
      <c r="R693" s="65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>
      <c r="A694" s="54"/>
      <c r="B694" s="10">
        <v>45853</v>
      </c>
      <c r="C694" s="11">
        <f>VLOOKUP(B:B,'Курс валют'!A:D,4,0)</f>
        <v>91.773799999999994</v>
      </c>
      <c r="D694" s="57" t="s">
        <v>2263</v>
      </c>
      <c r="E694" s="50" t="s">
        <v>57</v>
      </c>
      <c r="F694" s="58">
        <v>2000</v>
      </c>
      <c r="G694" s="57">
        <v>2037.73</v>
      </c>
      <c r="H694" s="56">
        <v>954.1</v>
      </c>
      <c r="I694" s="58">
        <f t="shared" si="81"/>
        <v>37.730000000000018</v>
      </c>
      <c r="J694" s="14">
        <f t="shared" si="82"/>
        <v>1.886500000000001</v>
      </c>
      <c r="K694" s="56">
        <v>4.2699999999999996</v>
      </c>
      <c r="L694" s="15">
        <f t="shared" si="84"/>
        <v>47.705000000000005</v>
      </c>
      <c r="M694" s="16">
        <f t="shared" si="83"/>
        <v>258.78082447840001</v>
      </c>
      <c r="N694" s="17">
        <f t="shared" si="80"/>
        <v>2.8197679999999998</v>
      </c>
      <c r="O694" s="17">
        <f t="shared" si="85"/>
        <v>5639.5360000000001</v>
      </c>
      <c r="P694" s="18">
        <f t="shared" si="86"/>
        <v>517561.6489568</v>
      </c>
      <c r="R694" s="66"/>
      <c r="S694" s="19"/>
      <c r="T694" s="20"/>
      <c r="U694" s="20"/>
      <c r="V694" s="20"/>
      <c r="W694" s="20"/>
      <c r="X694" s="20"/>
      <c r="Y694" s="20"/>
      <c r="Z694" s="20"/>
      <c r="AA694" s="20"/>
    </row>
    <row r="695" spans="1:27" ht="12.75">
      <c r="A695" s="54"/>
      <c r="B695" s="54">
        <v>45854</v>
      </c>
      <c r="C695" s="11">
        <f>VLOOKUP(B:B,'Курс валют'!A:D,4,0)</f>
        <v>91.153099999999995</v>
      </c>
      <c r="D695" s="57" t="s">
        <v>2264</v>
      </c>
      <c r="E695" s="50" t="s">
        <v>2026</v>
      </c>
      <c r="F695" s="58">
        <v>800</v>
      </c>
      <c r="G695" s="57">
        <v>816.2</v>
      </c>
      <c r="H695" s="56">
        <v>0</v>
      </c>
      <c r="I695" s="58">
        <f t="shared" si="81"/>
        <v>16.200000000000045</v>
      </c>
      <c r="J695" s="14">
        <f t="shared" si="82"/>
        <v>2.0250000000000057</v>
      </c>
      <c r="K695" s="56">
        <v>2.83</v>
      </c>
      <c r="L695" s="15">
        <f t="shared" si="84"/>
        <v>0</v>
      </c>
      <c r="M695" s="16">
        <f t="shared" si="83"/>
        <v>257.96327299999996</v>
      </c>
      <c r="N695" s="17">
        <f t="shared" si="80"/>
        <v>2.83</v>
      </c>
      <c r="O695" s="17">
        <f t="shared" si="85"/>
        <v>2264</v>
      </c>
      <c r="P695" s="18">
        <f t="shared" si="86"/>
        <v>206370.61839999998</v>
      </c>
      <c r="R695" s="66"/>
      <c r="S695" s="19"/>
      <c r="T695" s="20"/>
      <c r="U695" s="20"/>
      <c r="V695" s="20"/>
      <c r="W695" s="20"/>
      <c r="X695" s="20"/>
      <c r="Y695" s="20"/>
      <c r="Z695" s="20"/>
      <c r="AA695" s="20"/>
    </row>
    <row r="696" spans="1:27" ht="12.75">
      <c r="A696" s="54"/>
      <c r="B696" s="10">
        <v>45854</v>
      </c>
      <c r="C696" s="11">
        <f>VLOOKUP(B:B,'Курс валют'!A:D,4,0)</f>
        <v>91.153099999999995</v>
      </c>
      <c r="D696" s="57" t="s">
        <v>2265</v>
      </c>
      <c r="E696" s="50" t="s">
        <v>125</v>
      </c>
      <c r="F696" s="58">
        <v>2200</v>
      </c>
      <c r="G696" s="57">
        <v>2243.1999999999998</v>
      </c>
      <c r="H696" s="56">
        <v>0</v>
      </c>
      <c r="I696" s="58">
        <f t="shared" si="81"/>
        <v>43.199999999999818</v>
      </c>
      <c r="J696" s="14">
        <f t="shared" si="82"/>
        <v>1.9636363636363552</v>
      </c>
      <c r="K696" s="56">
        <v>1.93</v>
      </c>
      <c r="L696" s="15">
        <f t="shared" si="84"/>
        <v>0</v>
      </c>
      <c r="M696" s="16">
        <f t="shared" si="83"/>
        <v>175.92548300000001</v>
      </c>
      <c r="N696" s="17">
        <f t="shared" si="80"/>
        <v>1.93</v>
      </c>
      <c r="O696" s="17">
        <f t="shared" si="85"/>
        <v>4246</v>
      </c>
      <c r="P696" s="18">
        <f t="shared" si="86"/>
        <v>387036.0626</v>
      </c>
      <c r="R696" s="66"/>
      <c r="S696" s="19"/>
      <c r="T696" s="20"/>
      <c r="U696" s="20"/>
      <c r="V696" s="20"/>
      <c r="W696" s="20"/>
      <c r="X696" s="20"/>
      <c r="Y696" s="20"/>
      <c r="Z696" s="20"/>
      <c r="AA696" s="20"/>
    </row>
    <row r="697" spans="1:27" ht="12.75">
      <c r="A697" s="54"/>
      <c r="B697" s="10">
        <v>45854</v>
      </c>
      <c r="C697" s="11">
        <f>VLOOKUP(B:B,'Курс валют'!A:D,4,0)</f>
        <v>91.153099999999995</v>
      </c>
      <c r="D697" s="57" t="s">
        <v>2266</v>
      </c>
      <c r="E697" s="50" t="s">
        <v>125</v>
      </c>
      <c r="F697" s="58">
        <v>2200</v>
      </c>
      <c r="G697" s="52">
        <v>2243.1999999999998</v>
      </c>
      <c r="H697" s="56">
        <v>0</v>
      </c>
      <c r="I697" s="13">
        <f t="shared" si="81"/>
        <v>43.199999999999818</v>
      </c>
      <c r="J697" s="14">
        <f t="shared" si="82"/>
        <v>1.9636363636363552</v>
      </c>
      <c r="K697" s="56">
        <v>1.93</v>
      </c>
      <c r="L697" s="15">
        <f t="shared" si="84"/>
        <v>0</v>
      </c>
      <c r="M697" s="16">
        <f t="shared" si="83"/>
        <v>175.92548300000001</v>
      </c>
      <c r="N697" s="17">
        <f t="shared" si="80"/>
        <v>1.93</v>
      </c>
      <c r="O697" s="17">
        <f t="shared" si="85"/>
        <v>4246</v>
      </c>
      <c r="P697" s="18">
        <f t="shared" si="86"/>
        <v>387036.0626</v>
      </c>
      <c r="R697" s="66"/>
      <c r="S697" s="19"/>
      <c r="T697" s="20"/>
      <c r="U697" s="20"/>
      <c r="V697" s="20"/>
      <c r="W697" s="20"/>
      <c r="X697" s="20"/>
      <c r="Y697" s="20"/>
      <c r="Z697" s="20"/>
      <c r="AA697" s="20"/>
    </row>
    <row r="698" spans="1:27" ht="12.75">
      <c r="A698" s="54"/>
      <c r="B698" s="10">
        <v>45855</v>
      </c>
      <c r="C698" s="11">
        <f>VLOOKUP(B:B,'Курс валют'!A:D,4,0)</f>
        <v>90.563500000000005</v>
      </c>
      <c r="D698" s="57" t="s">
        <v>2267</v>
      </c>
      <c r="E698" s="50" t="s">
        <v>125</v>
      </c>
      <c r="F698" s="58">
        <v>2200</v>
      </c>
      <c r="G698" s="57">
        <v>2243.1999999999998</v>
      </c>
      <c r="H698" s="56">
        <v>0</v>
      </c>
      <c r="I698" s="58">
        <f t="shared" si="81"/>
        <v>43.199999999999818</v>
      </c>
      <c r="J698" s="14">
        <f t="shared" si="82"/>
        <v>1.9636363636363552</v>
      </c>
      <c r="K698" s="56">
        <v>1.98</v>
      </c>
      <c r="L698" s="15">
        <f t="shared" si="84"/>
        <v>0</v>
      </c>
      <c r="M698" s="16">
        <f t="shared" si="83"/>
        <v>179.31573</v>
      </c>
      <c r="N698" s="17">
        <f t="shared" si="80"/>
        <v>1.98</v>
      </c>
      <c r="O698" s="17">
        <f t="shared" si="85"/>
        <v>4356</v>
      </c>
      <c r="P698" s="18">
        <f t="shared" si="86"/>
        <v>394494.60600000003</v>
      </c>
      <c r="R698" s="66"/>
      <c r="S698" s="19"/>
      <c r="T698" s="20"/>
      <c r="U698" s="20"/>
      <c r="V698" s="20"/>
      <c r="W698" s="20"/>
      <c r="X698" s="20"/>
      <c r="Y698" s="20"/>
      <c r="Z698" s="20"/>
      <c r="AA698" s="20"/>
    </row>
    <row r="699" spans="1:27" ht="12.75">
      <c r="A699" s="54"/>
      <c r="B699" s="10">
        <v>45855</v>
      </c>
      <c r="C699" s="11">
        <f>VLOOKUP(B:B,'Курс валют'!A:D,4,0)</f>
        <v>90.563500000000005</v>
      </c>
      <c r="D699" s="57" t="s">
        <v>2268</v>
      </c>
      <c r="E699" s="50" t="s">
        <v>2196</v>
      </c>
      <c r="F699" s="58">
        <v>800</v>
      </c>
      <c r="G699" s="52">
        <v>816.2</v>
      </c>
      <c r="H699" s="56">
        <v>0</v>
      </c>
      <c r="I699" s="13">
        <f t="shared" si="81"/>
        <v>16.200000000000045</v>
      </c>
      <c r="J699" s="14">
        <f t="shared" si="82"/>
        <v>2.0250000000000057</v>
      </c>
      <c r="K699" s="56">
        <v>2.73</v>
      </c>
      <c r="L699" s="15">
        <f t="shared" si="84"/>
        <v>0</v>
      </c>
      <c r="M699" s="16">
        <f t="shared" si="83"/>
        <v>247.23835500000001</v>
      </c>
      <c r="N699" s="17">
        <f t="shared" si="80"/>
        <v>2.73</v>
      </c>
      <c r="O699" s="17">
        <f t="shared" si="85"/>
        <v>2184</v>
      </c>
      <c r="P699" s="18">
        <f t="shared" si="86"/>
        <v>197790.68400000001</v>
      </c>
      <c r="R699" s="66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>
      <c r="A700" s="54"/>
      <c r="B700" s="10">
        <v>45856</v>
      </c>
      <c r="C700" s="11">
        <f>VLOOKUP(B:B,'Курс валют'!A:D,4,0)</f>
        <v>90.971599999999995</v>
      </c>
      <c r="D700" s="57" t="s">
        <v>2269</v>
      </c>
      <c r="E700" s="50" t="s">
        <v>125</v>
      </c>
      <c r="F700" s="58">
        <v>2200</v>
      </c>
      <c r="G700" s="57">
        <v>2243.1999999999998</v>
      </c>
      <c r="H700" s="56">
        <v>0</v>
      </c>
      <c r="I700" s="58">
        <f t="shared" si="81"/>
        <v>43.199999999999818</v>
      </c>
      <c r="J700" s="14">
        <f t="shared" si="82"/>
        <v>1.9636363636363552</v>
      </c>
      <c r="K700" s="56">
        <v>1.96</v>
      </c>
      <c r="L700" s="15">
        <f t="shared" si="84"/>
        <v>0</v>
      </c>
      <c r="M700" s="16">
        <f t="shared" si="83"/>
        <v>178.30433600000001</v>
      </c>
      <c r="N700" s="17">
        <f t="shared" si="80"/>
        <v>1.96</v>
      </c>
      <c r="O700" s="17">
        <f t="shared" si="85"/>
        <v>4312</v>
      </c>
      <c r="P700" s="18">
        <f t="shared" si="86"/>
        <v>392269.5392</v>
      </c>
      <c r="R700" s="66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>
      <c r="A701" s="54"/>
      <c r="B701" s="10">
        <v>45856</v>
      </c>
      <c r="C701" s="11">
        <f>VLOOKUP(B:B,'Курс валют'!A:D,4,0)</f>
        <v>90.971599999999995</v>
      </c>
      <c r="D701" s="57" t="s">
        <v>2270</v>
      </c>
      <c r="E701" s="50" t="s">
        <v>57</v>
      </c>
      <c r="F701" s="58">
        <v>2000</v>
      </c>
      <c r="G701" s="57">
        <v>2036.58</v>
      </c>
      <c r="H701" s="56">
        <v>0</v>
      </c>
      <c r="I701" s="58">
        <f t="shared" si="81"/>
        <v>36.579999999999927</v>
      </c>
      <c r="J701" s="14">
        <f t="shared" si="82"/>
        <v>1.8289999999999962</v>
      </c>
      <c r="K701" s="56">
        <v>2.48</v>
      </c>
      <c r="L701" s="15">
        <f t="shared" si="84"/>
        <v>0</v>
      </c>
      <c r="M701" s="16">
        <f t="shared" si="83"/>
        <v>225.609568</v>
      </c>
      <c r="N701" s="17">
        <f>(F701*K701-H701*2.45)/F701</f>
        <v>2.48</v>
      </c>
      <c r="O701" s="17">
        <f t="shared" si="85"/>
        <v>4960</v>
      </c>
      <c r="P701" s="18">
        <f t="shared" si="86"/>
        <v>451219.136</v>
      </c>
      <c r="S701" s="19"/>
      <c r="T701" s="20"/>
      <c r="U701" s="20"/>
      <c r="V701" s="20"/>
      <c r="W701" s="20"/>
      <c r="X701" s="20"/>
      <c r="Y701" s="20"/>
      <c r="Z701" s="20"/>
      <c r="AA701" s="20"/>
    </row>
    <row r="702" spans="1:27" ht="12.75">
      <c r="A702" s="54"/>
      <c r="B702" s="10">
        <v>45856</v>
      </c>
      <c r="C702" s="11">
        <f>VLOOKUP(B:B,'Курс валют'!A:D,4,0)</f>
        <v>90.971599999999995</v>
      </c>
      <c r="D702" s="57" t="s">
        <v>2271</v>
      </c>
      <c r="E702" s="50" t="s">
        <v>15</v>
      </c>
      <c r="F702" s="58">
        <v>3300</v>
      </c>
      <c r="G702" s="57">
        <v>3358</v>
      </c>
      <c r="H702" s="49">
        <v>60.9</v>
      </c>
      <c r="I702" s="58">
        <f t="shared" si="81"/>
        <v>58</v>
      </c>
      <c r="J702" s="14">
        <f t="shared" si="82"/>
        <v>1.7575757575757573</v>
      </c>
      <c r="K702" s="56">
        <v>2.5</v>
      </c>
      <c r="L702" s="15">
        <f t="shared" si="84"/>
        <v>1.8454545454545452</v>
      </c>
      <c r="M702" s="16">
        <f t="shared" si="83"/>
        <v>222.3253278370909</v>
      </c>
      <c r="N702" s="17">
        <f t="shared" ref="N702:N765" si="87">(F702*K702-H702*3.04)/F702</f>
        <v>2.4438981818181817</v>
      </c>
      <c r="O702" s="17">
        <f t="shared" si="85"/>
        <v>8064.8639999999996</v>
      </c>
      <c r="P702" s="18">
        <f t="shared" si="86"/>
        <v>733673.58186239994</v>
      </c>
      <c r="R702" s="66"/>
      <c r="S702" s="19"/>
      <c r="T702" s="20"/>
      <c r="U702" s="20"/>
      <c r="V702" s="20"/>
      <c r="W702" s="20"/>
      <c r="X702" s="20"/>
      <c r="Y702" s="20"/>
      <c r="Z702" s="20"/>
      <c r="AA702" s="20"/>
    </row>
    <row r="703" spans="1:27" ht="12.75">
      <c r="A703" s="54"/>
      <c r="B703" s="10">
        <v>45857</v>
      </c>
      <c r="C703" s="11">
        <f>VLOOKUP(B:B,'Курс валют'!A:D,4,0)</f>
        <v>91.082099999999997</v>
      </c>
      <c r="D703" s="57" t="s">
        <v>2272</v>
      </c>
      <c r="E703" s="50" t="s">
        <v>57</v>
      </c>
      <c r="F703" s="58">
        <v>2000</v>
      </c>
      <c r="G703" s="57">
        <v>2036.58</v>
      </c>
      <c r="H703" s="49">
        <v>0</v>
      </c>
      <c r="I703" s="58">
        <f t="shared" si="81"/>
        <v>36.579999999999927</v>
      </c>
      <c r="J703" s="14">
        <f t="shared" si="82"/>
        <v>1.8289999999999962</v>
      </c>
      <c r="K703" s="56">
        <v>2.48</v>
      </c>
      <c r="L703" s="15">
        <f t="shared" si="84"/>
        <v>0</v>
      </c>
      <c r="M703" s="16">
        <f t="shared" si="83"/>
        <v>225.88360799999998</v>
      </c>
      <c r="N703" s="17">
        <f t="shared" si="87"/>
        <v>2.48</v>
      </c>
      <c r="O703" s="17">
        <f t="shared" si="85"/>
        <v>4960</v>
      </c>
      <c r="P703" s="18">
        <f t="shared" si="86"/>
        <v>451767.21599999996</v>
      </c>
      <c r="R703" s="65"/>
      <c r="S703" s="19"/>
      <c r="T703" s="20"/>
      <c r="U703" s="20"/>
      <c r="V703" s="20"/>
      <c r="W703" s="20"/>
      <c r="X703" s="20"/>
      <c r="Y703" s="20"/>
      <c r="Z703" s="20"/>
      <c r="AA703" s="20"/>
    </row>
    <row r="704" spans="1:27" ht="12.75">
      <c r="A704" s="54"/>
      <c r="B704" s="10">
        <v>45857</v>
      </c>
      <c r="C704" s="11">
        <f>VLOOKUP(B:B,'Курс валют'!A:D,4,0)</f>
        <v>91.082099999999997</v>
      </c>
      <c r="D704" s="57" t="s">
        <v>2273</v>
      </c>
      <c r="E704" s="50" t="s">
        <v>60</v>
      </c>
      <c r="F704" s="58">
        <v>2250</v>
      </c>
      <c r="G704" s="57">
        <v>2292.3000000000002</v>
      </c>
      <c r="H704" s="49">
        <v>480.8</v>
      </c>
      <c r="I704" s="58">
        <f t="shared" si="81"/>
        <v>42.300000000000182</v>
      </c>
      <c r="J704" s="14">
        <f t="shared" si="82"/>
        <v>1.8800000000000081</v>
      </c>
      <c r="K704" s="56">
        <v>2.83</v>
      </c>
      <c r="L704" s="15">
        <f t="shared" si="84"/>
        <v>21.36888888888889</v>
      </c>
      <c r="M704" s="16">
        <f t="shared" si="83"/>
        <v>198.59411545013333</v>
      </c>
      <c r="N704" s="17">
        <f t="shared" si="87"/>
        <v>2.180385777777778</v>
      </c>
      <c r="O704" s="17">
        <f t="shared" si="85"/>
        <v>4905.8680000000004</v>
      </c>
      <c r="P704" s="18">
        <f t="shared" si="86"/>
        <v>446836.75976280001</v>
      </c>
      <c r="R704" s="65"/>
      <c r="S704" s="19"/>
      <c r="T704" s="20"/>
      <c r="U704" s="20"/>
      <c r="V704" s="20"/>
      <c r="W704" s="20"/>
      <c r="X704" s="20"/>
      <c r="Y704" s="20"/>
      <c r="Z704" s="20"/>
      <c r="AA704" s="20"/>
    </row>
    <row r="705" spans="1:27" ht="12.75">
      <c r="A705" s="54"/>
      <c r="B705" s="10">
        <v>45857</v>
      </c>
      <c r="C705" s="11">
        <f>VLOOKUP(B:B,'Курс валют'!A:D,4,0)</f>
        <v>91.082099999999997</v>
      </c>
      <c r="D705" s="57" t="s">
        <v>2274</v>
      </c>
      <c r="E705" s="50" t="s">
        <v>15</v>
      </c>
      <c r="F705" s="58">
        <v>8800</v>
      </c>
      <c r="G705" s="57">
        <v>8930.4</v>
      </c>
      <c r="H705" s="49">
        <v>170.4</v>
      </c>
      <c r="I705" s="58">
        <f t="shared" si="81"/>
        <v>130.39999999999964</v>
      </c>
      <c r="J705" s="14">
        <f t="shared" si="82"/>
        <v>1.4818181818181777</v>
      </c>
      <c r="K705" s="56">
        <v>2.48</v>
      </c>
      <c r="L705" s="15">
        <f t="shared" si="84"/>
        <v>1.9363636363636365</v>
      </c>
      <c r="M705" s="16">
        <f t="shared" si="83"/>
        <v>220.52201878254544</v>
      </c>
      <c r="N705" s="17">
        <f t="shared" si="87"/>
        <v>2.4211345454545454</v>
      </c>
      <c r="O705" s="17">
        <f t="shared" si="85"/>
        <v>21305.984</v>
      </c>
      <c r="P705" s="18">
        <f t="shared" si="86"/>
        <v>1940593.7652864</v>
      </c>
      <c r="R705" s="65"/>
      <c r="S705" s="19"/>
      <c r="T705" s="20"/>
      <c r="U705" s="20"/>
      <c r="V705" s="20"/>
      <c r="W705" s="20"/>
      <c r="X705" s="20"/>
      <c r="Y705" s="20"/>
      <c r="Z705" s="20"/>
      <c r="AA705" s="20"/>
    </row>
    <row r="706" spans="1:27" ht="12.75">
      <c r="A706" s="54"/>
      <c r="B706" s="10">
        <v>45858</v>
      </c>
      <c r="C706" s="11">
        <f>VLOOKUP(B:B,'Курс валют'!A:D,4,0)</f>
        <v>91.082099999999997</v>
      </c>
      <c r="D706" s="57" t="s">
        <v>2275</v>
      </c>
      <c r="E706" s="50" t="s">
        <v>57</v>
      </c>
      <c r="F706" s="58">
        <v>2000</v>
      </c>
      <c r="G706" s="57">
        <v>2036.58</v>
      </c>
      <c r="H706" s="49">
        <v>0</v>
      </c>
      <c r="I706" s="58">
        <f t="shared" si="81"/>
        <v>36.579999999999927</v>
      </c>
      <c r="J706" s="14">
        <f t="shared" si="82"/>
        <v>1.8289999999999962</v>
      </c>
      <c r="K706" s="56">
        <v>2.48</v>
      </c>
      <c r="L706" s="15">
        <f t="shared" si="84"/>
        <v>0</v>
      </c>
      <c r="M706" s="16">
        <f t="shared" si="83"/>
        <v>225.88360799999998</v>
      </c>
      <c r="N706" s="17">
        <f t="shared" si="87"/>
        <v>2.48</v>
      </c>
      <c r="O706" s="17">
        <f t="shared" si="85"/>
        <v>4960</v>
      </c>
      <c r="P706" s="18">
        <f t="shared" si="86"/>
        <v>451767.21599999996</v>
      </c>
      <c r="R706" s="65"/>
      <c r="S706" s="19"/>
      <c r="T706" s="20"/>
      <c r="U706" s="20"/>
      <c r="V706" s="20"/>
      <c r="W706" s="20"/>
      <c r="X706" s="20"/>
      <c r="Y706" s="20"/>
      <c r="Z706" s="20"/>
      <c r="AA706" s="20"/>
    </row>
    <row r="707" spans="1:27" ht="12.75">
      <c r="A707" s="54"/>
      <c r="B707" s="10">
        <v>45858</v>
      </c>
      <c r="C707" s="11">
        <f>VLOOKUP(B:B,'Курс валют'!A:D,4,0)</f>
        <v>91.082099999999997</v>
      </c>
      <c r="D707" s="57" t="s">
        <v>2276</v>
      </c>
      <c r="E707" s="50" t="s">
        <v>60</v>
      </c>
      <c r="F707" s="58">
        <v>2250</v>
      </c>
      <c r="G707" s="57">
        <v>2293</v>
      </c>
      <c r="H707" s="56">
        <v>0</v>
      </c>
      <c r="I707" s="58">
        <f t="shared" si="81"/>
        <v>43</v>
      </c>
      <c r="J707" s="14">
        <f t="shared" si="82"/>
        <v>1.911111111111111</v>
      </c>
      <c r="K707" s="53">
        <v>2.06</v>
      </c>
      <c r="L707" s="15">
        <f t="shared" si="84"/>
        <v>0</v>
      </c>
      <c r="M707" s="16">
        <f t="shared" si="83"/>
        <v>187.62912599999999</v>
      </c>
      <c r="N707" s="17">
        <f t="shared" si="87"/>
        <v>2.06</v>
      </c>
      <c r="O707" s="17">
        <f t="shared" si="85"/>
        <v>4635</v>
      </c>
      <c r="P707" s="18">
        <f t="shared" si="86"/>
        <v>422165.53349999996</v>
      </c>
      <c r="R707" s="65"/>
      <c r="S707" s="19"/>
      <c r="T707" s="20"/>
      <c r="U707" s="20"/>
      <c r="V707" s="20"/>
      <c r="W707" s="20"/>
      <c r="X707" s="20"/>
      <c r="Y707" s="20"/>
      <c r="Z707" s="20"/>
      <c r="AA707" s="20"/>
    </row>
    <row r="708" spans="1:27" ht="12.75">
      <c r="A708" s="54"/>
      <c r="B708" s="10">
        <v>45858</v>
      </c>
      <c r="C708" s="11">
        <f>VLOOKUP(B:B,'Курс валют'!A:D,4,0)</f>
        <v>91.082099999999997</v>
      </c>
      <c r="D708" s="57" t="s">
        <v>2277</v>
      </c>
      <c r="E708" s="50" t="s">
        <v>15</v>
      </c>
      <c r="F708" s="58">
        <v>8800</v>
      </c>
      <c r="G708" s="57">
        <v>8930.4</v>
      </c>
      <c r="H708" s="56">
        <v>170.4</v>
      </c>
      <c r="I708" s="58">
        <f t="shared" si="81"/>
        <v>130.39999999999964</v>
      </c>
      <c r="J708" s="14">
        <f t="shared" si="82"/>
        <v>1.4818181818181777</v>
      </c>
      <c r="K708" s="53">
        <v>2.4700000000000002</v>
      </c>
      <c r="L708" s="15">
        <f t="shared" si="84"/>
        <v>1.9363636363636365</v>
      </c>
      <c r="M708" s="16">
        <f t="shared" si="83"/>
        <v>219.61119778254545</v>
      </c>
      <c r="N708" s="17">
        <f t="shared" si="87"/>
        <v>2.4111345454545456</v>
      </c>
      <c r="O708" s="17">
        <f t="shared" si="85"/>
        <v>21217.984</v>
      </c>
      <c r="P708" s="18">
        <f t="shared" si="86"/>
        <v>1932578.5404864</v>
      </c>
      <c r="R708" s="65"/>
      <c r="S708" s="19"/>
      <c r="T708" s="20"/>
      <c r="U708" s="20"/>
      <c r="V708" s="20"/>
      <c r="W708" s="20"/>
      <c r="X708" s="20"/>
      <c r="Y708" s="20"/>
      <c r="Z708" s="20"/>
      <c r="AA708" s="20"/>
    </row>
    <row r="709" spans="1:27" ht="12.75">
      <c r="A709" s="54"/>
      <c r="B709" s="10">
        <v>45859</v>
      </c>
      <c r="C709" s="11">
        <f>VLOOKUP(B:B,'Курс валют'!A:D,4,0)</f>
        <v>91.082099999999997</v>
      </c>
      <c r="D709" s="57" t="s">
        <v>2278</v>
      </c>
      <c r="E709" s="50" t="s">
        <v>58</v>
      </c>
      <c r="F709" s="58">
        <v>1100</v>
      </c>
      <c r="G709" s="57">
        <v>1122.8</v>
      </c>
      <c r="H709" s="56">
        <v>21.5</v>
      </c>
      <c r="I709" s="58">
        <f t="shared" si="81"/>
        <v>22.799999999999955</v>
      </c>
      <c r="J709" s="14">
        <f t="shared" si="82"/>
        <v>2.0727272727272683</v>
      </c>
      <c r="K709" s="56">
        <v>2.6</v>
      </c>
      <c r="L709" s="15">
        <f t="shared" si="84"/>
        <v>1.9545454545454546</v>
      </c>
      <c r="M709" s="16">
        <f t="shared" si="83"/>
        <v>231.40152722181821</v>
      </c>
      <c r="N709" s="17">
        <f t="shared" si="87"/>
        <v>2.5405818181818183</v>
      </c>
      <c r="O709" s="17">
        <f t="shared" si="85"/>
        <v>2794.6400000000003</v>
      </c>
      <c r="P709" s="18">
        <f t="shared" si="86"/>
        <v>254541.67994400003</v>
      </c>
      <c r="R709" s="66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>
      <c r="A710" s="54"/>
      <c r="B710" s="10">
        <v>45859</v>
      </c>
      <c r="C710" s="11">
        <f>VLOOKUP(B:B,'Курс валют'!A:D,4,0)</f>
        <v>91.082099999999997</v>
      </c>
      <c r="D710" s="57" t="s">
        <v>2279</v>
      </c>
      <c r="E710" s="55" t="s">
        <v>15</v>
      </c>
      <c r="F710" s="58">
        <v>7700</v>
      </c>
      <c r="G710" s="57">
        <v>7814.1</v>
      </c>
      <c r="H710" s="56">
        <v>144.84</v>
      </c>
      <c r="I710" s="58">
        <f t="shared" si="81"/>
        <v>114.10000000000036</v>
      </c>
      <c r="J710" s="14">
        <f t="shared" si="82"/>
        <v>1.4818181818181866</v>
      </c>
      <c r="K710" s="56">
        <v>2.48</v>
      </c>
      <c r="L710" s="15">
        <f t="shared" si="84"/>
        <v>1.8810389610389611</v>
      </c>
      <c r="M710" s="16">
        <f t="shared" si="83"/>
        <v>220.67520704590129</v>
      </c>
      <c r="N710" s="17">
        <f t="shared" si="87"/>
        <v>2.4228164155844154</v>
      </c>
      <c r="O710" s="17">
        <f t="shared" si="85"/>
        <v>18655.686399999999</v>
      </c>
      <c r="P710" s="18">
        <f t="shared" si="86"/>
        <v>1699199.0942534399</v>
      </c>
      <c r="R710" s="66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>
      <c r="A711" s="54"/>
      <c r="B711" s="10">
        <v>45859</v>
      </c>
      <c r="C711" s="11">
        <f>VLOOKUP(B:B,'Курс валют'!A:D,4,0)</f>
        <v>91.082099999999997</v>
      </c>
      <c r="D711" s="57" t="s">
        <v>2280</v>
      </c>
      <c r="E711" s="55" t="s">
        <v>57</v>
      </c>
      <c r="F711" s="58">
        <v>2000</v>
      </c>
      <c r="G711" s="58">
        <v>2036.6</v>
      </c>
      <c r="H711" s="56">
        <v>0</v>
      </c>
      <c r="I711" s="58">
        <f t="shared" si="81"/>
        <v>36.599999999999909</v>
      </c>
      <c r="J711" s="14">
        <f t="shared" si="82"/>
        <v>1.8299999999999956</v>
      </c>
      <c r="K711" s="56">
        <v>2.52</v>
      </c>
      <c r="L711" s="15">
        <f t="shared" si="84"/>
        <v>0</v>
      </c>
      <c r="M711" s="16">
        <f t="shared" si="83"/>
        <v>229.526892</v>
      </c>
      <c r="N711" s="17">
        <f t="shared" si="87"/>
        <v>2.52</v>
      </c>
      <c r="O711" s="17">
        <f t="shared" si="85"/>
        <v>5040</v>
      </c>
      <c r="P711" s="18">
        <f t="shared" si="86"/>
        <v>459053.78399999999</v>
      </c>
      <c r="R711" s="65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>
      <c r="A712" s="54"/>
      <c r="B712" s="10">
        <v>45859</v>
      </c>
      <c r="C712" s="11">
        <f>VLOOKUP(B:B,'Курс валют'!A:D,4,0)</f>
        <v>91.082099999999997</v>
      </c>
      <c r="D712" s="57" t="s">
        <v>2281</v>
      </c>
      <c r="E712" s="50" t="s">
        <v>60</v>
      </c>
      <c r="F712" s="58">
        <v>2250</v>
      </c>
      <c r="G712" s="58">
        <v>2292.1999999999998</v>
      </c>
      <c r="H712" s="56">
        <v>0</v>
      </c>
      <c r="I712" s="58">
        <f t="shared" si="81"/>
        <v>42.199999999999818</v>
      </c>
      <c r="J712" s="14">
        <f t="shared" si="82"/>
        <v>1.8755555555555474</v>
      </c>
      <c r="K712" s="56">
        <v>2.06</v>
      </c>
      <c r="L712" s="15">
        <f t="shared" si="84"/>
        <v>0</v>
      </c>
      <c r="M712" s="16">
        <f t="shared" si="83"/>
        <v>187.62912599999999</v>
      </c>
      <c r="N712" s="17">
        <f t="shared" si="87"/>
        <v>2.06</v>
      </c>
      <c r="O712" s="17">
        <f t="shared" si="85"/>
        <v>4635</v>
      </c>
      <c r="P712" s="18">
        <f t="shared" si="86"/>
        <v>422165.53349999996</v>
      </c>
      <c r="R712" s="65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>
      <c r="A713" s="54"/>
      <c r="B713" s="10">
        <v>45860</v>
      </c>
      <c r="C713" s="11">
        <f>VLOOKUP(B:B,'Курс валют'!A:D,4,0)</f>
        <v>91.513800000000003</v>
      </c>
      <c r="D713" s="57" t="s">
        <v>2282</v>
      </c>
      <c r="E713" s="55" t="s">
        <v>102</v>
      </c>
      <c r="F713" s="58">
        <v>30.91</v>
      </c>
      <c r="G713" s="58">
        <v>32.369999999999997</v>
      </c>
      <c r="H713" s="56">
        <v>0</v>
      </c>
      <c r="I713" s="58">
        <f t="shared" si="81"/>
        <v>1.4599999999999973</v>
      </c>
      <c r="J713" s="14">
        <f t="shared" si="82"/>
        <v>4.7233904885150348</v>
      </c>
      <c r="K713" s="56">
        <v>2.04</v>
      </c>
      <c r="L713" s="15">
        <f t="shared" si="84"/>
        <v>0</v>
      </c>
      <c r="M713" s="16">
        <f t="shared" si="83"/>
        <v>186.688152</v>
      </c>
      <c r="N713" s="17">
        <f t="shared" si="87"/>
        <v>2.04</v>
      </c>
      <c r="O713" s="17">
        <f t="shared" si="85"/>
        <v>63.056400000000004</v>
      </c>
      <c r="P713" s="18">
        <f t="shared" si="86"/>
        <v>5770.5307783200005</v>
      </c>
      <c r="R713" s="66" t="s">
        <v>2283</v>
      </c>
      <c r="S713" s="19"/>
      <c r="T713" s="20"/>
      <c r="U713" s="20"/>
      <c r="V713" s="20"/>
      <c r="W713" s="20"/>
      <c r="X713" s="20"/>
      <c r="Y713" s="20"/>
      <c r="Z713" s="20"/>
      <c r="AA713" s="20"/>
    </row>
    <row r="714" spans="1:27" ht="12.75">
      <c r="A714" s="54"/>
      <c r="B714" s="10">
        <v>45860</v>
      </c>
      <c r="C714" s="11">
        <f>VLOOKUP(B:B,'Курс валют'!A:D,4,0)</f>
        <v>91.513800000000003</v>
      </c>
      <c r="D714" s="57" t="s">
        <v>2284</v>
      </c>
      <c r="E714" s="55" t="s">
        <v>60</v>
      </c>
      <c r="F714" s="58">
        <v>2250</v>
      </c>
      <c r="G714" s="58">
        <v>2293</v>
      </c>
      <c r="H714" s="56">
        <v>0</v>
      </c>
      <c r="I714" s="58">
        <f t="shared" si="81"/>
        <v>43</v>
      </c>
      <c r="J714" s="14">
        <f t="shared" si="82"/>
        <v>1.911111111111111</v>
      </c>
      <c r="K714" s="56">
        <v>2.25</v>
      </c>
      <c r="L714" s="15">
        <f t="shared" si="84"/>
        <v>0</v>
      </c>
      <c r="M714" s="16">
        <f t="shared" si="83"/>
        <v>205.90604999999999</v>
      </c>
      <c r="N714" s="17">
        <f t="shared" si="87"/>
        <v>2.25</v>
      </c>
      <c r="O714" s="17">
        <f t="shared" si="85"/>
        <v>5062.5</v>
      </c>
      <c r="P714" s="18">
        <f t="shared" si="86"/>
        <v>463288.61249999999</v>
      </c>
      <c r="R714" s="66"/>
      <c r="S714" s="19"/>
      <c r="T714" s="20"/>
      <c r="U714" s="20"/>
      <c r="V714" s="20"/>
      <c r="W714" s="20"/>
      <c r="X714" s="20"/>
      <c r="Y714" s="20"/>
      <c r="Z714" s="20"/>
      <c r="AA714" s="20"/>
    </row>
    <row r="715" spans="1:27" ht="12.75">
      <c r="A715" s="54"/>
      <c r="B715" s="10">
        <v>45860</v>
      </c>
      <c r="C715" s="11">
        <f>VLOOKUP(B:B,'Курс валют'!A:D,4,0)</f>
        <v>91.513800000000003</v>
      </c>
      <c r="D715" s="57" t="s">
        <v>2229</v>
      </c>
      <c r="E715" s="55" t="s">
        <v>87</v>
      </c>
      <c r="F715" s="58">
        <v>198</v>
      </c>
      <c r="G715" s="58">
        <v>200</v>
      </c>
      <c r="H715" s="56">
        <v>0</v>
      </c>
      <c r="I715" s="58">
        <f t="shared" si="81"/>
        <v>2</v>
      </c>
      <c r="J715" s="14">
        <f t="shared" si="82"/>
        <v>1.0101010101010102</v>
      </c>
      <c r="K715" s="56">
        <v>2.21</v>
      </c>
      <c r="L715" s="15">
        <f t="shared" si="84"/>
        <v>0</v>
      </c>
      <c r="M715" s="16">
        <f t="shared" si="83"/>
        <v>202.245498</v>
      </c>
      <c r="N715" s="17">
        <f t="shared" si="87"/>
        <v>2.21</v>
      </c>
      <c r="O715" s="17">
        <f t="shared" si="85"/>
        <v>437.58</v>
      </c>
      <c r="P715" s="18">
        <f t="shared" si="86"/>
        <v>40044.608604000001</v>
      </c>
      <c r="R715" s="66" t="s">
        <v>1267</v>
      </c>
      <c r="S715" s="19"/>
      <c r="T715" s="20"/>
      <c r="U715" s="20"/>
      <c r="V715" s="20"/>
      <c r="W715" s="20"/>
      <c r="X715" s="20"/>
      <c r="Y715" s="20"/>
      <c r="Z715" s="20"/>
      <c r="AA715" s="20"/>
    </row>
    <row r="716" spans="1:27" ht="12.75">
      <c r="A716" s="54"/>
      <c r="B716" s="10">
        <v>45860</v>
      </c>
      <c r="C716" s="11">
        <f>VLOOKUP(B:B,'Курс валют'!A:D,4,0)</f>
        <v>91.513800000000003</v>
      </c>
      <c r="D716" s="57" t="s">
        <v>2285</v>
      </c>
      <c r="E716" s="55" t="s">
        <v>58</v>
      </c>
      <c r="F716" s="58">
        <v>4400</v>
      </c>
      <c r="G716" s="58">
        <v>4486.8</v>
      </c>
      <c r="H716" s="56">
        <v>81.2</v>
      </c>
      <c r="I716" s="58">
        <f t="shared" si="81"/>
        <v>86.800000000000182</v>
      </c>
      <c r="J716" s="14">
        <f t="shared" si="82"/>
        <v>1.9727272727272771</v>
      </c>
      <c r="K716" s="56">
        <v>2.59</v>
      </c>
      <c r="L716" s="15">
        <f t="shared" si="84"/>
        <v>1.8454545454545457</v>
      </c>
      <c r="M716" s="16">
        <f t="shared" si="83"/>
        <v>231.88665143127278</v>
      </c>
      <c r="N716" s="17">
        <f t="shared" si="87"/>
        <v>2.533898181818182</v>
      </c>
      <c r="O716" s="17">
        <f t="shared" si="85"/>
        <v>11149.152000000002</v>
      </c>
      <c r="P716" s="18">
        <f t="shared" si="86"/>
        <v>1020301.2662976002</v>
      </c>
      <c r="R716" s="66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>
      <c r="A717" s="54"/>
      <c r="B717" s="10">
        <v>45860</v>
      </c>
      <c r="C717" s="11">
        <f>VLOOKUP(B:B,'Курс валют'!A:D,4,0)</f>
        <v>91.513800000000003</v>
      </c>
      <c r="D717" s="57" t="s">
        <v>2286</v>
      </c>
      <c r="E717" s="55" t="s">
        <v>60</v>
      </c>
      <c r="F717" s="58">
        <v>2250</v>
      </c>
      <c r="G717" s="58">
        <v>2293</v>
      </c>
      <c r="H717" s="56">
        <v>0</v>
      </c>
      <c r="I717" s="58">
        <f t="shared" si="81"/>
        <v>43</v>
      </c>
      <c r="J717" s="14">
        <f t="shared" si="82"/>
        <v>1.911111111111111</v>
      </c>
      <c r="K717" s="56">
        <v>2.25</v>
      </c>
      <c r="L717" s="15">
        <f t="shared" si="84"/>
        <v>0</v>
      </c>
      <c r="M717" s="16">
        <f t="shared" si="83"/>
        <v>205.90604999999999</v>
      </c>
      <c r="N717" s="17">
        <f t="shared" si="87"/>
        <v>2.25</v>
      </c>
      <c r="O717" s="17">
        <f t="shared" si="85"/>
        <v>5062.5</v>
      </c>
      <c r="P717" s="18">
        <f t="shared" si="86"/>
        <v>463288.61249999999</v>
      </c>
      <c r="R717" s="66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>
      <c r="A718" s="54"/>
      <c r="B718" s="10">
        <v>45861</v>
      </c>
      <c r="C718" s="11">
        <f>VLOOKUP(B:B,'Курс валют'!A:D,4,0)</f>
        <v>91.778199999999998</v>
      </c>
      <c r="D718" s="57" t="s">
        <v>2287</v>
      </c>
      <c r="E718" s="55" t="s">
        <v>432</v>
      </c>
      <c r="F718" s="58">
        <v>934.93</v>
      </c>
      <c r="G718" s="58">
        <v>953.5</v>
      </c>
      <c r="H718" s="56">
        <v>0</v>
      </c>
      <c r="I718" s="58">
        <f t="shared" si="81"/>
        <v>18.57000000000005</v>
      </c>
      <c r="J718" s="14">
        <f t="shared" si="82"/>
        <v>1.986244959515691</v>
      </c>
      <c r="K718" s="56">
        <v>1.48</v>
      </c>
      <c r="L718" s="15">
        <f t="shared" si="84"/>
        <v>0</v>
      </c>
      <c r="M718" s="16">
        <f t="shared" si="83"/>
        <v>135.83173599999998</v>
      </c>
      <c r="N718" s="17">
        <f t="shared" si="87"/>
        <v>1.48</v>
      </c>
      <c r="O718" s="17">
        <f t="shared" si="85"/>
        <v>1383.6963999999998</v>
      </c>
      <c r="P718" s="18">
        <f t="shared" si="86"/>
        <v>126993.16493847998</v>
      </c>
      <c r="R718" s="66" t="s">
        <v>2288</v>
      </c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>
      <c r="A719" s="54"/>
      <c r="B719" s="10">
        <v>45861</v>
      </c>
      <c r="C719" s="11">
        <f>VLOOKUP(B:B,'Курс валют'!A:D,4,0)</f>
        <v>91.778199999999998</v>
      </c>
      <c r="D719" s="57" t="s">
        <v>2289</v>
      </c>
      <c r="E719" s="55" t="s">
        <v>104</v>
      </c>
      <c r="F719" s="58">
        <v>2160</v>
      </c>
      <c r="G719" s="58">
        <v>2197.1999999999998</v>
      </c>
      <c r="H719" s="56">
        <v>0</v>
      </c>
      <c r="I719" s="58">
        <f t="shared" si="81"/>
        <v>37.199999999999818</v>
      </c>
      <c r="J719" s="14">
        <f t="shared" si="82"/>
        <v>1.7222222222222139</v>
      </c>
      <c r="K719" s="56">
        <v>2.8</v>
      </c>
      <c r="L719" s="15">
        <f t="shared" si="84"/>
        <v>0</v>
      </c>
      <c r="M719" s="16">
        <f t="shared" si="83"/>
        <v>256.97895999999997</v>
      </c>
      <c r="N719" s="17">
        <f t="shared" si="87"/>
        <v>2.8</v>
      </c>
      <c r="O719" s="17">
        <f t="shared" si="85"/>
        <v>6048</v>
      </c>
      <c r="P719" s="18">
        <f t="shared" si="86"/>
        <v>555074.55359999998</v>
      </c>
      <c r="R719" s="66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>
      <c r="A720" s="54"/>
      <c r="B720" s="10">
        <v>45861</v>
      </c>
      <c r="C720" s="11">
        <f>VLOOKUP(B:B,'Курс валют'!A:D,4,0)</f>
        <v>91.778199999999998</v>
      </c>
      <c r="D720" s="57" t="s">
        <v>2290</v>
      </c>
      <c r="E720" s="55" t="s">
        <v>115</v>
      </c>
      <c r="F720" s="58">
        <v>296</v>
      </c>
      <c r="G720" s="58">
        <v>303.5</v>
      </c>
      <c r="H720" s="56">
        <v>0</v>
      </c>
      <c r="I720" s="58">
        <f t="shared" si="81"/>
        <v>7.5</v>
      </c>
      <c r="J720" s="14">
        <f t="shared" si="82"/>
        <v>2.5337837837837838</v>
      </c>
      <c r="K720" s="56">
        <v>1.51</v>
      </c>
      <c r="L720" s="15">
        <f t="shared" si="84"/>
        <v>0</v>
      </c>
      <c r="M720" s="16">
        <f t="shared" si="83"/>
        <v>138.585082</v>
      </c>
      <c r="N720" s="17">
        <f t="shared" si="87"/>
        <v>1.51</v>
      </c>
      <c r="O720" s="17">
        <f t="shared" si="85"/>
        <v>446.96</v>
      </c>
      <c r="P720" s="18">
        <f t="shared" si="86"/>
        <v>41021.184271999999</v>
      </c>
      <c r="R720" s="66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>
      <c r="A721" s="54"/>
      <c r="B721" s="10">
        <v>45861</v>
      </c>
      <c r="C721" s="11">
        <f>VLOOKUP(B:B,'Курс валют'!A:D,4,0)</f>
        <v>91.778199999999998</v>
      </c>
      <c r="D721" s="57" t="s">
        <v>2291</v>
      </c>
      <c r="E721" s="55" t="s">
        <v>60</v>
      </c>
      <c r="F721" s="58">
        <v>2250</v>
      </c>
      <c r="G721" s="58">
        <v>2293.1</v>
      </c>
      <c r="H721" s="56">
        <v>0</v>
      </c>
      <c r="I721" s="58">
        <f t="shared" si="81"/>
        <v>43.099999999999909</v>
      </c>
      <c r="J721" s="14">
        <f t="shared" si="82"/>
        <v>1.9155555555555517</v>
      </c>
      <c r="K721" s="56">
        <v>2.25</v>
      </c>
      <c r="L721" s="15">
        <f t="shared" si="84"/>
        <v>0</v>
      </c>
      <c r="M721" s="16">
        <f t="shared" si="83"/>
        <v>206.50095000000002</v>
      </c>
      <c r="N721" s="17">
        <f t="shared" si="87"/>
        <v>2.25</v>
      </c>
      <c r="O721" s="17">
        <f t="shared" si="85"/>
        <v>5062.5</v>
      </c>
      <c r="P721" s="18">
        <f t="shared" si="86"/>
        <v>464627.13750000001</v>
      </c>
      <c r="R721" s="66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>
      <c r="A722" s="54"/>
      <c r="B722" s="10">
        <v>45862</v>
      </c>
      <c r="C722" s="11">
        <f>VLOOKUP(B:B,'Курс валют'!A:D,4,0)</f>
        <v>91.789699999999996</v>
      </c>
      <c r="D722" s="57" t="s">
        <v>2292</v>
      </c>
      <c r="E722" s="64" t="s">
        <v>2221</v>
      </c>
      <c r="F722" s="58">
        <v>2200</v>
      </c>
      <c r="G722" s="58">
        <v>2234.6</v>
      </c>
      <c r="H722" s="56">
        <v>0</v>
      </c>
      <c r="I722" s="58">
        <f t="shared" si="81"/>
        <v>34.599999999999909</v>
      </c>
      <c r="J722" s="14">
        <f t="shared" si="82"/>
        <v>1.5727272727272688</v>
      </c>
      <c r="K722" s="56">
        <v>2.34</v>
      </c>
      <c r="L722" s="15">
        <f t="shared" si="84"/>
        <v>0</v>
      </c>
      <c r="M722" s="16">
        <f t="shared" si="83"/>
        <v>214.78789799999998</v>
      </c>
      <c r="N722" s="17">
        <f t="shared" si="87"/>
        <v>2.34</v>
      </c>
      <c r="O722" s="17">
        <f t="shared" si="85"/>
        <v>5148</v>
      </c>
      <c r="P722" s="18">
        <f t="shared" si="86"/>
        <v>472533.37559999997</v>
      </c>
      <c r="R722" s="66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>
      <c r="A723" s="54"/>
      <c r="B723" s="10">
        <v>45862</v>
      </c>
      <c r="C723" s="11">
        <f>VLOOKUP(B:B,'Курс валют'!A:D,4,0)</f>
        <v>91.789699999999996</v>
      </c>
      <c r="D723" s="57" t="s">
        <v>2293</v>
      </c>
      <c r="E723" s="55" t="s">
        <v>2221</v>
      </c>
      <c r="F723" s="58">
        <v>2200</v>
      </c>
      <c r="G723" s="58">
        <v>2234.6</v>
      </c>
      <c r="H723" s="56">
        <v>0</v>
      </c>
      <c r="I723" s="58">
        <f t="shared" si="81"/>
        <v>34.599999999999909</v>
      </c>
      <c r="J723" s="14">
        <f t="shared" si="82"/>
        <v>1.5727272727272688</v>
      </c>
      <c r="K723" s="56">
        <v>2.34</v>
      </c>
      <c r="L723" s="15">
        <f t="shared" si="84"/>
        <v>0</v>
      </c>
      <c r="M723" s="16">
        <f t="shared" si="83"/>
        <v>214.78789799999998</v>
      </c>
      <c r="N723" s="17">
        <f t="shared" si="87"/>
        <v>2.34</v>
      </c>
      <c r="O723" s="17">
        <f t="shared" si="85"/>
        <v>5148</v>
      </c>
      <c r="P723" s="18">
        <f t="shared" si="86"/>
        <v>472533.37559999997</v>
      </c>
      <c r="R723" s="66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>
      <c r="A724" s="54"/>
      <c r="B724" s="10">
        <v>45862</v>
      </c>
      <c r="C724" s="11">
        <f>VLOOKUP(B:B,'Курс валют'!A:D,4,0)</f>
        <v>91.789699999999996</v>
      </c>
      <c r="D724" s="57" t="s">
        <v>2294</v>
      </c>
      <c r="E724" s="55" t="s">
        <v>101</v>
      </c>
      <c r="F724" s="58">
        <v>2000</v>
      </c>
      <c r="G724" s="58">
        <v>2031.6</v>
      </c>
      <c r="H724" s="56">
        <v>0</v>
      </c>
      <c r="I724" s="58">
        <f t="shared" si="81"/>
        <v>31.599999999999909</v>
      </c>
      <c r="J724" s="14">
        <f t="shared" si="82"/>
        <v>1.5799999999999952</v>
      </c>
      <c r="K724" s="56">
        <v>2.81</v>
      </c>
      <c r="L724" s="15">
        <f t="shared" si="84"/>
        <v>0</v>
      </c>
      <c r="M724" s="16">
        <f t="shared" si="83"/>
        <v>257.929057</v>
      </c>
      <c r="N724" s="17">
        <f t="shared" si="87"/>
        <v>2.81</v>
      </c>
      <c r="O724" s="17">
        <f t="shared" si="85"/>
        <v>5620</v>
      </c>
      <c r="P724" s="18">
        <f t="shared" si="86"/>
        <v>515858.114</v>
      </c>
      <c r="R724" s="66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>
      <c r="A725" s="54"/>
      <c r="B725" s="10">
        <v>45862</v>
      </c>
      <c r="C725" s="11">
        <f>VLOOKUP(B:B,'Курс валют'!A:D,4,0)</f>
        <v>91.789699999999996</v>
      </c>
      <c r="D725" s="57" t="s">
        <v>2295</v>
      </c>
      <c r="E725" s="55" t="s">
        <v>58</v>
      </c>
      <c r="F725" s="58">
        <v>2200</v>
      </c>
      <c r="G725" s="58">
        <v>2241.1999999999998</v>
      </c>
      <c r="H725" s="56">
        <v>40.6</v>
      </c>
      <c r="I725" s="58">
        <f t="shared" si="81"/>
        <v>41.199999999999818</v>
      </c>
      <c r="J725" s="14">
        <f t="shared" si="82"/>
        <v>1.8727272727272644</v>
      </c>
      <c r="K725" s="56">
        <v>2.5499999999999998</v>
      </c>
      <c r="L725" s="15">
        <f t="shared" si="84"/>
        <v>1.8454545454545457</v>
      </c>
      <c r="M725" s="16">
        <f t="shared" si="83"/>
        <v>228.91416593963635</v>
      </c>
      <c r="N725" s="17">
        <f t="shared" si="87"/>
        <v>2.493898181818182</v>
      </c>
      <c r="O725" s="17">
        <f t="shared" si="85"/>
        <v>5486.576</v>
      </c>
      <c r="P725" s="18">
        <f t="shared" si="86"/>
        <v>503611.16506719997</v>
      </c>
      <c r="R725" s="66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>
      <c r="A726" s="54"/>
      <c r="B726" s="10">
        <v>45863</v>
      </c>
      <c r="C726" s="11">
        <f>VLOOKUP(B:B,'Курс валют'!A:D,4,0)</f>
        <v>93.336200000000005</v>
      </c>
      <c r="D726" s="57" t="s">
        <v>2296</v>
      </c>
      <c r="E726" s="55" t="s">
        <v>60</v>
      </c>
      <c r="F726" s="58">
        <v>2250</v>
      </c>
      <c r="G726" s="58">
        <v>2286.9</v>
      </c>
      <c r="H726" s="56">
        <v>0</v>
      </c>
      <c r="I726" s="58">
        <f t="shared" si="81"/>
        <v>36.900000000000091</v>
      </c>
      <c r="J726" s="14">
        <f t="shared" si="82"/>
        <v>1.6400000000000039</v>
      </c>
      <c r="K726" s="56">
        <v>2.34</v>
      </c>
      <c r="L726" s="15">
        <f t="shared" si="84"/>
        <v>0</v>
      </c>
      <c r="M726" s="16">
        <f t="shared" si="83"/>
        <v>218.40670800000001</v>
      </c>
      <c r="N726" s="17">
        <f t="shared" si="87"/>
        <v>2.34</v>
      </c>
      <c r="O726" s="17">
        <f t="shared" si="85"/>
        <v>5265</v>
      </c>
      <c r="P726" s="18">
        <f t="shared" si="86"/>
        <v>491415.09300000005</v>
      </c>
      <c r="R726" s="66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>
      <c r="A727" s="54"/>
      <c r="B727" s="10">
        <v>45863</v>
      </c>
      <c r="C727" s="11">
        <f>VLOOKUP(B:B,'Курс валют'!A:D,4,0)</f>
        <v>93.336200000000005</v>
      </c>
      <c r="D727" s="57" t="s">
        <v>2297</v>
      </c>
      <c r="E727" s="55" t="s">
        <v>104</v>
      </c>
      <c r="F727" s="58">
        <v>2220</v>
      </c>
      <c r="G727" s="58">
        <v>2247.9</v>
      </c>
      <c r="H727" s="56">
        <v>0</v>
      </c>
      <c r="I727" s="58">
        <f t="shared" si="81"/>
        <v>27.900000000000091</v>
      </c>
      <c r="J727" s="14">
        <f t="shared" si="82"/>
        <v>1.256756756756761</v>
      </c>
      <c r="K727" s="56">
        <v>2.7</v>
      </c>
      <c r="L727" s="15">
        <f t="shared" si="84"/>
        <v>0</v>
      </c>
      <c r="M727" s="16">
        <f t="shared" si="83"/>
        <v>252.00774000000004</v>
      </c>
      <c r="N727" s="17">
        <f t="shared" si="87"/>
        <v>2.7</v>
      </c>
      <c r="O727" s="17">
        <f t="shared" si="85"/>
        <v>5994</v>
      </c>
      <c r="P727" s="18">
        <f t="shared" si="86"/>
        <v>559457.18280000007</v>
      </c>
      <c r="R727" s="66" t="s">
        <v>2298</v>
      </c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>
      <c r="A728" s="54"/>
      <c r="B728" s="10">
        <v>45863</v>
      </c>
      <c r="C728" s="11">
        <f>VLOOKUP(B:B,'Курс валют'!A:D,4,0)</f>
        <v>93.336200000000005</v>
      </c>
      <c r="D728" s="57" t="s">
        <v>2299</v>
      </c>
      <c r="E728" s="55" t="s">
        <v>2116</v>
      </c>
      <c r="F728" s="58">
        <v>6240</v>
      </c>
      <c r="G728" s="58">
        <v>6302.4</v>
      </c>
      <c r="H728" s="56">
        <v>0</v>
      </c>
      <c r="I728" s="58">
        <f t="shared" si="81"/>
        <v>62.399999999999636</v>
      </c>
      <c r="J728" s="14">
        <f t="shared" si="82"/>
        <v>0.99999999999999412</v>
      </c>
      <c r="K728" s="56">
        <v>2.2000000000000002</v>
      </c>
      <c r="L728" s="15">
        <f t="shared" si="84"/>
        <v>0</v>
      </c>
      <c r="M728" s="16">
        <f t="shared" si="83"/>
        <v>205.33964000000003</v>
      </c>
      <c r="N728" s="17">
        <f t="shared" si="87"/>
        <v>2.2000000000000002</v>
      </c>
      <c r="O728" s="17">
        <f t="shared" si="85"/>
        <v>13728.000000000002</v>
      </c>
      <c r="P728" s="18">
        <f t="shared" si="86"/>
        <v>1281319.3536000003</v>
      </c>
      <c r="R728" s="66" t="s">
        <v>2300</v>
      </c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>
      <c r="A729" s="54"/>
      <c r="B729" s="10">
        <v>45864</v>
      </c>
      <c r="C729" s="11">
        <f>VLOOKUP(B:B,'Курс валют'!A:D,4,0)</f>
        <v>93.350800000000007</v>
      </c>
      <c r="D729" s="57" t="s">
        <v>2301</v>
      </c>
      <c r="E729" s="55" t="s">
        <v>15</v>
      </c>
      <c r="F729" s="58">
        <v>8800</v>
      </c>
      <c r="G729" s="58">
        <v>8956</v>
      </c>
      <c r="H729" s="56">
        <v>162.4</v>
      </c>
      <c r="I729" s="58">
        <f t="shared" si="81"/>
        <v>156</v>
      </c>
      <c r="J729" s="14">
        <f t="shared" si="82"/>
        <v>1.7727272727272727</v>
      </c>
      <c r="K729" s="56">
        <v>2.52</v>
      </c>
      <c r="L729" s="15">
        <f t="shared" si="84"/>
        <v>1.8454545454545457</v>
      </c>
      <c r="M729" s="16">
        <f t="shared" si="83"/>
        <v>230.00686639127275</v>
      </c>
      <c r="N729" s="17">
        <f t="shared" si="87"/>
        <v>2.4638981818181818</v>
      </c>
      <c r="O729" s="17">
        <f t="shared" si="85"/>
        <v>21682.304</v>
      </c>
      <c r="P729" s="18">
        <f t="shared" si="86"/>
        <v>2024060.4242432001</v>
      </c>
      <c r="R729" s="66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>
      <c r="A730" s="54"/>
      <c r="B730" s="10">
        <v>45864</v>
      </c>
      <c r="C730" s="11">
        <f>VLOOKUP(B:B,'Курс валют'!A:D,4,0)</f>
        <v>93.350800000000007</v>
      </c>
      <c r="D730" s="57" t="s">
        <v>2302</v>
      </c>
      <c r="E730" s="55" t="s">
        <v>60</v>
      </c>
      <c r="F730" s="58">
        <v>2250</v>
      </c>
      <c r="G730" s="58">
        <v>2293.1</v>
      </c>
      <c r="H730" s="56">
        <v>0</v>
      </c>
      <c r="I730" s="58">
        <f t="shared" si="81"/>
        <v>43.099999999999909</v>
      </c>
      <c r="J730" s="14">
        <f t="shared" si="82"/>
        <v>1.9155555555555517</v>
      </c>
      <c r="K730" s="56">
        <v>2.35</v>
      </c>
      <c r="L730" s="15">
        <f t="shared" si="84"/>
        <v>0</v>
      </c>
      <c r="M730" s="16">
        <f t="shared" si="83"/>
        <v>219.37438000000003</v>
      </c>
      <c r="N730" s="17">
        <f t="shared" si="87"/>
        <v>2.35</v>
      </c>
      <c r="O730" s="17">
        <f t="shared" si="85"/>
        <v>5287.5</v>
      </c>
      <c r="P730" s="18">
        <f t="shared" si="86"/>
        <v>493592.35500000004</v>
      </c>
      <c r="R730" s="66" t="s">
        <v>2303</v>
      </c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>
      <c r="A731" s="54"/>
      <c r="B731" s="10">
        <v>45864</v>
      </c>
      <c r="C731" s="11">
        <f>VLOOKUP(B:B,'Курс валют'!A:D,4,0)</f>
        <v>93.350800000000007</v>
      </c>
      <c r="D731" s="57" t="s">
        <v>2304</v>
      </c>
      <c r="E731" s="55" t="s">
        <v>104</v>
      </c>
      <c r="F731" s="58">
        <v>2220</v>
      </c>
      <c r="G731" s="58">
        <v>2242.7800000000002</v>
      </c>
      <c r="H731" s="56">
        <v>0</v>
      </c>
      <c r="I731" s="58">
        <f t="shared" si="81"/>
        <v>22.7800000000002</v>
      </c>
      <c r="J731" s="14">
        <f t="shared" si="82"/>
        <v>1.0261261261261352</v>
      </c>
      <c r="K731" s="56">
        <v>2.75</v>
      </c>
      <c r="L731" s="15">
        <f t="shared" si="84"/>
        <v>0</v>
      </c>
      <c r="M731" s="16">
        <f t="shared" si="83"/>
        <v>256.71470000000005</v>
      </c>
      <c r="N731" s="17">
        <f t="shared" si="87"/>
        <v>2.75</v>
      </c>
      <c r="O731" s="17">
        <f t="shared" si="85"/>
        <v>6105</v>
      </c>
      <c r="P731" s="18">
        <f t="shared" si="86"/>
        <v>569906.63400000008</v>
      </c>
      <c r="R731" s="66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>
      <c r="A732" s="54"/>
      <c r="B732" s="10">
        <v>45865</v>
      </c>
      <c r="C732" s="11">
        <f>VLOOKUP(B:B,'Курс валют'!A:D,4,0)</f>
        <v>93.350800000000007</v>
      </c>
      <c r="D732" s="57" t="s">
        <v>2305</v>
      </c>
      <c r="E732" s="55" t="s">
        <v>15</v>
      </c>
      <c r="F732" s="58">
        <v>8800</v>
      </c>
      <c r="G732" s="58">
        <v>8956</v>
      </c>
      <c r="H732" s="56">
        <v>162.4</v>
      </c>
      <c r="I732" s="58">
        <f t="shared" si="81"/>
        <v>156</v>
      </c>
      <c r="J732" s="14">
        <f t="shared" si="82"/>
        <v>1.7727272727272727</v>
      </c>
      <c r="K732" s="56">
        <v>2.48</v>
      </c>
      <c r="L732" s="15">
        <f t="shared" si="84"/>
        <v>1.8454545454545457</v>
      </c>
      <c r="M732" s="16">
        <f t="shared" si="83"/>
        <v>226.27283439127274</v>
      </c>
      <c r="N732" s="17">
        <f t="shared" si="87"/>
        <v>2.4238981818181817</v>
      </c>
      <c r="O732" s="17">
        <f t="shared" si="85"/>
        <v>21330.304</v>
      </c>
      <c r="P732" s="18">
        <f t="shared" si="86"/>
        <v>1991200.9426432</v>
      </c>
      <c r="R732" s="66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>
      <c r="A733" s="54"/>
      <c r="B733" s="10">
        <v>45865</v>
      </c>
      <c r="C733" s="11">
        <f>VLOOKUP(B:B,'Курс валют'!A:D,4,0)</f>
        <v>93.350800000000007</v>
      </c>
      <c r="D733" s="57" t="s">
        <v>2306</v>
      </c>
      <c r="E733" s="50" t="s">
        <v>60</v>
      </c>
      <c r="F733" s="58">
        <v>2250</v>
      </c>
      <c r="G733" s="58">
        <v>2293.1</v>
      </c>
      <c r="H733" s="56">
        <v>0</v>
      </c>
      <c r="I733" s="58">
        <f t="shared" si="81"/>
        <v>43.099999999999909</v>
      </c>
      <c r="J733" s="14">
        <f t="shared" si="82"/>
        <v>1.9155555555555517</v>
      </c>
      <c r="K733" s="56">
        <v>2.3199999999999998</v>
      </c>
      <c r="L733" s="15">
        <f t="shared" si="84"/>
        <v>0</v>
      </c>
      <c r="M733" s="16">
        <f t="shared" si="83"/>
        <v>216.57385600000001</v>
      </c>
      <c r="N733" s="17">
        <f t="shared" si="87"/>
        <v>2.3199999999999998</v>
      </c>
      <c r="O733" s="17">
        <f t="shared" si="85"/>
        <v>5220</v>
      </c>
      <c r="P733" s="18">
        <f t="shared" si="86"/>
        <v>487291.17600000004</v>
      </c>
      <c r="R733" s="66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>
      <c r="A734" s="54"/>
      <c r="B734" s="10">
        <v>45865</v>
      </c>
      <c r="C734" s="11">
        <f>VLOOKUP(B:B,'Курс валют'!A:D,4,0)</f>
        <v>93.350800000000007</v>
      </c>
      <c r="D734" s="57" t="s">
        <v>2307</v>
      </c>
      <c r="E734" s="50" t="s">
        <v>104</v>
      </c>
      <c r="F734" s="58">
        <v>2160</v>
      </c>
      <c r="G734" s="58">
        <v>2187.83</v>
      </c>
      <c r="H734" s="56">
        <v>0</v>
      </c>
      <c r="I734" s="58">
        <f t="shared" si="81"/>
        <v>27.829999999999927</v>
      </c>
      <c r="J734" s="14">
        <f t="shared" si="82"/>
        <v>1.2884259259259225</v>
      </c>
      <c r="K734" s="56">
        <v>2.71</v>
      </c>
      <c r="L734" s="15">
        <f t="shared" si="84"/>
        <v>0</v>
      </c>
      <c r="M734" s="16">
        <f t="shared" si="83"/>
        <v>252.98066800000001</v>
      </c>
      <c r="N734" s="17">
        <f t="shared" si="87"/>
        <v>2.71</v>
      </c>
      <c r="O734" s="17">
        <f t="shared" si="85"/>
        <v>5853.6</v>
      </c>
      <c r="P734" s="18">
        <f t="shared" si="86"/>
        <v>546438.24288000003</v>
      </c>
      <c r="R734" s="66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>
      <c r="A735" s="54"/>
      <c r="B735" s="10">
        <v>45866</v>
      </c>
      <c r="C735" s="11">
        <f>VLOOKUP(B:B,'Курс валют'!A:D,4,0)</f>
        <v>93.350800000000007</v>
      </c>
      <c r="D735" s="57" t="s">
        <v>2308</v>
      </c>
      <c r="E735" s="50" t="s">
        <v>2116</v>
      </c>
      <c r="F735" s="58">
        <v>2700</v>
      </c>
      <c r="G735" s="58">
        <v>2727</v>
      </c>
      <c r="H735" s="56">
        <v>0</v>
      </c>
      <c r="I735" s="58">
        <f t="shared" si="81"/>
        <v>27</v>
      </c>
      <c r="J735" s="14">
        <f t="shared" si="82"/>
        <v>1</v>
      </c>
      <c r="K735" s="56">
        <v>2.09</v>
      </c>
      <c r="L735" s="15">
        <f t="shared" si="84"/>
        <v>0</v>
      </c>
      <c r="M735" s="16">
        <f t="shared" si="83"/>
        <v>195.103172</v>
      </c>
      <c r="N735" s="17">
        <f t="shared" si="87"/>
        <v>2.09</v>
      </c>
      <c r="O735" s="17">
        <f t="shared" si="85"/>
        <v>5643</v>
      </c>
      <c r="P735" s="18">
        <f t="shared" si="86"/>
        <v>526778.56440000003</v>
      </c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>
      <c r="A736" s="54"/>
      <c r="B736" s="10">
        <v>45866</v>
      </c>
      <c r="C736" s="11">
        <f>VLOOKUP(B:B,'Курс валют'!A:D,4,0)</f>
        <v>93.350800000000007</v>
      </c>
      <c r="D736" s="57" t="s">
        <v>2309</v>
      </c>
      <c r="E736" s="50" t="s">
        <v>2116</v>
      </c>
      <c r="F736" s="58">
        <v>810</v>
      </c>
      <c r="G736" s="58">
        <v>818.1</v>
      </c>
      <c r="H736" s="56">
        <v>0</v>
      </c>
      <c r="I736" s="58">
        <f t="shared" si="81"/>
        <v>8.1000000000000227</v>
      </c>
      <c r="J736" s="14">
        <f t="shared" si="82"/>
        <v>1.0000000000000029</v>
      </c>
      <c r="K736" s="56">
        <v>2.09</v>
      </c>
      <c r="L736" s="15">
        <f t="shared" si="84"/>
        <v>0</v>
      </c>
      <c r="M736" s="16">
        <f t="shared" si="83"/>
        <v>195.103172</v>
      </c>
      <c r="N736" s="17">
        <f t="shared" si="87"/>
        <v>2.09</v>
      </c>
      <c r="O736" s="17">
        <f t="shared" si="85"/>
        <v>1692.8999999999999</v>
      </c>
      <c r="P736" s="18">
        <f t="shared" si="86"/>
        <v>158033.56932000001</v>
      </c>
      <c r="R736" s="66" t="s">
        <v>2310</v>
      </c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>
      <c r="A737" s="54"/>
      <c r="B737" s="10">
        <v>45866</v>
      </c>
      <c r="C737" s="11">
        <f>VLOOKUP(B:B,'Курс валют'!A:D,4,0)</f>
        <v>93.350800000000007</v>
      </c>
      <c r="D737" s="57" t="s">
        <v>2311</v>
      </c>
      <c r="E737" s="50" t="s">
        <v>60</v>
      </c>
      <c r="F737" s="58">
        <v>2250</v>
      </c>
      <c r="G737" s="58">
        <v>2293.1</v>
      </c>
      <c r="H737" s="56">
        <v>0</v>
      </c>
      <c r="I737" s="58">
        <f t="shared" si="81"/>
        <v>43.099999999999909</v>
      </c>
      <c r="J737" s="14">
        <f t="shared" si="82"/>
        <v>1.9155555555555517</v>
      </c>
      <c r="K737" s="56">
        <v>2.23</v>
      </c>
      <c r="L737" s="15">
        <f t="shared" si="84"/>
        <v>0</v>
      </c>
      <c r="M737" s="16">
        <f t="shared" si="83"/>
        <v>208.17228400000002</v>
      </c>
      <c r="N737" s="17">
        <f t="shared" si="87"/>
        <v>2.23</v>
      </c>
      <c r="O737" s="17">
        <f t="shared" si="85"/>
        <v>5017.5</v>
      </c>
      <c r="P737" s="18">
        <f t="shared" si="86"/>
        <v>468387.63900000002</v>
      </c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>
      <c r="A738" s="54"/>
      <c r="B738" s="10">
        <v>45866</v>
      </c>
      <c r="C738" s="11">
        <f>VLOOKUP(B:B,'Курс валют'!A:D,4,0)</f>
        <v>93.350800000000007</v>
      </c>
      <c r="D738" s="57" t="s">
        <v>2312</v>
      </c>
      <c r="E738" s="50" t="s">
        <v>104</v>
      </c>
      <c r="F738" s="58">
        <v>960</v>
      </c>
      <c r="G738" s="58">
        <v>971.1</v>
      </c>
      <c r="H738" s="56">
        <v>0</v>
      </c>
      <c r="I738" s="58">
        <f t="shared" si="81"/>
        <v>11.100000000000023</v>
      </c>
      <c r="J738" s="14">
        <f t="shared" si="82"/>
        <v>1.1562500000000024</v>
      </c>
      <c r="K738" s="56">
        <v>2.69</v>
      </c>
      <c r="L738" s="15">
        <f t="shared" si="84"/>
        <v>0</v>
      </c>
      <c r="M738" s="16">
        <f t="shared" si="83"/>
        <v>251.11365200000003</v>
      </c>
      <c r="N738" s="17">
        <f t="shared" si="87"/>
        <v>2.69</v>
      </c>
      <c r="O738" s="17">
        <f t="shared" si="85"/>
        <v>2582.4</v>
      </c>
      <c r="P738" s="18">
        <f t="shared" si="86"/>
        <v>241069.10592000003</v>
      </c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>
      <c r="A739" s="54"/>
      <c r="B739" s="10">
        <v>45867</v>
      </c>
      <c r="C739" s="11">
        <f>VLOOKUP(B:B,'Курс валют'!A:D,4,0)</f>
        <v>93.206000000000003</v>
      </c>
      <c r="D739" s="57" t="s">
        <v>2313</v>
      </c>
      <c r="E739" s="50" t="s">
        <v>2209</v>
      </c>
      <c r="F739" s="58">
        <v>8000</v>
      </c>
      <c r="G739" s="58">
        <v>8119.7</v>
      </c>
      <c r="H739" s="56">
        <v>771.4</v>
      </c>
      <c r="I739" s="58">
        <f t="shared" si="81"/>
        <v>119.69999999999982</v>
      </c>
      <c r="J739" s="14">
        <f t="shared" si="82"/>
        <v>1.4962499999999979</v>
      </c>
      <c r="K739" s="56">
        <v>1.95</v>
      </c>
      <c r="L739" s="15">
        <f t="shared" si="84"/>
        <v>9.6425000000000001</v>
      </c>
      <c r="M739" s="16">
        <f t="shared" si="83"/>
        <v>154.43003880800001</v>
      </c>
      <c r="N739" s="17">
        <f t="shared" si="87"/>
        <v>1.656868</v>
      </c>
      <c r="O739" s="17">
        <f t="shared" si="85"/>
        <v>13254.944</v>
      </c>
      <c r="P739" s="18">
        <f t="shared" si="86"/>
        <v>1235440.3104640001</v>
      </c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>
      <c r="A740" s="54"/>
      <c r="B740" s="10">
        <v>45867</v>
      </c>
      <c r="C740" s="11">
        <f>VLOOKUP(B:B,'Курс валют'!A:D,4,0)</f>
        <v>93.206000000000003</v>
      </c>
      <c r="D740" s="57" t="s">
        <v>2314</v>
      </c>
      <c r="E740" s="50" t="s">
        <v>60</v>
      </c>
      <c r="F740" s="58">
        <v>2250</v>
      </c>
      <c r="G740" s="58">
        <v>2289.08</v>
      </c>
      <c r="H740" s="56">
        <v>0</v>
      </c>
      <c r="I740" s="58">
        <f t="shared" si="81"/>
        <v>39.079999999999927</v>
      </c>
      <c r="J740" s="14">
        <f t="shared" si="82"/>
        <v>1.7368888888888858</v>
      </c>
      <c r="K740" s="56">
        <v>2.2200000000000002</v>
      </c>
      <c r="L740" s="15">
        <f t="shared" si="84"/>
        <v>0</v>
      </c>
      <c r="M740" s="16">
        <f t="shared" si="83"/>
        <v>206.91732000000002</v>
      </c>
      <c r="N740" s="17">
        <f t="shared" si="87"/>
        <v>2.2200000000000002</v>
      </c>
      <c r="O740" s="17">
        <f t="shared" si="85"/>
        <v>4995</v>
      </c>
      <c r="P740" s="18">
        <f t="shared" si="86"/>
        <v>465563.97000000003</v>
      </c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>
      <c r="A741" s="54"/>
      <c r="B741" s="10">
        <v>45867</v>
      </c>
      <c r="C741" s="11">
        <f>VLOOKUP(B:B,'Курс валют'!A:D,4,0)</f>
        <v>93.206000000000003</v>
      </c>
      <c r="D741" s="57" t="s">
        <v>2315</v>
      </c>
      <c r="E741" s="50" t="s">
        <v>204</v>
      </c>
      <c r="F741" s="58">
        <v>220</v>
      </c>
      <c r="G741" s="58">
        <v>220</v>
      </c>
      <c r="H741" s="56">
        <v>0</v>
      </c>
      <c r="I741" s="58">
        <f t="shared" si="81"/>
        <v>0</v>
      </c>
      <c r="J741" s="14">
        <f t="shared" si="82"/>
        <v>0</v>
      </c>
      <c r="K741" s="56">
        <v>2.76</v>
      </c>
      <c r="L741" s="15">
        <f t="shared" si="84"/>
        <v>0</v>
      </c>
      <c r="M741" s="16">
        <f t="shared" si="83"/>
        <v>257.24855999999994</v>
      </c>
      <c r="N741" s="17">
        <f t="shared" si="87"/>
        <v>2.76</v>
      </c>
      <c r="O741" s="17">
        <f t="shared" si="85"/>
        <v>607.19999999999993</v>
      </c>
      <c r="P741" s="18">
        <f t="shared" si="86"/>
        <v>56594.683199999992</v>
      </c>
      <c r="R741" s="66" t="s">
        <v>1267</v>
      </c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>
      <c r="A742" s="54"/>
      <c r="B742" s="10">
        <v>45868</v>
      </c>
      <c r="C742" s="11">
        <f>VLOOKUP(B:B,'Курс валют'!A:D,4,0)</f>
        <v>94.997600000000006</v>
      </c>
      <c r="D742" s="57" t="s">
        <v>2316</v>
      </c>
      <c r="E742" s="50" t="s">
        <v>50</v>
      </c>
      <c r="F742" s="58">
        <v>8000</v>
      </c>
      <c r="G742" s="58">
        <v>8140.6</v>
      </c>
      <c r="H742" s="56">
        <v>0</v>
      </c>
      <c r="I742" s="58">
        <f t="shared" si="81"/>
        <v>140.60000000000036</v>
      </c>
      <c r="J742" s="14">
        <f t="shared" si="82"/>
        <v>1.7575000000000045</v>
      </c>
      <c r="K742" s="56">
        <v>3.2</v>
      </c>
      <c r="L742" s="15">
        <f t="shared" si="84"/>
        <v>0</v>
      </c>
      <c r="M742" s="16">
        <f t="shared" si="83"/>
        <v>303.99232000000001</v>
      </c>
      <c r="N742" s="17">
        <f t="shared" si="87"/>
        <v>3.2</v>
      </c>
      <c r="O742" s="17">
        <f t="shared" si="85"/>
        <v>25600</v>
      </c>
      <c r="P742" s="18">
        <f t="shared" si="86"/>
        <v>2431938.5600000001</v>
      </c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>
      <c r="A743" s="54"/>
      <c r="B743" s="10">
        <v>45868</v>
      </c>
      <c r="C743" s="11">
        <f>VLOOKUP(B:B,'Курс валют'!A:D,4,0)</f>
        <v>94.997600000000006</v>
      </c>
      <c r="D743" s="57" t="s">
        <v>2317</v>
      </c>
      <c r="E743" s="50" t="s">
        <v>60</v>
      </c>
      <c r="F743" s="58">
        <v>2250</v>
      </c>
      <c r="G743" s="58">
        <v>2288.42</v>
      </c>
      <c r="H743" s="56">
        <v>0</v>
      </c>
      <c r="I743" s="58">
        <f t="shared" si="81"/>
        <v>38.420000000000073</v>
      </c>
      <c r="J743" s="14">
        <f t="shared" si="82"/>
        <v>1.7075555555555586</v>
      </c>
      <c r="K743" s="56">
        <v>2.23</v>
      </c>
      <c r="L743" s="15">
        <f t="shared" si="84"/>
        <v>0</v>
      </c>
      <c r="M743" s="16">
        <f t="shared" si="83"/>
        <v>211.84464800000001</v>
      </c>
      <c r="N743" s="17">
        <f t="shared" si="87"/>
        <v>2.23</v>
      </c>
      <c r="O743" s="17">
        <f t="shared" si="85"/>
        <v>5017.5</v>
      </c>
      <c r="P743" s="18">
        <f t="shared" si="86"/>
        <v>476650.45800000004</v>
      </c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>
      <c r="A744" s="54"/>
      <c r="B744" s="10">
        <v>45869</v>
      </c>
      <c r="C744" s="11">
        <f>VLOOKUP(B:B,'Курс валют'!A:D,4,0)</f>
        <v>94.951400000000007</v>
      </c>
      <c r="D744" s="57" t="s">
        <v>2318</v>
      </c>
      <c r="E744" s="50" t="s">
        <v>102</v>
      </c>
      <c r="F744" s="58">
        <v>19.32</v>
      </c>
      <c r="G744" s="58">
        <v>22.15</v>
      </c>
      <c r="H744" s="56">
        <v>0</v>
      </c>
      <c r="I744" s="58">
        <f t="shared" si="81"/>
        <v>2.8299999999999983</v>
      </c>
      <c r="J744" s="14">
        <f t="shared" si="82"/>
        <v>14.648033126293985</v>
      </c>
      <c r="K744" s="56">
        <v>2.21</v>
      </c>
      <c r="L744" s="15">
        <f t="shared" si="84"/>
        <v>0</v>
      </c>
      <c r="M744" s="16">
        <f t="shared" si="83"/>
        <v>209.84259400000002</v>
      </c>
      <c r="N744" s="17">
        <f t="shared" si="87"/>
        <v>2.21</v>
      </c>
      <c r="O744" s="17">
        <f t="shared" si="85"/>
        <v>42.697200000000002</v>
      </c>
      <c r="P744" s="18">
        <f t="shared" si="86"/>
        <v>4054.1589160800004</v>
      </c>
      <c r="R744" s="66" t="s">
        <v>2319</v>
      </c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>
      <c r="A745" s="54"/>
      <c r="B745" s="10">
        <v>45869</v>
      </c>
      <c r="C745" s="11">
        <f>VLOOKUP(B:B,'Курс валют'!A:D,4,0)</f>
        <v>94.951400000000007</v>
      </c>
      <c r="D745" s="57" t="s">
        <v>2320</v>
      </c>
      <c r="E745" s="50" t="s">
        <v>60</v>
      </c>
      <c r="F745" s="58">
        <v>2250</v>
      </c>
      <c r="G745" s="58">
        <v>2288.38</v>
      </c>
      <c r="H745" s="56">
        <v>0</v>
      </c>
      <c r="I745" s="58">
        <f t="shared" si="81"/>
        <v>38.380000000000109</v>
      </c>
      <c r="J745" s="14">
        <f t="shared" si="82"/>
        <v>1.7057777777777827</v>
      </c>
      <c r="K745" s="56">
        <v>2.23</v>
      </c>
      <c r="L745" s="15">
        <f t="shared" si="84"/>
        <v>0</v>
      </c>
      <c r="M745" s="16">
        <f t="shared" si="83"/>
        <v>211.74162200000004</v>
      </c>
      <c r="N745" s="17">
        <f t="shared" si="87"/>
        <v>2.23</v>
      </c>
      <c r="O745" s="17">
        <f t="shared" si="85"/>
        <v>5017.5</v>
      </c>
      <c r="P745" s="18">
        <f t="shared" si="86"/>
        <v>476418.64950000006</v>
      </c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>
      <c r="A746" s="54"/>
      <c r="B746" s="10">
        <v>45869</v>
      </c>
      <c r="C746" s="11">
        <f>VLOOKUP(B:B,'Курс валют'!A:D,4,0)</f>
        <v>94.951400000000007</v>
      </c>
      <c r="D746" s="57" t="s">
        <v>2321</v>
      </c>
      <c r="E746" s="50" t="s">
        <v>15</v>
      </c>
      <c r="F746" s="58">
        <v>8800</v>
      </c>
      <c r="G746" s="58">
        <v>8956</v>
      </c>
      <c r="H746" s="56">
        <v>162.4</v>
      </c>
      <c r="I746" s="58">
        <f t="shared" si="81"/>
        <v>156</v>
      </c>
      <c r="J746" s="14">
        <f t="shared" si="82"/>
        <v>1.7727272727272727</v>
      </c>
      <c r="K746" s="56">
        <v>2.48</v>
      </c>
      <c r="L746" s="15">
        <f t="shared" si="84"/>
        <v>1.8454545454545457</v>
      </c>
      <c r="M746" s="16">
        <f t="shared" si="83"/>
        <v>230.1525258210909</v>
      </c>
      <c r="N746" s="17">
        <f t="shared" si="87"/>
        <v>2.4238981818181817</v>
      </c>
      <c r="O746" s="17">
        <f t="shared" si="85"/>
        <v>21330.304</v>
      </c>
      <c r="P746" s="18">
        <f t="shared" si="86"/>
        <v>2025342.2272256</v>
      </c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>
      <c r="A747" s="10"/>
      <c r="B747" s="10">
        <v>45870</v>
      </c>
      <c r="C747" s="11">
        <f>VLOOKUP(B:B,'Курс валют'!A:D,4,0)</f>
        <v>91.875100000000003</v>
      </c>
      <c r="D747" s="45" t="s">
        <v>2157</v>
      </c>
      <c r="E747" s="62" t="s">
        <v>15</v>
      </c>
      <c r="F747" s="11">
        <v>8800</v>
      </c>
      <c r="G747" s="11">
        <v>8956</v>
      </c>
      <c r="H747" s="56">
        <v>158.34</v>
      </c>
      <c r="I747" s="58">
        <f t="shared" ref="I747:I810" si="88">G747-F747</f>
        <v>156</v>
      </c>
      <c r="J747" s="14">
        <f t="shared" ref="J747:J756" si="89">I747/F747*100</f>
        <v>1.7727272727272727</v>
      </c>
      <c r="K747" s="46">
        <v>2.46</v>
      </c>
      <c r="L747" s="15">
        <f t="shared" ref="L747:L810" si="90">H747/F747*100</f>
        <v>1.7993181818181818</v>
      </c>
      <c r="M747" s="16">
        <f t="shared" ref="M747:M810" si="91">P747/F747</f>
        <v>220.98724484825456</v>
      </c>
      <c r="N747" s="17">
        <f t="shared" si="87"/>
        <v>2.4053007272727274</v>
      </c>
      <c r="O747" s="17">
        <f t="shared" ref="O747:O810" si="92">N747*F747</f>
        <v>21166.646400000001</v>
      </c>
      <c r="P747" s="18">
        <f t="shared" ref="P747:P810" si="93">O747*C747</f>
        <v>1944687.7546646402</v>
      </c>
      <c r="R747" s="66"/>
      <c r="S747" s="19"/>
      <c r="T747" s="20"/>
      <c r="U747" s="20"/>
      <c r="V747" s="20"/>
      <c r="W747" s="20"/>
      <c r="X747" s="20"/>
      <c r="Y747" s="20"/>
      <c r="Z747" s="20"/>
      <c r="AA747" s="20"/>
    </row>
    <row r="748" spans="1:27" ht="12.75">
      <c r="A748" s="10"/>
      <c r="B748" s="10">
        <v>45870</v>
      </c>
      <c r="C748" s="11">
        <f>VLOOKUP(B:B,'Курс валют'!A:D,4,0)</f>
        <v>91.875100000000003</v>
      </c>
      <c r="D748" s="57" t="s">
        <v>2158</v>
      </c>
      <c r="E748" s="62" t="s">
        <v>125</v>
      </c>
      <c r="F748" s="58">
        <v>2200</v>
      </c>
      <c r="G748" s="58">
        <v>2235</v>
      </c>
      <c r="H748" s="56">
        <v>0</v>
      </c>
      <c r="I748" s="58">
        <f t="shared" si="88"/>
        <v>35</v>
      </c>
      <c r="J748" s="14">
        <f t="shared" si="89"/>
        <v>1.5909090909090908</v>
      </c>
      <c r="K748" s="56">
        <v>2</v>
      </c>
      <c r="L748" s="15">
        <f t="shared" si="90"/>
        <v>0</v>
      </c>
      <c r="M748" s="16">
        <f t="shared" si="91"/>
        <v>183.75020000000001</v>
      </c>
      <c r="N748" s="17">
        <f t="shared" si="87"/>
        <v>2</v>
      </c>
      <c r="O748" s="17">
        <f t="shared" si="92"/>
        <v>4400</v>
      </c>
      <c r="P748" s="18">
        <f t="shared" si="93"/>
        <v>404250.44</v>
      </c>
      <c r="R748" s="66"/>
      <c r="S748" s="19"/>
      <c r="T748" s="20"/>
      <c r="U748" s="20"/>
      <c r="V748" s="20"/>
      <c r="W748" s="20"/>
      <c r="X748" s="20"/>
      <c r="Y748" s="20"/>
      <c r="Z748" s="20"/>
      <c r="AA748" s="20"/>
    </row>
    <row r="749" spans="1:27" ht="12.75">
      <c r="A749" s="10"/>
      <c r="B749" s="10">
        <v>45871</v>
      </c>
      <c r="C749" s="11">
        <f>VLOOKUP(B:B,'Курс валют'!A:D,4,0)</f>
        <v>91.705600000000004</v>
      </c>
      <c r="D749" s="57" t="s">
        <v>2159</v>
      </c>
      <c r="E749" s="124" t="s">
        <v>58</v>
      </c>
      <c r="F749" s="58">
        <v>8800</v>
      </c>
      <c r="G749" s="58">
        <v>8957.6</v>
      </c>
      <c r="H749" s="56">
        <v>162.4</v>
      </c>
      <c r="I749" s="58">
        <f t="shared" si="88"/>
        <v>157.60000000000036</v>
      </c>
      <c r="J749" s="14">
        <f t="shared" si="89"/>
        <v>1.790909090909095</v>
      </c>
      <c r="K749" s="56">
        <v>2.6</v>
      </c>
      <c r="L749" s="15">
        <f t="shared" si="90"/>
        <v>1.8454545454545457</v>
      </c>
      <c r="M749" s="16">
        <f t="shared" si="91"/>
        <v>233.28970910254546</v>
      </c>
      <c r="N749" s="17">
        <f t="shared" si="87"/>
        <v>2.5438981818181818</v>
      </c>
      <c r="O749" s="17">
        <f t="shared" si="92"/>
        <v>22386.304</v>
      </c>
      <c r="P749" s="18">
        <f t="shared" si="93"/>
        <v>2052949.4401024</v>
      </c>
      <c r="R749" s="66"/>
      <c r="S749" s="19"/>
      <c r="T749" s="20"/>
      <c r="U749" s="20"/>
      <c r="V749" s="20"/>
      <c r="W749" s="20"/>
      <c r="X749" s="20"/>
      <c r="Y749" s="20"/>
      <c r="Z749" s="20"/>
      <c r="AA749" s="20"/>
    </row>
    <row r="750" spans="1:27" ht="12.75">
      <c r="A750" s="10"/>
      <c r="B750" s="10">
        <v>45871</v>
      </c>
      <c r="C750" s="11">
        <f>VLOOKUP(B:B,'Курс валют'!A:D,4,0)</f>
        <v>91.705600000000004</v>
      </c>
      <c r="D750" s="57" t="s">
        <v>2160</v>
      </c>
      <c r="E750" s="50" t="s">
        <v>125</v>
      </c>
      <c r="F750" s="58">
        <v>2200</v>
      </c>
      <c r="G750" s="58">
        <v>2238.8000000000002</v>
      </c>
      <c r="H750" s="56">
        <v>0</v>
      </c>
      <c r="I750" s="58">
        <f t="shared" si="88"/>
        <v>38.800000000000182</v>
      </c>
      <c r="J750" s="14">
        <f t="shared" si="89"/>
        <v>1.7636363636363717</v>
      </c>
      <c r="K750" s="56">
        <v>1.98</v>
      </c>
      <c r="L750" s="15">
        <f t="shared" si="90"/>
        <v>0</v>
      </c>
      <c r="M750" s="16">
        <f t="shared" si="91"/>
        <v>181.577088</v>
      </c>
      <c r="N750" s="17">
        <f t="shared" si="87"/>
        <v>1.98</v>
      </c>
      <c r="O750" s="17">
        <f t="shared" si="92"/>
        <v>4356</v>
      </c>
      <c r="P750" s="18">
        <f t="shared" si="93"/>
        <v>399469.59360000002</v>
      </c>
      <c r="R750" s="66"/>
      <c r="S750" s="19"/>
      <c r="T750" s="20"/>
      <c r="U750" s="20"/>
      <c r="V750" s="20"/>
      <c r="W750" s="20"/>
      <c r="X750" s="20"/>
      <c r="Y750" s="20"/>
      <c r="Z750" s="20"/>
      <c r="AA750" s="20"/>
    </row>
    <row r="751" spans="1:27" ht="12.75">
      <c r="A751" s="10"/>
      <c r="B751" s="10">
        <v>45872</v>
      </c>
      <c r="C751" s="11">
        <f>VLOOKUP(B:B,'Курс валют'!A:D,4,0)</f>
        <v>91.705600000000004</v>
      </c>
      <c r="D751" s="57" t="s">
        <v>2161</v>
      </c>
      <c r="E751" s="125" t="s">
        <v>58</v>
      </c>
      <c r="F751" s="58">
        <v>8800</v>
      </c>
      <c r="G751" s="58">
        <v>8957.6</v>
      </c>
      <c r="H751" s="56">
        <v>162.4</v>
      </c>
      <c r="I751" s="58">
        <f t="shared" si="88"/>
        <v>157.60000000000036</v>
      </c>
      <c r="J751" s="14">
        <f t="shared" si="89"/>
        <v>1.790909090909095</v>
      </c>
      <c r="K751" s="56">
        <v>2.6</v>
      </c>
      <c r="L751" s="15">
        <f t="shared" si="90"/>
        <v>1.8454545454545457</v>
      </c>
      <c r="M751" s="16">
        <f t="shared" si="91"/>
        <v>233.28970910254546</v>
      </c>
      <c r="N751" s="17">
        <f t="shared" si="87"/>
        <v>2.5438981818181818</v>
      </c>
      <c r="O751" s="17">
        <f t="shared" si="92"/>
        <v>22386.304</v>
      </c>
      <c r="P751" s="18">
        <f t="shared" si="93"/>
        <v>2052949.4401024</v>
      </c>
      <c r="R751" s="66"/>
      <c r="S751" s="19"/>
      <c r="T751" s="20"/>
      <c r="U751" s="20"/>
      <c r="V751" s="20"/>
      <c r="W751" s="20"/>
      <c r="X751" s="20"/>
      <c r="Y751" s="20"/>
      <c r="Z751" s="20"/>
      <c r="AA751" s="20"/>
    </row>
    <row r="752" spans="1:27" ht="12.75">
      <c r="A752" s="10"/>
      <c r="B752" s="10">
        <v>45873</v>
      </c>
      <c r="C752" s="11">
        <f>VLOOKUP(B:B,'Курс валют'!A:D,4,0)</f>
        <v>91.705600000000004</v>
      </c>
      <c r="D752" s="57" t="s">
        <v>2162</v>
      </c>
      <c r="E752" s="50" t="s">
        <v>58</v>
      </c>
      <c r="F752" s="58">
        <v>8800</v>
      </c>
      <c r="G752" s="58">
        <v>8957.6</v>
      </c>
      <c r="H752" s="56">
        <v>162.4</v>
      </c>
      <c r="I752" s="58">
        <f t="shared" si="88"/>
        <v>157.60000000000036</v>
      </c>
      <c r="J752" s="14">
        <f t="shared" si="89"/>
        <v>1.790909090909095</v>
      </c>
      <c r="K752" s="56">
        <v>2.57</v>
      </c>
      <c r="L752" s="15">
        <f t="shared" si="90"/>
        <v>1.8454545454545457</v>
      </c>
      <c r="M752" s="16">
        <f t="shared" si="91"/>
        <v>230.53854110254545</v>
      </c>
      <c r="N752" s="17">
        <f t="shared" si="87"/>
        <v>2.513898181818182</v>
      </c>
      <c r="O752" s="17">
        <f t="shared" si="92"/>
        <v>22122.304</v>
      </c>
      <c r="P752" s="18">
        <f t="shared" si="93"/>
        <v>2028739.1617024001</v>
      </c>
      <c r="R752" s="66"/>
      <c r="S752" s="19"/>
      <c r="T752" s="20"/>
      <c r="U752" s="20"/>
      <c r="V752" s="20"/>
      <c r="W752" s="20"/>
      <c r="X752" s="20"/>
      <c r="Y752" s="20"/>
      <c r="Z752" s="20"/>
      <c r="AA752" s="20"/>
    </row>
    <row r="753" spans="1:27" ht="12.75">
      <c r="A753" s="10"/>
      <c r="B753" s="10">
        <v>45874</v>
      </c>
      <c r="C753" s="11">
        <f>VLOOKUP(B:B,'Курс валют'!A:D,4,0)</f>
        <v>92.325199999999995</v>
      </c>
      <c r="D753" s="57" t="s">
        <v>2163</v>
      </c>
      <c r="E753" s="64" t="s">
        <v>50</v>
      </c>
      <c r="F753" s="58">
        <v>8798</v>
      </c>
      <c r="G753" s="58">
        <v>8870</v>
      </c>
      <c r="H753" s="56">
        <v>0</v>
      </c>
      <c r="I753" s="58">
        <f t="shared" si="88"/>
        <v>72</v>
      </c>
      <c r="J753" s="14">
        <f t="shared" si="89"/>
        <v>0.81836781086610588</v>
      </c>
      <c r="K753" s="56">
        <v>1.81</v>
      </c>
      <c r="L753" s="15">
        <f t="shared" si="90"/>
        <v>0</v>
      </c>
      <c r="M753" s="16">
        <f t="shared" si="91"/>
        <v>167.10861199999999</v>
      </c>
      <c r="N753" s="17">
        <f t="shared" si="87"/>
        <v>1.81</v>
      </c>
      <c r="O753" s="17">
        <f t="shared" si="92"/>
        <v>15924.380000000001</v>
      </c>
      <c r="P753" s="18">
        <f t="shared" si="93"/>
        <v>1470221.568376</v>
      </c>
      <c r="R753" s="66" t="s">
        <v>2164</v>
      </c>
      <c r="S753" s="19"/>
      <c r="T753" s="20"/>
      <c r="U753" s="20"/>
      <c r="V753" s="20"/>
      <c r="W753" s="20"/>
      <c r="X753" s="20"/>
      <c r="Y753" s="20"/>
      <c r="Z753" s="20"/>
      <c r="AA753" s="20"/>
    </row>
    <row r="754" spans="1:27" ht="12.75">
      <c r="A754" s="10"/>
      <c r="B754" s="10">
        <v>45875</v>
      </c>
      <c r="C754" s="11">
        <f>VLOOKUP(B:B,'Курс валют'!A:D,4,0)</f>
        <v>92.509399999999999</v>
      </c>
      <c r="D754" s="57" t="s">
        <v>2165</v>
      </c>
      <c r="E754" s="64" t="s">
        <v>15</v>
      </c>
      <c r="F754" s="58">
        <v>11000</v>
      </c>
      <c r="G754" s="58">
        <v>11041</v>
      </c>
      <c r="H754" s="56">
        <v>0</v>
      </c>
      <c r="I754" s="58">
        <f t="shared" si="88"/>
        <v>41</v>
      </c>
      <c r="J754" s="14">
        <f t="shared" si="89"/>
        <v>0.37272727272727268</v>
      </c>
      <c r="K754" s="56">
        <v>2.4900000000000002</v>
      </c>
      <c r="L754" s="15">
        <f t="shared" si="90"/>
        <v>0</v>
      </c>
      <c r="M754" s="16">
        <f t="shared" si="91"/>
        <v>230.34840600000004</v>
      </c>
      <c r="N754" s="17">
        <f t="shared" si="87"/>
        <v>2.4900000000000002</v>
      </c>
      <c r="O754" s="17">
        <f t="shared" si="92"/>
        <v>27390.000000000004</v>
      </c>
      <c r="P754" s="18">
        <f t="shared" si="93"/>
        <v>2533832.4660000005</v>
      </c>
      <c r="R754" s="66"/>
      <c r="S754" s="19"/>
      <c r="T754" s="20"/>
      <c r="U754" s="20"/>
      <c r="V754" s="20"/>
      <c r="W754" s="20"/>
      <c r="X754" s="20"/>
      <c r="Y754" s="20"/>
      <c r="Z754" s="20"/>
      <c r="AA754" s="20"/>
    </row>
    <row r="755" spans="1:27" ht="12.75">
      <c r="A755" s="10"/>
      <c r="B755" s="10">
        <v>45876</v>
      </c>
      <c r="C755" s="11">
        <f>VLOOKUP(B:B,'Курс валют'!A:D,4,0)</f>
        <v>93.007199999999997</v>
      </c>
      <c r="D755" s="57" t="s">
        <v>2166</v>
      </c>
      <c r="E755" s="64" t="s">
        <v>61</v>
      </c>
      <c r="F755" s="58">
        <v>2000</v>
      </c>
      <c r="G755" s="58">
        <v>2039.4</v>
      </c>
      <c r="H755" s="56">
        <v>0</v>
      </c>
      <c r="I755" s="58">
        <f t="shared" si="88"/>
        <v>39.400000000000091</v>
      </c>
      <c r="J755" s="14">
        <f t="shared" si="89"/>
        <v>1.9700000000000044</v>
      </c>
      <c r="K755" s="56">
        <v>2.5499999999999998</v>
      </c>
      <c r="L755" s="15">
        <f t="shared" si="90"/>
        <v>0</v>
      </c>
      <c r="M755" s="16">
        <f t="shared" si="91"/>
        <v>237.16835999999998</v>
      </c>
      <c r="N755" s="17">
        <f t="shared" si="87"/>
        <v>2.5499999999999998</v>
      </c>
      <c r="O755" s="17">
        <f t="shared" si="92"/>
        <v>5100</v>
      </c>
      <c r="P755" s="18">
        <f t="shared" si="93"/>
        <v>474336.72</v>
      </c>
      <c r="R755" s="66"/>
      <c r="S755" s="19"/>
      <c r="T755" s="20"/>
      <c r="U755" s="20"/>
      <c r="V755" s="20"/>
      <c r="W755" s="20"/>
      <c r="X755" s="20"/>
      <c r="Y755" s="20"/>
      <c r="Z755" s="20"/>
      <c r="AA755" s="20"/>
    </row>
    <row r="756" spans="1:27" ht="12.75">
      <c r="A756" s="10"/>
      <c r="B756" s="10">
        <v>45876</v>
      </c>
      <c r="C756" s="11">
        <f>VLOOKUP(B:B,'Курс валют'!A:D,4,0)</f>
        <v>93.007199999999997</v>
      </c>
      <c r="D756" s="57" t="s">
        <v>2167</v>
      </c>
      <c r="E756" s="64" t="s">
        <v>15</v>
      </c>
      <c r="F756" s="58">
        <v>11000</v>
      </c>
      <c r="G756" s="58">
        <v>11101</v>
      </c>
      <c r="H756" s="56">
        <v>0</v>
      </c>
      <c r="I756" s="58">
        <f t="shared" si="88"/>
        <v>101</v>
      </c>
      <c r="J756" s="14">
        <f t="shared" si="89"/>
        <v>0.91818181818181821</v>
      </c>
      <c r="K756" s="56">
        <v>2.4900000000000002</v>
      </c>
      <c r="L756" s="15">
        <f t="shared" si="90"/>
        <v>0</v>
      </c>
      <c r="M756" s="16">
        <f t="shared" si="91"/>
        <v>231.58792800000001</v>
      </c>
      <c r="N756" s="17">
        <f t="shared" si="87"/>
        <v>2.4900000000000002</v>
      </c>
      <c r="O756" s="17">
        <f t="shared" si="92"/>
        <v>27390.000000000004</v>
      </c>
      <c r="P756" s="18">
        <f t="shared" si="93"/>
        <v>2547467.2080000001</v>
      </c>
      <c r="R756" s="66"/>
      <c r="S756" s="19"/>
      <c r="T756" s="20"/>
      <c r="U756" s="20"/>
      <c r="V756" s="20"/>
      <c r="W756" s="20"/>
      <c r="X756" s="20"/>
      <c r="Y756" s="20"/>
      <c r="Z756" s="20"/>
      <c r="AA756" s="20"/>
    </row>
    <row r="757" spans="1:27" ht="12.75">
      <c r="A757" s="10"/>
      <c r="B757" s="10">
        <v>45877</v>
      </c>
      <c r="C757" s="11">
        <f>VLOOKUP(B:B,'Курс валют'!A:D,4,0)</f>
        <v>92.663600000000002</v>
      </c>
      <c r="D757" s="57" t="s">
        <v>2168</v>
      </c>
      <c r="E757" s="64" t="s">
        <v>15</v>
      </c>
      <c r="F757" s="58">
        <v>4400</v>
      </c>
      <c r="G757" s="58">
        <v>4440.3999999999996</v>
      </c>
      <c r="H757" s="56">
        <v>81.2</v>
      </c>
      <c r="I757" s="58">
        <f t="shared" si="88"/>
        <v>40.399999999999636</v>
      </c>
      <c r="J757" s="14"/>
      <c r="K757" s="56">
        <v>2.57</v>
      </c>
      <c r="L757" s="15">
        <f t="shared" si="90"/>
        <v>1.8454545454545457</v>
      </c>
      <c r="M757" s="16">
        <f t="shared" si="91"/>
        <v>232.94685556072727</v>
      </c>
      <c r="N757" s="17">
        <f t="shared" si="87"/>
        <v>2.513898181818182</v>
      </c>
      <c r="O757" s="17">
        <f t="shared" si="92"/>
        <v>11061.152</v>
      </c>
      <c r="P757" s="18">
        <f t="shared" si="93"/>
        <v>1024966.1644672001</v>
      </c>
      <c r="R757" s="66"/>
      <c r="S757" s="19"/>
      <c r="T757" s="20"/>
      <c r="U757" s="20"/>
      <c r="V757" s="20"/>
      <c r="W757" s="20"/>
      <c r="X757" s="20"/>
      <c r="Y757" s="20"/>
      <c r="Z757" s="20"/>
      <c r="AA757" s="20"/>
    </row>
    <row r="758" spans="1:27" ht="12.75">
      <c r="A758" s="10"/>
      <c r="B758" s="10">
        <v>45877</v>
      </c>
      <c r="C758" s="11">
        <f>VLOOKUP(B:B,'Курс валют'!A:D,4,0)</f>
        <v>92.663600000000002</v>
      </c>
      <c r="D758" s="57" t="s">
        <v>2169</v>
      </c>
      <c r="E758" s="64" t="s">
        <v>61</v>
      </c>
      <c r="F758" s="58">
        <v>2000</v>
      </c>
      <c r="G758" s="58">
        <v>2036.5</v>
      </c>
      <c r="H758" s="56">
        <v>0</v>
      </c>
      <c r="I758" s="58">
        <f t="shared" si="88"/>
        <v>36.5</v>
      </c>
      <c r="J758" s="14">
        <f t="shared" ref="J758:J820" si="94">I758/F758*100</f>
        <v>1.825</v>
      </c>
      <c r="K758" s="56">
        <v>2.5499999999999998</v>
      </c>
      <c r="L758" s="15">
        <f t="shared" si="90"/>
        <v>0</v>
      </c>
      <c r="M758" s="16">
        <f t="shared" si="91"/>
        <v>236.29218</v>
      </c>
      <c r="N758" s="17">
        <f t="shared" si="87"/>
        <v>2.5499999999999998</v>
      </c>
      <c r="O758" s="17">
        <f t="shared" si="92"/>
        <v>5100</v>
      </c>
      <c r="P758" s="18">
        <f t="shared" si="93"/>
        <v>472584.36</v>
      </c>
      <c r="R758" s="66"/>
      <c r="S758" s="19"/>
      <c r="T758" s="20"/>
      <c r="U758" s="20"/>
      <c r="V758" s="20"/>
      <c r="W758" s="20"/>
      <c r="X758" s="20"/>
      <c r="Y758" s="20"/>
      <c r="Z758" s="20"/>
      <c r="AA758" s="20"/>
    </row>
    <row r="759" spans="1:27" ht="12.75">
      <c r="A759" s="10"/>
      <c r="B759" s="10">
        <v>45878</v>
      </c>
      <c r="C759" s="11">
        <f>VLOOKUP(B:B,'Курс валют'!A:D,4,0)</f>
        <v>92.88</v>
      </c>
      <c r="D759" s="57" t="s">
        <v>2170</v>
      </c>
      <c r="E759" s="126" t="s">
        <v>15</v>
      </c>
      <c r="F759" s="58">
        <v>11000</v>
      </c>
      <c r="G759" s="58">
        <v>11101</v>
      </c>
      <c r="H759" s="56">
        <v>203</v>
      </c>
      <c r="I759" s="58">
        <f t="shared" si="88"/>
        <v>101</v>
      </c>
      <c r="J759" s="14">
        <f t="shared" si="94"/>
        <v>0.91818181818181821</v>
      </c>
      <c r="K759" s="56">
        <v>2.5</v>
      </c>
      <c r="L759" s="15">
        <f t="shared" si="90"/>
        <v>1.8454545454545457</v>
      </c>
      <c r="M759" s="16">
        <f t="shared" si="91"/>
        <v>226.98926312727275</v>
      </c>
      <c r="N759" s="17">
        <f t="shared" si="87"/>
        <v>2.4438981818181817</v>
      </c>
      <c r="O759" s="17">
        <f t="shared" si="92"/>
        <v>26882.880000000001</v>
      </c>
      <c r="P759" s="18">
        <f t="shared" si="93"/>
        <v>2496881.8944000001</v>
      </c>
      <c r="R759" s="66"/>
      <c r="S759" s="19"/>
      <c r="T759" s="20"/>
      <c r="U759" s="20"/>
      <c r="V759" s="20"/>
      <c r="W759" s="20"/>
      <c r="X759" s="20"/>
      <c r="Y759" s="20"/>
      <c r="Z759" s="20"/>
      <c r="AA759" s="20"/>
    </row>
    <row r="760" spans="1:27" ht="12.75">
      <c r="A760" s="10"/>
      <c r="B760" s="10">
        <v>45878</v>
      </c>
      <c r="C760" s="11">
        <f>VLOOKUP(B:B,'Курс валют'!A:D,4,0)</f>
        <v>92.88</v>
      </c>
      <c r="D760" s="57" t="s">
        <v>2171</v>
      </c>
      <c r="E760" s="64" t="s">
        <v>562</v>
      </c>
      <c r="F760" s="58">
        <v>2200</v>
      </c>
      <c r="G760" s="58">
        <v>2230.6</v>
      </c>
      <c r="H760" s="56">
        <v>0</v>
      </c>
      <c r="I760" s="58">
        <f t="shared" si="88"/>
        <v>30.599999999999909</v>
      </c>
      <c r="J760" s="14">
        <f t="shared" si="94"/>
        <v>1.3909090909090867</v>
      </c>
      <c r="K760" s="56">
        <v>2.1800000000000002</v>
      </c>
      <c r="L760" s="15">
        <f t="shared" si="90"/>
        <v>0</v>
      </c>
      <c r="M760" s="16">
        <f t="shared" si="91"/>
        <v>202.47839999999999</v>
      </c>
      <c r="N760" s="17">
        <f t="shared" si="87"/>
        <v>2.1800000000000002</v>
      </c>
      <c r="O760" s="17">
        <f t="shared" si="92"/>
        <v>4796</v>
      </c>
      <c r="P760" s="18">
        <f t="shared" si="93"/>
        <v>445452.48</v>
      </c>
      <c r="R760" s="66"/>
      <c r="S760" s="19"/>
      <c r="T760" s="20"/>
      <c r="U760" s="20"/>
      <c r="V760" s="20"/>
      <c r="W760" s="20"/>
      <c r="X760" s="20"/>
      <c r="Y760" s="20"/>
      <c r="Z760" s="20"/>
      <c r="AA760" s="20"/>
    </row>
    <row r="761" spans="1:27" ht="12.75">
      <c r="A761" s="10"/>
      <c r="B761" s="10">
        <v>45879</v>
      </c>
      <c r="C761" s="11">
        <f>VLOOKUP(B:B,'Курс валют'!A:D,4,0)</f>
        <v>92.88</v>
      </c>
      <c r="D761" s="57" t="s">
        <v>2172</v>
      </c>
      <c r="E761" s="126" t="s">
        <v>15</v>
      </c>
      <c r="F761" s="58">
        <v>8800</v>
      </c>
      <c r="G761" s="58">
        <v>8880.7999999999993</v>
      </c>
      <c r="H761" s="56">
        <v>162.4</v>
      </c>
      <c r="I761" s="58">
        <f t="shared" si="88"/>
        <v>80.799999999999272</v>
      </c>
      <c r="J761" s="14">
        <f t="shared" si="94"/>
        <v>0.91818181818180988</v>
      </c>
      <c r="K761" s="56">
        <v>2.5</v>
      </c>
      <c r="L761" s="15">
        <f t="shared" si="90"/>
        <v>1.8454545454545457</v>
      </c>
      <c r="M761" s="16">
        <f t="shared" si="91"/>
        <v>226.98926312727272</v>
      </c>
      <c r="N761" s="17">
        <f t="shared" si="87"/>
        <v>2.4438981818181817</v>
      </c>
      <c r="O761" s="17">
        <f t="shared" si="92"/>
        <v>21506.304</v>
      </c>
      <c r="P761" s="18">
        <f t="shared" si="93"/>
        <v>1997505.5155199999</v>
      </c>
      <c r="R761" s="66"/>
      <c r="S761" s="19"/>
      <c r="T761" s="20"/>
      <c r="U761" s="20"/>
      <c r="V761" s="20"/>
      <c r="W761" s="20"/>
      <c r="X761" s="20"/>
      <c r="Y761" s="20"/>
      <c r="Z761" s="20"/>
      <c r="AA761" s="20"/>
    </row>
    <row r="762" spans="1:27" ht="12.75">
      <c r="A762" s="10"/>
      <c r="B762" s="10">
        <v>45880</v>
      </c>
      <c r="C762" s="11">
        <f>VLOOKUP(B:B,'Курс валют'!A:D,4,0)</f>
        <v>92.88</v>
      </c>
      <c r="D762" s="57" t="s">
        <v>2173</v>
      </c>
      <c r="E762" s="64" t="s">
        <v>2113</v>
      </c>
      <c r="F762" s="58">
        <v>1200</v>
      </c>
      <c r="G762" s="58">
        <v>1224.4000000000001</v>
      </c>
      <c r="H762" s="56">
        <v>0</v>
      </c>
      <c r="I762" s="58">
        <f t="shared" si="88"/>
        <v>24.400000000000091</v>
      </c>
      <c r="J762" s="14">
        <f t="shared" si="94"/>
        <v>2.0333333333333408</v>
      </c>
      <c r="K762" s="56">
        <v>2.4500000000000002</v>
      </c>
      <c r="L762" s="15">
        <f t="shared" si="90"/>
        <v>0</v>
      </c>
      <c r="M762" s="16">
        <f t="shared" si="91"/>
        <v>227.55600000000001</v>
      </c>
      <c r="N762" s="17">
        <f t="shared" si="87"/>
        <v>2.4500000000000002</v>
      </c>
      <c r="O762" s="17">
        <f t="shared" si="92"/>
        <v>2940</v>
      </c>
      <c r="P762" s="18">
        <f t="shared" si="93"/>
        <v>273067.2</v>
      </c>
      <c r="R762" s="66"/>
      <c r="S762" s="19"/>
      <c r="T762" s="20"/>
      <c r="U762" s="20"/>
      <c r="V762" s="20"/>
      <c r="W762" s="20"/>
      <c r="X762" s="20"/>
      <c r="Y762" s="20"/>
      <c r="Z762" s="20"/>
      <c r="AA762" s="20"/>
    </row>
    <row r="763" spans="1:27" ht="12.75">
      <c r="A763" s="54"/>
      <c r="B763" s="10">
        <v>45880</v>
      </c>
      <c r="C763" s="11">
        <f>VLOOKUP(B:B,'Курс валют'!A:D,4,0)</f>
        <v>92.88</v>
      </c>
      <c r="D763" s="57" t="s">
        <v>2174</v>
      </c>
      <c r="E763" s="64" t="s">
        <v>15</v>
      </c>
      <c r="F763" s="58">
        <v>11000</v>
      </c>
      <c r="G763" s="58">
        <v>11101</v>
      </c>
      <c r="H763" s="56">
        <v>203</v>
      </c>
      <c r="I763" s="58">
        <f t="shared" si="88"/>
        <v>101</v>
      </c>
      <c r="J763" s="14">
        <f t="shared" si="94"/>
        <v>0.91818181818181821</v>
      </c>
      <c r="K763" s="56">
        <v>2.62</v>
      </c>
      <c r="L763" s="15">
        <f t="shared" si="90"/>
        <v>1.8454545454545457</v>
      </c>
      <c r="M763" s="16">
        <f t="shared" si="91"/>
        <v>238.13486312727269</v>
      </c>
      <c r="N763" s="17">
        <f t="shared" si="87"/>
        <v>2.5638981818181819</v>
      </c>
      <c r="O763" s="17">
        <f t="shared" si="92"/>
        <v>28202.880000000001</v>
      </c>
      <c r="P763" s="18">
        <f t="shared" si="93"/>
        <v>2619483.4943999997</v>
      </c>
      <c r="R763" s="65"/>
      <c r="S763" s="19"/>
      <c r="T763" s="24"/>
      <c r="U763" s="24"/>
      <c r="V763" s="24"/>
      <c r="W763" s="24"/>
      <c r="X763" s="24"/>
      <c r="Y763" s="24"/>
      <c r="Z763" s="24"/>
      <c r="AA763" s="24"/>
    </row>
    <row r="764" spans="1:27" ht="12.75">
      <c r="A764" s="54"/>
      <c r="B764" s="10">
        <v>45881</v>
      </c>
      <c r="C764" s="11">
        <f>VLOOKUP(B:B,'Курс валют'!A:D,4,0)</f>
        <v>92.948499999999996</v>
      </c>
      <c r="D764" s="57" t="s">
        <v>2175</v>
      </c>
      <c r="E764" s="50" t="s">
        <v>60</v>
      </c>
      <c r="F764" s="58">
        <v>2250</v>
      </c>
      <c r="G764" s="58">
        <v>2278.9</v>
      </c>
      <c r="H764" s="56">
        <v>0</v>
      </c>
      <c r="I764" s="58">
        <f t="shared" si="88"/>
        <v>28.900000000000091</v>
      </c>
      <c r="J764" s="14">
        <f t="shared" si="94"/>
        <v>1.2844444444444485</v>
      </c>
      <c r="K764" s="56">
        <v>2.2200000000000002</v>
      </c>
      <c r="L764" s="15">
        <f t="shared" si="90"/>
        <v>0</v>
      </c>
      <c r="M764" s="16">
        <f t="shared" si="91"/>
        <v>206.34567000000001</v>
      </c>
      <c r="N764" s="17">
        <f t="shared" si="87"/>
        <v>2.2200000000000002</v>
      </c>
      <c r="O764" s="17">
        <f t="shared" si="92"/>
        <v>4995</v>
      </c>
      <c r="P764" s="18">
        <f t="shared" si="93"/>
        <v>464277.75750000001</v>
      </c>
      <c r="R764" s="65"/>
      <c r="S764" s="19"/>
      <c r="T764" s="20"/>
      <c r="U764" s="20"/>
      <c r="V764" s="20"/>
      <c r="W764" s="20"/>
      <c r="X764" s="20"/>
      <c r="Y764" s="20"/>
      <c r="Z764" s="20"/>
      <c r="AA764" s="20"/>
    </row>
    <row r="765" spans="1:27" ht="12.75">
      <c r="A765" s="54"/>
      <c r="B765" s="10">
        <v>45881</v>
      </c>
      <c r="C765" s="11">
        <f>VLOOKUP(B:B,'Курс валют'!A:D,4,0)</f>
        <v>92.948499999999996</v>
      </c>
      <c r="D765" s="57" t="s">
        <v>2176</v>
      </c>
      <c r="E765" s="50" t="s">
        <v>15</v>
      </c>
      <c r="F765" s="58">
        <v>11000</v>
      </c>
      <c r="G765" s="58">
        <v>11101</v>
      </c>
      <c r="H765" s="56">
        <v>203</v>
      </c>
      <c r="I765" s="58">
        <f t="shared" si="88"/>
        <v>101</v>
      </c>
      <c r="J765" s="14">
        <f t="shared" si="94"/>
        <v>0.91818181818181821</v>
      </c>
      <c r="K765" s="56">
        <v>2.5499999999999998</v>
      </c>
      <c r="L765" s="15">
        <f t="shared" si="90"/>
        <v>1.8454545454545457</v>
      </c>
      <c r="M765" s="16">
        <f t="shared" si="91"/>
        <v>231.80409515272726</v>
      </c>
      <c r="N765" s="17">
        <f t="shared" si="87"/>
        <v>2.4938981818181816</v>
      </c>
      <c r="O765" s="17">
        <f t="shared" si="92"/>
        <v>27432.879999999997</v>
      </c>
      <c r="P765" s="18">
        <f t="shared" si="93"/>
        <v>2549845.0466799997</v>
      </c>
      <c r="R765" s="65"/>
      <c r="S765" s="19"/>
      <c r="T765" s="20"/>
      <c r="U765" s="20"/>
      <c r="V765" s="20"/>
      <c r="W765" s="20"/>
      <c r="X765" s="20"/>
      <c r="Y765" s="20"/>
      <c r="Z765" s="20"/>
      <c r="AA765" s="20"/>
    </row>
    <row r="766" spans="1:27" ht="12.75">
      <c r="A766" s="54"/>
      <c r="B766" s="10">
        <v>45882</v>
      </c>
      <c r="C766" s="11">
        <f>VLOOKUP(B:B,'Курс валют'!A:D,4,0)</f>
        <v>92.8583</v>
      </c>
      <c r="D766" s="57" t="s">
        <v>2177</v>
      </c>
      <c r="E766" s="125" t="s">
        <v>51</v>
      </c>
      <c r="F766" s="58">
        <v>7998</v>
      </c>
      <c r="G766" s="58">
        <v>8097</v>
      </c>
      <c r="H766" s="56">
        <v>0</v>
      </c>
      <c r="I766" s="58">
        <f t="shared" si="88"/>
        <v>99</v>
      </c>
      <c r="J766" s="14">
        <f t="shared" si="94"/>
        <v>1.2378094523630907</v>
      </c>
      <c r="K766" s="56">
        <v>1.99</v>
      </c>
      <c r="L766" s="15">
        <f t="shared" si="90"/>
        <v>0</v>
      </c>
      <c r="M766" s="16">
        <f t="shared" si="91"/>
        <v>184.788017</v>
      </c>
      <c r="N766" s="17">
        <f t="shared" ref="N766:N801" si="95">(F766*K766-H766*3.04)/F766</f>
        <v>1.99</v>
      </c>
      <c r="O766" s="17">
        <f t="shared" si="92"/>
        <v>15916.02</v>
      </c>
      <c r="P766" s="18">
        <f t="shared" si="93"/>
        <v>1477934.559966</v>
      </c>
      <c r="R766" s="66" t="s">
        <v>2178</v>
      </c>
      <c r="S766" s="19"/>
      <c r="T766" s="24"/>
      <c r="U766" s="24"/>
      <c r="V766" s="24"/>
      <c r="W766" s="24"/>
      <c r="X766" s="24"/>
      <c r="Y766" s="24"/>
      <c r="Z766" s="24"/>
      <c r="AA766" s="24"/>
    </row>
    <row r="767" spans="1:27" ht="12.75">
      <c r="A767" s="54"/>
      <c r="B767" s="10">
        <v>45883</v>
      </c>
      <c r="C767" s="11">
        <f>VLOOKUP(B:B,'Курс валют'!A:D,4,0)</f>
        <v>93.387500000000003</v>
      </c>
      <c r="D767" s="57" t="s">
        <v>2179</v>
      </c>
      <c r="E767" s="125" t="s">
        <v>51</v>
      </c>
      <c r="F767" s="58">
        <v>8000</v>
      </c>
      <c r="G767" s="58">
        <v>8097</v>
      </c>
      <c r="H767" s="56">
        <v>0</v>
      </c>
      <c r="I767" s="58">
        <f t="shared" si="88"/>
        <v>97</v>
      </c>
      <c r="J767" s="14">
        <f t="shared" si="94"/>
        <v>1.2125000000000001</v>
      </c>
      <c r="K767" s="56">
        <v>1.99</v>
      </c>
      <c r="L767" s="15">
        <f t="shared" si="90"/>
        <v>0</v>
      </c>
      <c r="M767" s="16">
        <f t="shared" si="91"/>
        <v>185.84112500000001</v>
      </c>
      <c r="N767" s="17">
        <f t="shared" si="95"/>
        <v>1.99</v>
      </c>
      <c r="O767" s="17">
        <f t="shared" si="92"/>
        <v>15920</v>
      </c>
      <c r="P767" s="18">
        <f t="shared" si="93"/>
        <v>1486729</v>
      </c>
      <c r="R767" s="65"/>
      <c r="S767" s="19"/>
      <c r="T767" s="24"/>
      <c r="U767" s="24"/>
      <c r="V767" s="24"/>
      <c r="W767" s="24"/>
      <c r="X767" s="24"/>
      <c r="Y767" s="24"/>
      <c r="Z767" s="24"/>
      <c r="AA767" s="24"/>
    </row>
    <row r="768" spans="1:27" ht="12.75">
      <c r="A768" s="54"/>
      <c r="B768" s="10">
        <v>45884</v>
      </c>
      <c r="C768" s="11">
        <f>VLOOKUP(B:B,'Курс валют'!A:D,4,0)</f>
        <v>93.058800000000005</v>
      </c>
      <c r="D768" s="57" t="s">
        <v>2180</v>
      </c>
      <c r="E768" s="50" t="s">
        <v>56</v>
      </c>
      <c r="F768" s="58">
        <v>2000</v>
      </c>
      <c r="G768" s="58">
        <v>2025.8</v>
      </c>
      <c r="H768" s="56">
        <v>0</v>
      </c>
      <c r="I768" s="58">
        <f t="shared" si="88"/>
        <v>25.799999999999955</v>
      </c>
      <c r="J768" s="14">
        <f t="shared" si="94"/>
        <v>1.2899999999999978</v>
      </c>
      <c r="K768" s="56">
        <v>2.39</v>
      </c>
      <c r="L768" s="15">
        <f t="shared" si="90"/>
        <v>0</v>
      </c>
      <c r="M768" s="16">
        <f t="shared" si="91"/>
        <v>222.41053200000002</v>
      </c>
      <c r="N768" s="17">
        <f t="shared" si="95"/>
        <v>2.39</v>
      </c>
      <c r="O768" s="17">
        <f t="shared" si="92"/>
        <v>4780</v>
      </c>
      <c r="P768" s="18">
        <f t="shared" si="93"/>
        <v>444821.06400000001</v>
      </c>
      <c r="R768" s="66"/>
      <c r="S768" s="19"/>
      <c r="T768" s="24"/>
      <c r="U768" s="24"/>
      <c r="V768" s="24"/>
      <c r="W768" s="24"/>
      <c r="X768" s="24"/>
      <c r="Y768" s="24"/>
      <c r="Z768" s="24"/>
      <c r="AA768" s="24"/>
    </row>
    <row r="769" spans="1:27" ht="12.75">
      <c r="A769" s="54"/>
      <c r="B769" s="10">
        <v>45884</v>
      </c>
      <c r="C769" s="11">
        <f>VLOOKUP(B:B,'Курс валют'!A:D,4,0)</f>
        <v>93.058800000000005</v>
      </c>
      <c r="D769" s="57" t="s">
        <v>2181</v>
      </c>
      <c r="E769" s="50" t="s">
        <v>432</v>
      </c>
      <c r="F769" s="58">
        <v>1043.0999999999999</v>
      </c>
      <c r="G769" s="58">
        <v>1056.2</v>
      </c>
      <c r="H769" s="56">
        <v>0</v>
      </c>
      <c r="I769" s="58">
        <f t="shared" si="88"/>
        <v>13.100000000000136</v>
      </c>
      <c r="J769" s="14">
        <f t="shared" si="94"/>
        <v>1.2558719202377662</v>
      </c>
      <c r="K769" s="56">
        <v>1.45</v>
      </c>
      <c r="L769" s="15">
        <f t="shared" si="90"/>
        <v>0</v>
      </c>
      <c r="M769" s="16">
        <f t="shared" si="91"/>
        <v>134.93526000000003</v>
      </c>
      <c r="N769" s="17">
        <f t="shared" si="95"/>
        <v>1.45</v>
      </c>
      <c r="O769" s="17">
        <f t="shared" si="92"/>
        <v>1512.4949999999999</v>
      </c>
      <c r="P769" s="18">
        <f t="shared" si="93"/>
        <v>140750.969706</v>
      </c>
      <c r="R769" s="65"/>
      <c r="S769" s="19"/>
      <c r="T769" s="20"/>
      <c r="U769" s="20"/>
      <c r="V769" s="20"/>
      <c r="W769" s="20"/>
      <c r="X769" s="20"/>
      <c r="Y769" s="20"/>
      <c r="Z769" s="20"/>
      <c r="AA769" s="20"/>
    </row>
    <row r="770" spans="1:27" ht="12.75">
      <c r="A770" s="54"/>
      <c r="B770" s="10">
        <v>45885</v>
      </c>
      <c r="C770" s="11">
        <f>VLOOKUP(B:B,'Курс валют'!A:D,4,0)</f>
        <v>93.709400000000002</v>
      </c>
      <c r="D770" s="57" t="s">
        <v>2182</v>
      </c>
      <c r="E770" s="64" t="s">
        <v>56</v>
      </c>
      <c r="F770" s="58">
        <v>2000</v>
      </c>
      <c r="G770" s="58">
        <v>2025.8</v>
      </c>
      <c r="H770" s="56">
        <v>0</v>
      </c>
      <c r="I770" s="58">
        <f t="shared" si="88"/>
        <v>25.799999999999955</v>
      </c>
      <c r="J770" s="14">
        <f t="shared" si="94"/>
        <v>1.2899999999999978</v>
      </c>
      <c r="K770" s="56">
        <v>2.36</v>
      </c>
      <c r="L770" s="15">
        <f t="shared" si="90"/>
        <v>0</v>
      </c>
      <c r="M770" s="16">
        <f t="shared" si="91"/>
        <v>221.15418400000001</v>
      </c>
      <c r="N770" s="17">
        <f t="shared" si="95"/>
        <v>2.36</v>
      </c>
      <c r="O770" s="17">
        <f t="shared" si="92"/>
        <v>4720</v>
      </c>
      <c r="P770" s="18">
        <f t="shared" si="93"/>
        <v>442308.36800000002</v>
      </c>
      <c r="R770" s="66"/>
      <c r="S770" s="19"/>
      <c r="T770" s="20"/>
      <c r="U770" s="20"/>
      <c r="V770" s="20"/>
      <c r="W770" s="20"/>
      <c r="X770" s="20"/>
      <c r="Y770" s="20"/>
      <c r="Z770" s="20"/>
      <c r="AA770" s="20"/>
    </row>
    <row r="771" spans="1:27" ht="12.75">
      <c r="A771" s="54"/>
      <c r="B771" s="10">
        <v>45885</v>
      </c>
      <c r="C771" s="11">
        <f>VLOOKUP(B:B,'Курс валют'!A:D,4,0)</f>
        <v>93.709400000000002</v>
      </c>
      <c r="D771" s="57" t="s">
        <v>2183</v>
      </c>
      <c r="E771" s="50" t="s">
        <v>115</v>
      </c>
      <c r="F771" s="58">
        <v>296</v>
      </c>
      <c r="G771" s="58">
        <v>300.5</v>
      </c>
      <c r="H771" s="56">
        <v>0</v>
      </c>
      <c r="I771" s="58">
        <f t="shared" si="88"/>
        <v>4.5</v>
      </c>
      <c r="J771" s="14">
        <f t="shared" si="94"/>
        <v>1.5202702702702704</v>
      </c>
      <c r="K771" s="56">
        <v>1.44</v>
      </c>
      <c r="L771" s="15">
        <f t="shared" si="90"/>
        <v>0</v>
      </c>
      <c r="M771" s="16">
        <f t="shared" si="91"/>
        <v>134.94153599999999</v>
      </c>
      <c r="N771" s="17">
        <f t="shared" si="95"/>
        <v>1.44</v>
      </c>
      <c r="O771" s="17">
        <f t="shared" si="92"/>
        <v>426.24</v>
      </c>
      <c r="P771" s="18">
        <f t="shared" si="93"/>
        <v>39942.694656</v>
      </c>
      <c r="R771" s="66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5" customHeight="1">
      <c r="A772" s="54"/>
      <c r="B772" s="10">
        <v>45885</v>
      </c>
      <c r="C772" s="11">
        <f>VLOOKUP(B:B,'Курс валют'!A:D,4,0)</f>
        <v>93.709400000000002</v>
      </c>
      <c r="D772" s="57" t="s">
        <v>2184</v>
      </c>
      <c r="E772" s="50" t="s">
        <v>2116</v>
      </c>
      <c r="F772" s="58">
        <v>2160</v>
      </c>
      <c r="G772" s="58">
        <v>2181.6</v>
      </c>
      <c r="H772" s="56">
        <v>0</v>
      </c>
      <c r="I772" s="58">
        <f t="shared" si="88"/>
        <v>21.599999999999909</v>
      </c>
      <c r="J772" s="14">
        <f t="shared" si="94"/>
        <v>0.99999999999999589</v>
      </c>
      <c r="K772" s="56">
        <v>2.0499999999999998</v>
      </c>
      <c r="L772" s="15">
        <f t="shared" si="90"/>
        <v>0</v>
      </c>
      <c r="M772" s="16">
        <f t="shared" si="91"/>
        <v>192.10427000000001</v>
      </c>
      <c r="N772" s="17">
        <f t="shared" si="95"/>
        <v>2.0499999999999998</v>
      </c>
      <c r="O772" s="17">
        <f t="shared" si="92"/>
        <v>4428</v>
      </c>
      <c r="P772" s="18">
        <f t="shared" si="93"/>
        <v>414945.22320000001</v>
      </c>
      <c r="R772" s="66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>
      <c r="A773" s="54"/>
      <c r="B773" s="10">
        <v>45886</v>
      </c>
      <c r="C773" s="11">
        <f>VLOOKUP(B:B,'Курс валют'!A:D,4,0)</f>
        <v>93.709400000000002</v>
      </c>
      <c r="D773" s="57" t="s">
        <v>2185</v>
      </c>
      <c r="E773" s="50" t="s">
        <v>56</v>
      </c>
      <c r="F773" s="58">
        <v>2000</v>
      </c>
      <c r="G773" s="58">
        <v>2025.8</v>
      </c>
      <c r="H773" s="56">
        <v>0</v>
      </c>
      <c r="I773" s="58">
        <f t="shared" si="88"/>
        <v>25.799999999999955</v>
      </c>
      <c r="J773" s="14">
        <f t="shared" si="94"/>
        <v>1.2899999999999978</v>
      </c>
      <c r="K773" s="56">
        <v>2.2999999999999998</v>
      </c>
      <c r="L773" s="15">
        <f t="shared" si="90"/>
        <v>0</v>
      </c>
      <c r="M773" s="16">
        <f t="shared" si="91"/>
        <v>215.53162</v>
      </c>
      <c r="N773" s="17">
        <f t="shared" si="95"/>
        <v>2.2999999999999998</v>
      </c>
      <c r="O773" s="17">
        <f t="shared" si="92"/>
        <v>4600</v>
      </c>
      <c r="P773" s="18">
        <f t="shared" si="93"/>
        <v>431063.24</v>
      </c>
      <c r="R773" s="66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>
      <c r="A774" s="54"/>
      <c r="B774" s="10">
        <v>45886</v>
      </c>
      <c r="C774" s="11">
        <f>VLOOKUP(B:B,'Курс валют'!A:D,4,0)</f>
        <v>93.709400000000002</v>
      </c>
      <c r="D774" s="57" t="s">
        <v>2186</v>
      </c>
      <c r="E774" s="50" t="s">
        <v>2187</v>
      </c>
      <c r="F774" s="58">
        <v>8000</v>
      </c>
      <c r="G774" s="58">
        <v>8097</v>
      </c>
      <c r="H774" s="56">
        <v>768</v>
      </c>
      <c r="I774" s="58">
        <f t="shared" si="88"/>
        <v>97</v>
      </c>
      <c r="J774" s="14">
        <f t="shared" si="94"/>
        <v>1.2125000000000001</v>
      </c>
      <c r="K774" s="56">
        <v>1.83</v>
      </c>
      <c r="L774" s="15">
        <f t="shared" si="90"/>
        <v>9.6</v>
      </c>
      <c r="M774" s="16">
        <f t="shared" si="91"/>
        <v>144.140050704</v>
      </c>
      <c r="N774" s="17">
        <f t="shared" si="95"/>
        <v>1.5381599999999997</v>
      </c>
      <c r="O774" s="17">
        <f t="shared" si="92"/>
        <v>12305.279999999999</v>
      </c>
      <c r="P774" s="18">
        <f t="shared" si="93"/>
        <v>1153120.405632</v>
      </c>
      <c r="R774" s="66"/>
      <c r="S774" s="48"/>
      <c r="T774" s="20"/>
      <c r="U774" s="20"/>
      <c r="V774" s="20"/>
      <c r="W774" s="20"/>
      <c r="X774" s="20"/>
      <c r="Y774" s="20"/>
      <c r="Z774" s="20"/>
      <c r="AA774" s="20"/>
    </row>
    <row r="775" spans="1:27" ht="12.75">
      <c r="A775" s="54"/>
      <c r="B775" s="10">
        <v>45887</v>
      </c>
      <c r="C775" s="11">
        <f>VLOOKUP(B:B,'Курс валют'!A:D,4,0)</f>
        <v>93.709400000000002</v>
      </c>
      <c r="D775" s="57" t="s">
        <v>2188</v>
      </c>
      <c r="E775" s="64" t="s">
        <v>101</v>
      </c>
      <c r="F775" s="63">
        <v>3200</v>
      </c>
      <c r="G775" s="63">
        <v>3240.7</v>
      </c>
      <c r="H775" s="49">
        <v>0</v>
      </c>
      <c r="I775" s="58">
        <f t="shared" si="88"/>
        <v>40.699999999999818</v>
      </c>
      <c r="J775" s="14">
        <f t="shared" si="94"/>
        <v>1.2718749999999943</v>
      </c>
      <c r="K775" s="49">
        <v>2.8</v>
      </c>
      <c r="L775" s="15">
        <f t="shared" si="90"/>
        <v>0</v>
      </c>
      <c r="M775" s="16">
        <f t="shared" si="91"/>
        <v>262.38632000000001</v>
      </c>
      <c r="N775" s="17">
        <f t="shared" si="95"/>
        <v>2.8</v>
      </c>
      <c r="O775" s="17">
        <f t="shared" si="92"/>
        <v>8960</v>
      </c>
      <c r="P775" s="18">
        <f t="shared" si="93"/>
        <v>839636.22400000005</v>
      </c>
      <c r="R775" s="66"/>
      <c r="S775" s="48"/>
      <c r="T775" s="20"/>
      <c r="U775" s="20"/>
      <c r="V775" s="20"/>
      <c r="W775" s="20"/>
      <c r="X775" s="20"/>
      <c r="Y775" s="20"/>
      <c r="Z775" s="20"/>
      <c r="AA775" s="20"/>
    </row>
    <row r="776" spans="1:27" ht="12.75">
      <c r="A776" s="54"/>
      <c r="B776" s="10">
        <v>45887</v>
      </c>
      <c r="C776" s="11">
        <f>VLOOKUP(B:B,'Курс валют'!A:D,4,0)</f>
        <v>93.709400000000002</v>
      </c>
      <c r="D776" s="57" t="s">
        <v>2189</v>
      </c>
      <c r="E776" s="64" t="s">
        <v>56</v>
      </c>
      <c r="F776" s="58">
        <v>2000</v>
      </c>
      <c r="G776" s="58">
        <v>2025.8</v>
      </c>
      <c r="H776" s="56">
        <v>0</v>
      </c>
      <c r="I776" s="58">
        <f t="shared" si="88"/>
        <v>25.799999999999955</v>
      </c>
      <c r="J776" s="14">
        <f t="shared" si="94"/>
        <v>1.2899999999999978</v>
      </c>
      <c r="K776" s="56">
        <v>2.2999999999999998</v>
      </c>
      <c r="L776" s="15">
        <f t="shared" si="90"/>
        <v>0</v>
      </c>
      <c r="M776" s="16">
        <f t="shared" si="91"/>
        <v>215.53162</v>
      </c>
      <c r="N776" s="17">
        <f t="shared" si="95"/>
        <v>2.2999999999999998</v>
      </c>
      <c r="O776" s="17">
        <f t="shared" si="92"/>
        <v>4600</v>
      </c>
      <c r="P776" s="18">
        <f t="shared" si="93"/>
        <v>431063.24</v>
      </c>
      <c r="R776" s="66"/>
      <c r="S776" s="48"/>
      <c r="T776" s="20"/>
      <c r="U776" s="20"/>
      <c r="V776" s="20"/>
      <c r="W776" s="20"/>
      <c r="X776" s="20"/>
      <c r="Y776" s="20"/>
      <c r="Z776" s="20"/>
      <c r="AA776" s="20"/>
    </row>
    <row r="777" spans="1:27" ht="12.75">
      <c r="A777" s="54"/>
      <c r="B777" s="10">
        <v>45888</v>
      </c>
      <c r="C777" s="11">
        <f>VLOOKUP(B:B,'Курс валют'!A:D,4,0)</f>
        <v>94.088399999999993</v>
      </c>
      <c r="D777" s="57" t="s">
        <v>2190</v>
      </c>
      <c r="E777" s="64" t="s">
        <v>101</v>
      </c>
      <c r="F777" s="58">
        <v>3200</v>
      </c>
      <c r="G777" s="58">
        <v>3240.7</v>
      </c>
      <c r="H777" s="56">
        <v>0</v>
      </c>
      <c r="I777" s="58">
        <f t="shared" si="88"/>
        <v>40.699999999999818</v>
      </c>
      <c r="J777" s="14">
        <f t="shared" si="94"/>
        <v>1.2718749999999943</v>
      </c>
      <c r="K777" s="56">
        <v>2.81</v>
      </c>
      <c r="L777" s="15">
        <f t="shared" si="90"/>
        <v>0</v>
      </c>
      <c r="M777" s="16">
        <f t="shared" si="91"/>
        <v>264.38840399999998</v>
      </c>
      <c r="N777" s="17">
        <f t="shared" si="95"/>
        <v>2.81</v>
      </c>
      <c r="O777" s="17">
        <f t="shared" si="92"/>
        <v>8992</v>
      </c>
      <c r="P777" s="18">
        <f t="shared" si="93"/>
        <v>846042.89279999991</v>
      </c>
      <c r="R777" s="66"/>
      <c r="S777" s="48"/>
      <c r="T777" s="20"/>
      <c r="U777" s="20"/>
      <c r="V777" s="20"/>
      <c r="W777" s="20"/>
      <c r="X777" s="20"/>
      <c r="Y777" s="20"/>
      <c r="Z777" s="20"/>
      <c r="AA777" s="20"/>
    </row>
    <row r="778" spans="1:27" ht="12.75">
      <c r="A778" s="54"/>
      <c r="B778" s="10">
        <v>45889</v>
      </c>
      <c r="C778" s="11">
        <f>VLOOKUP(B:B,'Курс валют'!A:D,4,0)</f>
        <v>93.560400000000001</v>
      </c>
      <c r="D778" s="57" t="s">
        <v>2191</v>
      </c>
      <c r="E778" s="64" t="s">
        <v>204</v>
      </c>
      <c r="F778" s="58">
        <v>660</v>
      </c>
      <c r="G778" s="57">
        <v>660</v>
      </c>
      <c r="H778" s="56">
        <v>0</v>
      </c>
      <c r="I778" s="58">
        <f t="shared" si="88"/>
        <v>0</v>
      </c>
      <c r="J778" s="14">
        <f t="shared" si="94"/>
        <v>0</v>
      </c>
      <c r="K778" s="56">
        <v>2.8</v>
      </c>
      <c r="L778" s="15">
        <f t="shared" si="90"/>
        <v>0</v>
      </c>
      <c r="M778" s="16">
        <f t="shared" si="91"/>
        <v>261.96911999999998</v>
      </c>
      <c r="N778" s="17">
        <f t="shared" si="95"/>
        <v>2.8</v>
      </c>
      <c r="O778" s="17">
        <f t="shared" si="92"/>
        <v>1847.9999999999998</v>
      </c>
      <c r="P778" s="18">
        <f t="shared" si="93"/>
        <v>172899.61919999999</v>
      </c>
      <c r="R778" s="66" t="s">
        <v>1267</v>
      </c>
      <c r="S778" s="48"/>
      <c r="T778" s="20"/>
      <c r="U778" s="20"/>
      <c r="V778" s="20"/>
      <c r="W778" s="20"/>
      <c r="X778" s="20"/>
      <c r="Y778" s="20"/>
      <c r="Z778" s="20"/>
      <c r="AA778" s="20"/>
    </row>
    <row r="779" spans="1:27" ht="12.75">
      <c r="A779" s="54"/>
      <c r="B779" s="10">
        <v>45889</v>
      </c>
      <c r="C779" s="11">
        <f>VLOOKUP(B:B,'Курс валют'!A:D,4,0)</f>
        <v>93.560400000000001</v>
      </c>
      <c r="D779" s="57" t="s">
        <v>2189</v>
      </c>
      <c r="E779" s="50" t="s">
        <v>70</v>
      </c>
      <c r="F779" s="58">
        <v>800</v>
      </c>
      <c r="G779" s="57">
        <v>800</v>
      </c>
      <c r="H779" s="56">
        <v>0</v>
      </c>
      <c r="I779" s="58">
        <f t="shared" si="88"/>
        <v>0</v>
      </c>
      <c r="J779" s="14">
        <f t="shared" si="94"/>
        <v>0</v>
      </c>
      <c r="K779" s="56">
        <v>3.43</v>
      </c>
      <c r="L779" s="15">
        <f t="shared" si="90"/>
        <v>0</v>
      </c>
      <c r="M779" s="16">
        <f t="shared" si="91"/>
        <v>320.912172</v>
      </c>
      <c r="N779" s="17">
        <f t="shared" si="95"/>
        <v>3.43</v>
      </c>
      <c r="O779" s="17">
        <f t="shared" si="92"/>
        <v>2744</v>
      </c>
      <c r="P779" s="18">
        <f t="shared" si="93"/>
        <v>256729.73759999999</v>
      </c>
      <c r="R779" s="66" t="s">
        <v>1267</v>
      </c>
      <c r="S779" s="48"/>
      <c r="T779" s="20"/>
      <c r="U779" s="20"/>
      <c r="V779" s="20"/>
      <c r="W779" s="20"/>
      <c r="X779" s="20"/>
      <c r="Y779" s="20"/>
      <c r="Z779" s="20"/>
      <c r="AA779" s="20"/>
    </row>
    <row r="780" spans="1:27" ht="12.75">
      <c r="A780" s="54"/>
      <c r="B780" s="10">
        <v>45889</v>
      </c>
      <c r="C780" s="11">
        <f>VLOOKUP(B:B,'Курс валют'!A:D,4,0)</f>
        <v>93.560400000000001</v>
      </c>
      <c r="D780" s="57" t="s">
        <v>2192</v>
      </c>
      <c r="E780" s="50" t="s">
        <v>50</v>
      </c>
      <c r="F780" s="58">
        <v>796</v>
      </c>
      <c r="G780" s="57">
        <v>814.4</v>
      </c>
      <c r="H780" s="56">
        <v>0</v>
      </c>
      <c r="I780" s="58">
        <f t="shared" si="88"/>
        <v>18.399999999999977</v>
      </c>
      <c r="J780" s="14">
        <f t="shared" si="94"/>
        <v>2.3115577889447207</v>
      </c>
      <c r="K780" s="56">
        <v>1.95</v>
      </c>
      <c r="L780" s="15">
        <f t="shared" si="90"/>
        <v>0</v>
      </c>
      <c r="M780" s="16">
        <f t="shared" si="91"/>
        <v>182.44278</v>
      </c>
      <c r="N780" s="17">
        <f t="shared" si="95"/>
        <v>1.95</v>
      </c>
      <c r="O780" s="17">
        <f t="shared" si="92"/>
        <v>1552.2</v>
      </c>
      <c r="P780" s="18">
        <f t="shared" si="93"/>
        <v>145224.45288</v>
      </c>
      <c r="R780" s="66" t="s">
        <v>2193</v>
      </c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>
      <c r="A781" s="54"/>
      <c r="B781" s="10">
        <v>45889</v>
      </c>
      <c r="C781" s="11">
        <f>VLOOKUP(B:B,'Курс валют'!A:D,4,0)</f>
        <v>93.560400000000001</v>
      </c>
      <c r="D781" s="57" t="s">
        <v>2194</v>
      </c>
      <c r="E781" s="50" t="s">
        <v>60</v>
      </c>
      <c r="F781" s="58">
        <v>1800</v>
      </c>
      <c r="G781" s="57">
        <v>1823</v>
      </c>
      <c r="H781" s="56">
        <v>0</v>
      </c>
      <c r="I781" s="58">
        <f t="shared" si="88"/>
        <v>23</v>
      </c>
      <c r="J781" s="14">
        <f t="shared" si="94"/>
        <v>1.2777777777777779</v>
      </c>
      <c r="K781" s="56">
        <v>2.21</v>
      </c>
      <c r="L781" s="15">
        <f t="shared" si="90"/>
        <v>0</v>
      </c>
      <c r="M781" s="16">
        <f t="shared" si="91"/>
        <v>206.768484</v>
      </c>
      <c r="N781" s="17">
        <f t="shared" si="95"/>
        <v>2.21</v>
      </c>
      <c r="O781" s="17">
        <f t="shared" si="92"/>
        <v>3978</v>
      </c>
      <c r="P781" s="18">
        <f t="shared" si="93"/>
        <v>372183.27120000002</v>
      </c>
      <c r="R781" s="65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>
      <c r="A782" s="54"/>
      <c r="B782" s="10">
        <v>45890</v>
      </c>
      <c r="C782" s="11">
        <f>VLOOKUP(B:B,'Курс валют'!A:D,4,0)</f>
        <v>93.479100000000003</v>
      </c>
      <c r="D782" s="57" t="s">
        <v>2195</v>
      </c>
      <c r="E782" s="50" t="s">
        <v>2196</v>
      </c>
      <c r="F782" s="58">
        <v>1000</v>
      </c>
      <c r="G782" s="57">
        <v>1013.8</v>
      </c>
      <c r="H782" s="56">
        <v>0</v>
      </c>
      <c r="I782" s="58">
        <f t="shared" si="88"/>
        <v>13.799999999999955</v>
      </c>
      <c r="J782" s="14">
        <f t="shared" si="94"/>
        <v>1.3799999999999955</v>
      </c>
      <c r="K782" s="56">
        <v>2.73</v>
      </c>
      <c r="L782" s="15">
        <f t="shared" si="90"/>
        <v>0</v>
      </c>
      <c r="M782" s="16">
        <f t="shared" si="91"/>
        <v>255.19794300000001</v>
      </c>
      <c r="N782" s="17">
        <f t="shared" si="95"/>
        <v>2.73</v>
      </c>
      <c r="O782" s="17">
        <f t="shared" si="92"/>
        <v>2730</v>
      </c>
      <c r="P782" s="18">
        <f t="shared" si="93"/>
        <v>255197.943</v>
      </c>
      <c r="R782" s="65"/>
      <c r="S782" s="19"/>
      <c r="T782" s="20"/>
      <c r="U782" s="20"/>
      <c r="V782" s="20"/>
      <c r="W782" s="20"/>
      <c r="X782" s="20"/>
      <c r="Y782" s="20"/>
      <c r="Z782" s="20"/>
      <c r="AA782" s="20"/>
    </row>
    <row r="783" spans="1:27" ht="12.75">
      <c r="A783" s="54"/>
      <c r="B783" s="10">
        <v>45890</v>
      </c>
      <c r="C783" s="11">
        <f>VLOOKUP(B:B,'Курс валют'!A:D,4,0)</f>
        <v>93.479100000000003</v>
      </c>
      <c r="D783" s="57" t="s">
        <v>2197</v>
      </c>
      <c r="E783" s="50" t="s">
        <v>15</v>
      </c>
      <c r="F783" s="58">
        <v>4400</v>
      </c>
      <c r="G783" s="57">
        <v>4440.3999999999996</v>
      </c>
      <c r="H783" s="56">
        <v>81.2</v>
      </c>
      <c r="I783" s="58">
        <f t="shared" si="88"/>
        <v>40.399999999999636</v>
      </c>
      <c r="J783" s="14">
        <f t="shared" si="94"/>
        <v>0.91818181818180988</v>
      </c>
      <c r="K783" s="56">
        <v>2.56</v>
      </c>
      <c r="L783" s="15">
        <f t="shared" si="90"/>
        <v>1.8454545454545457</v>
      </c>
      <c r="M783" s="16">
        <f t="shared" si="91"/>
        <v>234.06214852799999</v>
      </c>
      <c r="N783" s="17">
        <f t="shared" si="95"/>
        <v>2.5038981818181818</v>
      </c>
      <c r="O783" s="17">
        <f t="shared" si="92"/>
        <v>11017.152</v>
      </c>
      <c r="P783" s="18">
        <f t="shared" si="93"/>
        <v>1029873.4535232</v>
      </c>
      <c r="R783" s="66"/>
      <c r="S783" s="19"/>
      <c r="T783" s="20"/>
      <c r="U783" s="20"/>
      <c r="V783" s="20"/>
      <c r="W783" s="20"/>
      <c r="X783" s="20"/>
      <c r="Y783" s="20"/>
      <c r="Z783" s="20"/>
      <c r="AA783" s="20"/>
    </row>
    <row r="784" spans="1:27" ht="12.75">
      <c r="A784" s="54"/>
      <c r="B784" s="10">
        <v>45890</v>
      </c>
      <c r="C784" s="11">
        <f>VLOOKUP(B:B,'Курс валют'!A:D,4,0)</f>
        <v>93.479100000000003</v>
      </c>
      <c r="D784" s="57" t="s">
        <v>2198</v>
      </c>
      <c r="E784" s="50" t="s">
        <v>104</v>
      </c>
      <c r="F784" s="58">
        <v>2160</v>
      </c>
      <c r="G784" s="57">
        <v>2176.3000000000002</v>
      </c>
      <c r="H784" s="56">
        <v>0</v>
      </c>
      <c r="I784" s="58">
        <f t="shared" si="88"/>
        <v>16.300000000000182</v>
      </c>
      <c r="J784" s="14">
        <f t="shared" si="94"/>
        <v>0.75462962962963809</v>
      </c>
      <c r="K784" s="56">
        <v>2.65</v>
      </c>
      <c r="L784" s="15">
        <f t="shared" si="90"/>
        <v>0</v>
      </c>
      <c r="M784" s="16">
        <f t="shared" si="91"/>
        <v>247.719615</v>
      </c>
      <c r="N784" s="17">
        <f t="shared" si="95"/>
        <v>2.65</v>
      </c>
      <c r="O784" s="17">
        <f t="shared" si="92"/>
        <v>5724</v>
      </c>
      <c r="P784" s="18">
        <f t="shared" si="93"/>
        <v>535074.36840000004</v>
      </c>
      <c r="R784" s="66"/>
      <c r="S784" s="19"/>
      <c r="T784" s="20"/>
      <c r="U784" s="20"/>
      <c r="V784" s="20"/>
      <c r="W784" s="20"/>
      <c r="X784" s="20"/>
      <c r="Y784" s="20"/>
      <c r="Z784" s="20"/>
      <c r="AA784" s="20"/>
    </row>
    <row r="785" spans="1:27" ht="12.75">
      <c r="A785" s="54"/>
      <c r="B785" s="10">
        <v>45891</v>
      </c>
      <c r="C785" s="11">
        <f>VLOOKUP(B:B,'Курс валют'!A:D,4,0)</f>
        <v>93.504900000000006</v>
      </c>
      <c r="D785" s="57" t="s">
        <v>2199</v>
      </c>
      <c r="E785" s="50" t="s">
        <v>58</v>
      </c>
      <c r="F785" s="58">
        <v>8800</v>
      </c>
      <c r="G785" s="57">
        <v>8907.4</v>
      </c>
      <c r="H785" s="56">
        <v>159.19999999999999</v>
      </c>
      <c r="I785" s="58">
        <f t="shared" si="88"/>
        <v>107.39999999999964</v>
      </c>
      <c r="J785" s="14">
        <f t="shared" si="94"/>
        <v>1.2204545454545412</v>
      </c>
      <c r="K785" s="56">
        <v>2.63</v>
      </c>
      <c r="L785" s="15">
        <f t="shared" si="90"/>
        <v>1.8090909090909089</v>
      </c>
      <c r="M785" s="16">
        <f t="shared" si="91"/>
        <v>240.77545751781815</v>
      </c>
      <c r="N785" s="17">
        <f t="shared" si="95"/>
        <v>2.5750036363636362</v>
      </c>
      <c r="O785" s="17">
        <f t="shared" si="92"/>
        <v>22660.031999999999</v>
      </c>
      <c r="P785" s="18">
        <f t="shared" si="93"/>
        <v>2118824.0261567999</v>
      </c>
      <c r="R785" s="66"/>
      <c r="S785" s="19"/>
      <c r="T785" s="20"/>
      <c r="U785" s="20"/>
      <c r="V785" s="20"/>
      <c r="W785" s="20"/>
      <c r="X785" s="20"/>
      <c r="Y785" s="20"/>
      <c r="Z785" s="20"/>
      <c r="AA785" s="20"/>
    </row>
    <row r="786" spans="1:27" ht="12.75">
      <c r="A786" s="54"/>
      <c r="B786" s="10">
        <v>45891</v>
      </c>
      <c r="C786" s="11">
        <f>VLOOKUP(B:B,'Курс валют'!A:D,4,0)</f>
        <v>93.504900000000006</v>
      </c>
      <c r="D786" s="57" t="s">
        <v>2200</v>
      </c>
      <c r="E786" s="50" t="s">
        <v>60</v>
      </c>
      <c r="F786" s="58">
        <v>2250</v>
      </c>
      <c r="G786" s="52">
        <v>2274.6</v>
      </c>
      <c r="H786" s="56">
        <v>0</v>
      </c>
      <c r="I786" s="13">
        <f t="shared" si="88"/>
        <v>24.599999999999909</v>
      </c>
      <c r="J786" s="14">
        <f t="shared" si="94"/>
        <v>1.0933333333333293</v>
      </c>
      <c r="K786" s="56">
        <v>2.21</v>
      </c>
      <c r="L786" s="15">
        <f t="shared" si="90"/>
        <v>0</v>
      </c>
      <c r="M786" s="16">
        <f t="shared" si="91"/>
        <v>206.64582900000002</v>
      </c>
      <c r="N786" s="17">
        <f t="shared" si="95"/>
        <v>2.21</v>
      </c>
      <c r="O786" s="17">
        <f t="shared" si="92"/>
        <v>4972.5</v>
      </c>
      <c r="P786" s="18">
        <f t="shared" si="93"/>
        <v>464953.11525000003</v>
      </c>
      <c r="R786" s="65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>
      <c r="A787" s="54"/>
      <c r="B787" s="10">
        <v>45892</v>
      </c>
      <c r="C787" s="11">
        <f>VLOOKUP(B:B,'Курс валют'!A:D,4,0)</f>
        <v>93.627399999999994</v>
      </c>
      <c r="D787" s="57" t="s">
        <v>2201</v>
      </c>
      <c r="E787" s="50" t="s">
        <v>58</v>
      </c>
      <c r="F787" s="58">
        <v>8800</v>
      </c>
      <c r="G787" s="57">
        <v>8907.4</v>
      </c>
      <c r="H787" s="56">
        <v>159.19999999999999</v>
      </c>
      <c r="I787" s="58">
        <f t="shared" si="88"/>
        <v>107.39999999999964</v>
      </c>
      <c r="J787" s="14">
        <f t="shared" si="94"/>
        <v>1.2204545454545412</v>
      </c>
      <c r="K787" s="56">
        <v>2.63</v>
      </c>
      <c r="L787" s="15">
        <f t="shared" si="90"/>
        <v>1.8090909090909089</v>
      </c>
      <c r="M787" s="16">
        <f t="shared" si="91"/>
        <v>241.09089546327272</v>
      </c>
      <c r="N787" s="17">
        <f t="shared" si="95"/>
        <v>2.5750036363636362</v>
      </c>
      <c r="O787" s="17">
        <f t="shared" si="92"/>
        <v>22660.031999999999</v>
      </c>
      <c r="P787" s="18">
        <f t="shared" si="93"/>
        <v>2121599.8800768</v>
      </c>
      <c r="R787" s="66"/>
      <c r="S787" s="19"/>
      <c r="T787" s="20"/>
      <c r="U787" s="20"/>
      <c r="V787" s="20"/>
      <c r="W787" s="20"/>
      <c r="X787" s="20"/>
      <c r="Y787" s="20"/>
      <c r="Z787" s="20"/>
      <c r="AA787" s="20"/>
    </row>
    <row r="788" spans="1:27" ht="12.75">
      <c r="A788" s="54"/>
      <c r="B788" s="54">
        <v>45893</v>
      </c>
      <c r="C788" s="11">
        <f>VLOOKUP(B:B,'Курс валют'!A:D,4,0)</f>
        <v>93.627399999999994</v>
      </c>
      <c r="D788" s="57" t="s">
        <v>2202</v>
      </c>
      <c r="E788" s="50" t="s">
        <v>58</v>
      </c>
      <c r="F788" s="58">
        <v>8800</v>
      </c>
      <c r="G788" s="57">
        <v>8907.4</v>
      </c>
      <c r="H788" s="56">
        <v>159.19999999999999</v>
      </c>
      <c r="I788" s="58">
        <f t="shared" si="88"/>
        <v>107.39999999999964</v>
      </c>
      <c r="J788" s="14">
        <f t="shared" si="94"/>
        <v>1.2204545454545412</v>
      </c>
      <c r="K788" s="56">
        <v>2.62</v>
      </c>
      <c r="L788" s="15">
        <f t="shared" si="90"/>
        <v>1.8090909090909089</v>
      </c>
      <c r="M788" s="16">
        <f t="shared" si="91"/>
        <v>240.15462146327269</v>
      </c>
      <c r="N788" s="17">
        <f t="shared" si="95"/>
        <v>2.5650036363636364</v>
      </c>
      <c r="O788" s="17">
        <f t="shared" si="92"/>
        <v>22572.031999999999</v>
      </c>
      <c r="P788" s="18">
        <f t="shared" si="93"/>
        <v>2113360.6688767998</v>
      </c>
      <c r="R788" s="66"/>
      <c r="S788" s="19"/>
      <c r="T788" s="20"/>
      <c r="U788" s="20"/>
      <c r="V788" s="20"/>
      <c r="W788" s="20"/>
      <c r="X788" s="20"/>
      <c r="Y788" s="20"/>
      <c r="Z788" s="20"/>
      <c r="AA788" s="20"/>
    </row>
    <row r="789" spans="1:27" ht="12.75">
      <c r="A789" s="54"/>
      <c r="B789" s="10">
        <v>45894</v>
      </c>
      <c r="C789" s="11">
        <f>VLOOKUP(B:B,'Курс валют'!A:D,4,0)</f>
        <v>93.627399999999994</v>
      </c>
      <c r="D789" s="57" t="s">
        <v>2203</v>
      </c>
      <c r="E789" s="50" t="s">
        <v>58</v>
      </c>
      <c r="F789" s="58">
        <v>8800</v>
      </c>
      <c r="G789" s="57">
        <v>8907.4</v>
      </c>
      <c r="H789" s="56">
        <v>159.19999999999999</v>
      </c>
      <c r="I789" s="58">
        <f t="shared" si="88"/>
        <v>107.39999999999964</v>
      </c>
      <c r="J789" s="14">
        <f t="shared" si="94"/>
        <v>1.2204545454545412</v>
      </c>
      <c r="K789" s="56">
        <v>2.64</v>
      </c>
      <c r="L789" s="15">
        <f t="shared" si="90"/>
        <v>1.8090909090909089</v>
      </c>
      <c r="M789" s="16">
        <f t="shared" si="91"/>
        <v>242.02716946327271</v>
      </c>
      <c r="N789" s="17">
        <f t="shared" si="95"/>
        <v>2.5850036363636364</v>
      </c>
      <c r="O789" s="17">
        <f t="shared" si="92"/>
        <v>22748.031999999999</v>
      </c>
      <c r="P789" s="18">
        <f t="shared" si="93"/>
        <v>2129839.0912767998</v>
      </c>
      <c r="R789" s="66"/>
      <c r="S789" s="19"/>
      <c r="T789" s="20"/>
      <c r="U789" s="20"/>
      <c r="V789" s="20"/>
      <c r="W789" s="20"/>
      <c r="X789" s="20"/>
      <c r="Y789" s="20"/>
      <c r="Z789" s="20"/>
      <c r="AA789" s="20"/>
    </row>
    <row r="790" spans="1:27" ht="12.75">
      <c r="A790" s="54"/>
      <c r="B790" s="10">
        <v>45895</v>
      </c>
      <c r="C790" s="11">
        <f>VLOOKUP(B:B,'Курс валют'!A:D,4,0)</f>
        <v>94.462199999999996</v>
      </c>
      <c r="D790" s="57" t="s">
        <v>2204</v>
      </c>
      <c r="E790" s="50" t="s">
        <v>15</v>
      </c>
      <c r="F790" s="58">
        <v>8800</v>
      </c>
      <c r="G790" s="52">
        <v>8858.4</v>
      </c>
      <c r="H790" s="56">
        <v>160</v>
      </c>
      <c r="I790" s="13">
        <f t="shared" si="88"/>
        <v>58.399999999999636</v>
      </c>
      <c r="J790" s="14">
        <f t="shared" si="94"/>
        <v>0.66363636363635947</v>
      </c>
      <c r="K790" s="56">
        <v>2.57</v>
      </c>
      <c r="L790" s="15">
        <f t="shared" si="90"/>
        <v>1.8181818181818181</v>
      </c>
      <c r="M790" s="16">
        <f t="shared" si="91"/>
        <v>237.54667058181818</v>
      </c>
      <c r="N790" s="17">
        <f t="shared" si="95"/>
        <v>2.5147272727272725</v>
      </c>
      <c r="O790" s="17">
        <f t="shared" si="92"/>
        <v>22129.599999999999</v>
      </c>
      <c r="P790" s="18">
        <f t="shared" si="93"/>
        <v>2090410.7011199999</v>
      </c>
      <c r="R790" s="66"/>
      <c r="S790" s="19"/>
      <c r="T790" s="20"/>
      <c r="U790" s="20"/>
      <c r="V790" s="20"/>
      <c r="W790" s="20"/>
      <c r="X790" s="20"/>
      <c r="Y790" s="20"/>
      <c r="Z790" s="20"/>
      <c r="AA790" s="20"/>
    </row>
    <row r="791" spans="1:27" ht="12.75">
      <c r="A791" s="54"/>
      <c r="B791" s="10">
        <v>45896</v>
      </c>
      <c r="C791" s="11">
        <f>VLOOKUP(B:B,'Курс валют'!A:D,4,0)</f>
        <v>93.368399999999994</v>
      </c>
      <c r="D791" s="57" t="s">
        <v>2205</v>
      </c>
      <c r="E791" s="50" t="s">
        <v>15</v>
      </c>
      <c r="F791" s="58">
        <v>8800</v>
      </c>
      <c r="G791" s="57">
        <v>8858.4</v>
      </c>
      <c r="H791" s="56">
        <v>160</v>
      </c>
      <c r="I791" s="58">
        <f t="shared" si="88"/>
        <v>58.399999999999636</v>
      </c>
      <c r="J791" s="14">
        <f t="shared" si="94"/>
        <v>0.66363636363635947</v>
      </c>
      <c r="K791" s="56">
        <v>2.77</v>
      </c>
      <c r="L791" s="15">
        <f t="shared" si="90"/>
        <v>1.8181818181818181</v>
      </c>
      <c r="M791" s="16">
        <f t="shared" si="91"/>
        <v>253.46974189090906</v>
      </c>
      <c r="N791" s="17">
        <f t="shared" si="95"/>
        <v>2.7147272727272727</v>
      </c>
      <c r="O791" s="17">
        <f t="shared" si="92"/>
        <v>23889.599999999999</v>
      </c>
      <c r="P791" s="18">
        <f t="shared" si="93"/>
        <v>2230533.7286399999</v>
      </c>
      <c r="R791" s="66"/>
      <c r="S791" s="19"/>
      <c r="T791" s="20"/>
      <c r="U791" s="20"/>
      <c r="V791" s="20"/>
      <c r="W791" s="20"/>
      <c r="X791" s="20"/>
      <c r="Y791" s="20"/>
      <c r="Z791" s="20"/>
      <c r="AA791" s="20"/>
    </row>
    <row r="792" spans="1:27" ht="12.75">
      <c r="A792" s="54"/>
      <c r="B792" s="10">
        <v>45897</v>
      </c>
      <c r="C792" s="11">
        <f>VLOOKUP(B:B,'Курс валют'!A:D,4,0)</f>
        <v>93.342799999999997</v>
      </c>
      <c r="D792" s="57" t="s">
        <v>2206</v>
      </c>
      <c r="E792" s="50" t="s">
        <v>50</v>
      </c>
      <c r="F792" s="58">
        <v>800</v>
      </c>
      <c r="G792" s="52">
        <v>810.05</v>
      </c>
      <c r="H792" s="56">
        <v>0</v>
      </c>
      <c r="I792" s="13">
        <f t="shared" si="88"/>
        <v>10.049999999999955</v>
      </c>
      <c r="J792" s="14">
        <f t="shared" si="94"/>
        <v>1.2562499999999943</v>
      </c>
      <c r="K792" s="56">
        <v>1.87</v>
      </c>
      <c r="L792" s="15">
        <f t="shared" si="90"/>
        <v>0</v>
      </c>
      <c r="M792" s="16">
        <f t="shared" si="91"/>
        <v>174.55103599999998</v>
      </c>
      <c r="N792" s="17">
        <f t="shared" si="95"/>
        <v>1.87</v>
      </c>
      <c r="O792" s="17">
        <f t="shared" si="92"/>
        <v>1496</v>
      </c>
      <c r="P792" s="18">
        <f t="shared" si="93"/>
        <v>139640.82879999999</v>
      </c>
      <c r="R792" s="66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>
      <c r="A793" s="54"/>
      <c r="B793" s="10">
        <v>45897</v>
      </c>
      <c r="C793" s="11">
        <f>VLOOKUP(B:B,'Курс валют'!A:D,4,0)</f>
        <v>93.342799999999997</v>
      </c>
      <c r="D793" s="57" t="s">
        <v>2207</v>
      </c>
      <c r="E793" s="50" t="s">
        <v>104</v>
      </c>
      <c r="F793" s="58">
        <v>1920</v>
      </c>
      <c r="G793" s="57">
        <v>1943</v>
      </c>
      <c r="H793" s="56">
        <v>0</v>
      </c>
      <c r="I793" s="58">
        <f t="shared" si="88"/>
        <v>23</v>
      </c>
      <c r="J793" s="14">
        <f t="shared" si="94"/>
        <v>1.1979166666666667</v>
      </c>
      <c r="K793" s="56">
        <v>2.66</v>
      </c>
      <c r="L793" s="15">
        <f t="shared" si="90"/>
        <v>0</v>
      </c>
      <c r="M793" s="16">
        <f t="shared" si="91"/>
        <v>248.29184800000002</v>
      </c>
      <c r="N793" s="17">
        <f t="shared" si="95"/>
        <v>2.6600000000000006</v>
      </c>
      <c r="O793" s="17">
        <f t="shared" si="92"/>
        <v>5107.2000000000007</v>
      </c>
      <c r="P793" s="18">
        <f t="shared" si="93"/>
        <v>476720.34816000005</v>
      </c>
      <c r="R793" s="66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>
      <c r="A794" s="54"/>
      <c r="B794" s="10">
        <v>45897</v>
      </c>
      <c r="C794" s="11">
        <f>VLOOKUP(B:B,'Курс валют'!A:D,4,0)</f>
        <v>93.342799999999997</v>
      </c>
      <c r="D794" s="57" t="s">
        <v>2208</v>
      </c>
      <c r="E794" s="50" t="s">
        <v>2209</v>
      </c>
      <c r="F794" s="58">
        <v>6400</v>
      </c>
      <c r="G794" s="57">
        <v>6480.3</v>
      </c>
      <c r="H794" s="56">
        <v>613.28</v>
      </c>
      <c r="I794" s="58">
        <f t="shared" si="88"/>
        <v>80.300000000000182</v>
      </c>
      <c r="J794" s="14">
        <f t="shared" si="94"/>
        <v>1.2546875000000028</v>
      </c>
      <c r="K794" s="56">
        <v>1.78</v>
      </c>
      <c r="L794" s="15">
        <f t="shared" si="90"/>
        <v>9.5824999999999996</v>
      </c>
      <c r="M794" s="16">
        <f t="shared" si="91"/>
        <v>144.2359781655</v>
      </c>
      <c r="N794" s="17">
        <f>(F794*K794-H794*2.45)/F794</f>
        <v>1.5452287499999999</v>
      </c>
      <c r="O794" s="17">
        <f t="shared" si="92"/>
        <v>9889.4639999999999</v>
      </c>
      <c r="P794" s="18">
        <f t="shared" si="93"/>
        <v>923110.2602592</v>
      </c>
      <c r="S794" s="19"/>
      <c r="T794" s="20"/>
      <c r="U794" s="20"/>
      <c r="V794" s="20"/>
      <c r="W794" s="20"/>
      <c r="X794" s="20"/>
      <c r="Y794" s="20"/>
      <c r="Z794" s="20"/>
      <c r="AA794" s="20"/>
    </row>
    <row r="795" spans="1:27" ht="12.75">
      <c r="A795" s="54"/>
      <c r="B795" s="10">
        <v>45898</v>
      </c>
      <c r="C795" s="11">
        <f>VLOOKUP(B:B,'Курс валют'!A:D,4,0)</f>
        <v>93.489099999999993</v>
      </c>
      <c r="D795" s="57" t="s">
        <v>2210</v>
      </c>
      <c r="E795" s="50" t="s">
        <v>2209</v>
      </c>
      <c r="F795" s="58">
        <v>8000</v>
      </c>
      <c r="G795" s="57">
        <v>8100.4</v>
      </c>
      <c r="H795" s="49">
        <v>766.6</v>
      </c>
      <c r="I795" s="58">
        <f t="shared" si="88"/>
        <v>100.39999999999964</v>
      </c>
      <c r="J795" s="14">
        <f t="shared" si="94"/>
        <v>1.2549999999999955</v>
      </c>
      <c r="K795" s="56">
        <v>1.78</v>
      </c>
      <c r="L795" s="15">
        <f t="shared" si="90"/>
        <v>9.5825000000000014</v>
      </c>
      <c r="M795" s="16">
        <f t="shared" si="91"/>
        <v>139.1764752572</v>
      </c>
      <c r="N795" s="17">
        <f t="shared" ref="N795:N848" si="96">(F795*K795-H795*3.04)/F795</f>
        <v>1.4886919999999999</v>
      </c>
      <c r="O795" s="17">
        <f t="shared" si="92"/>
        <v>11909.536</v>
      </c>
      <c r="P795" s="18">
        <f t="shared" si="93"/>
        <v>1113411.8020575999</v>
      </c>
      <c r="R795" s="66"/>
      <c r="S795" s="19"/>
      <c r="T795" s="20"/>
      <c r="U795" s="20"/>
      <c r="V795" s="20"/>
      <c r="W795" s="20"/>
      <c r="X795" s="20"/>
      <c r="Y795" s="20"/>
      <c r="Z795" s="20"/>
      <c r="AA795" s="20"/>
    </row>
    <row r="796" spans="1:27" ht="12.75">
      <c r="A796" s="54"/>
      <c r="B796" s="10">
        <v>45898</v>
      </c>
      <c r="C796" s="11">
        <f>VLOOKUP(B:B,'Курс валют'!A:D,4,0)</f>
        <v>93.489099999999993</v>
      </c>
      <c r="D796" s="57" t="s">
        <v>2211</v>
      </c>
      <c r="E796" s="50" t="s">
        <v>104</v>
      </c>
      <c r="F796" s="58">
        <v>1440</v>
      </c>
      <c r="G796" s="57">
        <v>1458</v>
      </c>
      <c r="H796" s="49">
        <v>0</v>
      </c>
      <c r="I796" s="58">
        <f t="shared" si="88"/>
        <v>18</v>
      </c>
      <c r="J796" s="14">
        <f t="shared" si="94"/>
        <v>1.25</v>
      </c>
      <c r="K796" s="56">
        <v>2.66</v>
      </c>
      <c r="L796" s="15">
        <f t="shared" si="90"/>
        <v>0</v>
      </c>
      <c r="M796" s="16">
        <f t="shared" si="91"/>
        <v>248.68100599999997</v>
      </c>
      <c r="N796" s="17">
        <f t="shared" si="96"/>
        <v>2.66</v>
      </c>
      <c r="O796" s="17">
        <f t="shared" si="92"/>
        <v>3830.4</v>
      </c>
      <c r="P796" s="18">
        <f t="shared" si="93"/>
        <v>358100.64863999997</v>
      </c>
      <c r="R796" s="65"/>
      <c r="S796" s="19"/>
      <c r="T796" s="20"/>
      <c r="U796" s="20"/>
      <c r="V796" s="20"/>
      <c r="W796" s="20"/>
      <c r="X796" s="20"/>
      <c r="Y796" s="20"/>
      <c r="Z796" s="20"/>
      <c r="AA796" s="20"/>
    </row>
    <row r="797" spans="1:27" ht="12.75">
      <c r="A797" s="54"/>
      <c r="B797" s="10">
        <v>45899</v>
      </c>
      <c r="C797" s="11">
        <f>VLOOKUP(B:B,'Курс валют'!A:D,4,0)</f>
        <v>94.047899999999998</v>
      </c>
      <c r="D797" s="57" t="s">
        <v>2212</v>
      </c>
      <c r="E797" s="50" t="s">
        <v>2209</v>
      </c>
      <c r="F797" s="58">
        <v>1600</v>
      </c>
      <c r="G797" s="57">
        <v>1637.53</v>
      </c>
      <c r="H797" s="49">
        <v>155.6</v>
      </c>
      <c r="I797" s="58">
        <f t="shared" si="88"/>
        <v>37.529999999999973</v>
      </c>
      <c r="J797" s="14">
        <f t="shared" si="94"/>
        <v>2.3456249999999983</v>
      </c>
      <c r="K797" s="56">
        <v>1.8</v>
      </c>
      <c r="L797" s="15">
        <f t="shared" si="90"/>
        <v>9.7249999999999996</v>
      </c>
      <c r="M797" s="16">
        <f t="shared" si="91"/>
        <v>141.481898844</v>
      </c>
      <c r="N797" s="17">
        <f t="shared" si="96"/>
        <v>1.5043600000000001</v>
      </c>
      <c r="O797" s="17">
        <f t="shared" si="92"/>
        <v>2406.9760000000001</v>
      </c>
      <c r="P797" s="18">
        <f t="shared" si="93"/>
        <v>226371.03815040001</v>
      </c>
      <c r="R797" s="65"/>
      <c r="S797" s="19"/>
      <c r="T797" s="20"/>
      <c r="U797" s="20"/>
      <c r="V797" s="20"/>
      <c r="W797" s="20"/>
      <c r="X797" s="20"/>
      <c r="Y797" s="20"/>
      <c r="Z797" s="20"/>
      <c r="AA797" s="20"/>
    </row>
    <row r="798" spans="1:27" ht="12.75">
      <c r="A798" s="54"/>
      <c r="B798" s="10">
        <v>45899</v>
      </c>
      <c r="C798" s="11">
        <f>VLOOKUP(B:B,'Курс валют'!A:D,4,0)</f>
        <v>94.047899999999998</v>
      </c>
      <c r="D798" s="57" t="s">
        <v>2213</v>
      </c>
      <c r="E798" s="50" t="s">
        <v>2116</v>
      </c>
      <c r="F798" s="58">
        <v>4500</v>
      </c>
      <c r="G798" s="57">
        <v>4545</v>
      </c>
      <c r="H798" s="49">
        <v>0</v>
      </c>
      <c r="I798" s="58">
        <f t="shared" si="88"/>
        <v>45</v>
      </c>
      <c r="J798" s="14">
        <f t="shared" si="94"/>
        <v>1</v>
      </c>
      <c r="K798" s="56">
        <v>2.0499999999999998</v>
      </c>
      <c r="L798" s="15">
        <f t="shared" si="90"/>
        <v>0</v>
      </c>
      <c r="M798" s="16">
        <f t="shared" si="91"/>
        <v>192.79819499999999</v>
      </c>
      <c r="N798" s="17">
        <f t="shared" si="96"/>
        <v>2.0499999999999998</v>
      </c>
      <c r="O798" s="17">
        <f t="shared" si="92"/>
        <v>9225</v>
      </c>
      <c r="P798" s="18">
        <f t="shared" si="93"/>
        <v>867591.87749999994</v>
      </c>
      <c r="R798" s="65"/>
      <c r="S798" s="19"/>
      <c r="T798" s="20"/>
      <c r="U798" s="20"/>
      <c r="V798" s="20"/>
      <c r="W798" s="20"/>
      <c r="X798" s="20"/>
      <c r="Y798" s="20"/>
      <c r="Z798" s="20"/>
      <c r="AA798" s="20"/>
    </row>
    <row r="799" spans="1:27" ht="12.75">
      <c r="A799" s="54"/>
      <c r="B799" s="10">
        <v>45899</v>
      </c>
      <c r="C799" s="11">
        <f>VLOOKUP(B:B,'Курс валют'!A:D,4,0)</f>
        <v>94.047899999999998</v>
      </c>
      <c r="D799" s="57" t="s">
        <v>2214</v>
      </c>
      <c r="E799" s="50" t="s">
        <v>104</v>
      </c>
      <c r="F799" s="58">
        <v>1440</v>
      </c>
      <c r="G799" s="57">
        <v>1440</v>
      </c>
      <c r="H799" s="49">
        <v>0</v>
      </c>
      <c r="I799" s="58">
        <f t="shared" si="88"/>
        <v>0</v>
      </c>
      <c r="J799" s="14">
        <f t="shared" si="94"/>
        <v>0</v>
      </c>
      <c r="K799" s="56">
        <v>2.63</v>
      </c>
      <c r="L799" s="15">
        <f t="shared" si="90"/>
        <v>0</v>
      </c>
      <c r="M799" s="16">
        <f t="shared" si="91"/>
        <v>247.34597699999998</v>
      </c>
      <c r="N799" s="17">
        <f t="shared" si="96"/>
        <v>2.63</v>
      </c>
      <c r="O799" s="17">
        <f t="shared" si="92"/>
        <v>3787.2</v>
      </c>
      <c r="P799" s="18">
        <f t="shared" si="93"/>
        <v>356178.20687999995</v>
      </c>
      <c r="R799" s="65"/>
      <c r="S799" s="19"/>
      <c r="T799" s="20"/>
      <c r="U799" s="20"/>
      <c r="V799" s="20"/>
      <c r="W799" s="20"/>
      <c r="X799" s="20"/>
      <c r="Y799" s="20"/>
      <c r="Z799" s="20"/>
      <c r="AA799" s="20"/>
    </row>
    <row r="800" spans="1:27" ht="12.75">
      <c r="A800" s="54"/>
      <c r="B800" s="10">
        <v>45900</v>
      </c>
      <c r="C800" s="11">
        <f>VLOOKUP(B:B,'Курс валют'!A:D,4,0)</f>
        <v>94.047899999999998</v>
      </c>
      <c r="D800" s="57" t="s">
        <v>2215</v>
      </c>
      <c r="E800" s="50" t="s">
        <v>60</v>
      </c>
      <c r="F800" s="58">
        <v>1800</v>
      </c>
      <c r="G800" s="57">
        <v>1825.84</v>
      </c>
      <c r="H800" s="56">
        <v>727.2</v>
      </c>
      <c r="I800" s="58">
        <f t="shared" si="88"/>
        <v>25.839999999999918</v>
      </c>
      <c r="J800" s="14">
        <f t="shared" si="94"/>
        <v>1.435555555555551</v>
      </c>
      <c r="K800" s="53">
        <v>3.23</v>
      </c>
      <c r="L800" s="15">
        <f t="shared" si="90"/>
        <v>40.400000000000006</v>
      </c>
      <c r="M800" s="16">
        <f t="shared" si="91"/>
        <v>188.268848136</v>
      </c>
      <c r="N800" s="17">
        <f t="shared" si="96"/>
        <v>2.0018400000000001</v>
      </c>
      <c r="O800" s="17">
        <f t="shared" si="92"/>
        <v>3603.3119999999999</v>
      </c>
      <c r="P800" s="18">
        <f t="shared" si="93"/>
        <v>338883.9266448</v>
      </c>
      <c r="R800" s="65"/>
      <c r="S800" s="19"/>
      <c r="T800" s="20"/>
      <c r="U800" s="20"/>
      <c r="V800" s="20"/>
      <c r="W800" s="20"/>
      <c r="X800" s="20"/>
      <c r="Y800" s="20"/>
      <c r="Z800" s="20"/>
      <c r="AA800" s="20"/>
    </row>
    <row r="801" spans="1:27" ht="12.75">
      <c r="A801" s="54"/>
      <c r="B801" s="10">
        <v>45900</v>
      </c>
      <c r="C801" s="11">
        <f>VLOOKUP(B:B,'Курс валют'!A:D,4,0)</f>
        <v>94.047899999999998</v>
      </c>
      <c r="D801" s="57" t="s">
        <v>2216</v>
      </c>
      <c r="E801" s="50" t="s">
        <v>15</v>
      </c>
      <c r="F801" s="58">
        <v>8800</v>
      </c>
      <c r="G801" s="57">
        <v>8900.7999999999993</v>
      </c>
      <c r="H801" s="56">
        <v>4060.8</v>
      </c>
      <c r="I801" s="58">
        <f t="shared" si="88"/>
        <v>100.79999999999927</v>
      </c>
      <c r="J801" s="14">
        <f t="shared" si="94"/>
        <v>1.1454545454545373</v>
      </c>
      <c r="K801" s="53">
        <v>3.69</v>
      </c>
      <c r="L801" s="15">
        <f t="shared" si="90"/>
        <v>46.145454545454548</v>
      </c>
      <c r="M801" s="16">
        <f t="shared" si="91"/>
        <v>215.10430492581816</v>
      </c>
      <c r="N801" s="17">
        <f t="shared" si="96"/>
        <v>2.2871781818181818</v>
      </c>
      <c r="O801" s="17">
        <f t="shared" si="92"/>
        <v>20127.167999999998</v>
      </c>
      <c r="P801" s="18">
        <f t="shared" si="93"/>
        <v>1892917.8833471998</v>
      </c>
      <c r="R801" s="65"/>
      <c r="S801" s="19"/>
      <c r="T801" s="20"/>
      <c r="U801" s="20"/>
      <c r="V801" s="20"/>
      <c r="W801" s="20"/>
      <c r="X801" s="20"/>
      <c r="Y801" s="20"/>
      <c r="Z801" s="20"/>
      <c r="AA801" s="20"/>
    </row>
    <row r="802" spans="1:27" ht="12.75">
      <c r="A802" s="10"/>
      <c r="B802" s="10">
        <v>45901</v>
      </c>
      <c r="C802" s="11">
        <f>VLOOKUP(B:B,'Курс валют'!A:D,4,0)</f>
        <v>94.047899999999998</v>
      </c>
      <c r="D802" s="45" t="s">
        <v>2074</v>
      </c>
      <c r="E802" s="62" t="s">
        <v>15</v>
      </c>
      <c r="F802" s="11">
        <v>11000</v>
      </c>
      <c r="G802" s="11">
        <v>11130</v>
      </c>
      <c r="H802" s="56">
        <v>5076</v>
      </c>
      <c r="I802" s="58">
        <f t="shared" si="88"/>
        <v>130</v>
      </c>
      <c r="J802" s="14">
        <f t="shared" si="94"/>
        <v>1.1818181818181819</v>
      </c>
      <c r="K802" s="46">
        <v>3.78</v>
      </c>
      <c r="L802" s="15">
        <f t="shared" si="90"/>
        <v>46.145454545454548</v>
      </c>
      <c r="M802" s="16">
        <f t="shared" si="91"/>
        <v>223.56861592581816</v>
      </c>
      <c r="N802" s="17">
        <f t="shared" si="96"/>
        <v>2.3771781818181816</v>
      </c>
      <c r="O802" s="17">
        <f t="shared" si="92"/>
        <v>26148.959999999999</v>
      </c>
      <c r="P802" s="18">
        <f t="shared" si="93"/>
        <v>2459254.7751839999</v>
      </c>
      <c r="R802" s="66"/>
      <c r="S802" s="19"/>
      <c r="T802" s="20"/>
      <c r="U802" s="20"/>
      <c r="V802" s="20"/>
      <c r="W802" s="20"/>
      <c r="X802" s="20"/>
      <c r="Y802" s="20"/>
      <c r="Z802" s="20"/>
      <c r="AA802" s="20"/>
    </row>
    <row r="803" spans="1:27" ht="12.75">
      <c r="A803" s="10"/>
      <c r="B803" s="10">
        <v>45902</v>
      </c>
      <c r="C803" s="11">
        <f>VLOOKUP(B:B,'Курс валют'!A:D,4,0)</f>
        <v>94.384100000000004</v>
      </c>
      <c r="D803" s="57" t="s">
        <v>2075</v>
      </c>
      <c r="E803" s="12" t="s">
        <v>15</v>
      </c>
      <c r="F803" s="58">
        <v>6600</v>
      </c>
      <c r="G803" s="58">
        <v>6675.6</v>
      </c>
      <c r="H803" s="56">
        <v>3045.6</v>
      </c>
      <c r="I803" s="58">
        <f t="shared" si="88"/>
        <v>75.600000000000364</v>
      </c>
      <c r="J803" s="14">
        <f t="shared" si="94"/>
        <v>1.1454545454545508</v>
      </c>
      <c r="K803" s="56">
        <v>3.77</v>
      </c>
      <c r="L803" s="15">
        <f t="shared" si="90"/>
        <v>46.145454545454548</v>
      </c>
      <c r="M803" s="16">
        <f t="shared" si="91"/>
        <v>223.42398223054545</v>
      </c>
      <c r="N803" s="17">
        <f t="shared" si="96"/>
        <v>2.3671781818181818</v>
      </c>
      <c r="O803" s="17">
        <f t="shared" si="92"/>
        <v>15623.376</v>
      </c>
      <c r="P803" s="18">
        <f t="shared" si="93"/>
        <v>1474598.2827216</v>
      </c>
      <c r="R803" s="66"/>
      <c r="S803" s="19"/>
      <c r="T803" s="20"/>
      <c r="U803" s="20"/>
      <c r="V803" s="20"/>
      <c r="W803" s="20"/>
      <c r="X803" s="20"/>
      <c r="Y803" s="20"/>
      <c r="Z803" s="20"/>
      <c r="AA803" s="20"/>
    </row>
    <row r="804" spans="1:27" ht="12.75">
      <c r="A804" s="10"/>
      <c r="B804" s="10">
        <v>45902</v>
      </c>
      <c r="C804" s="11">
        <f>VLOOKUP(B:B,'Курс валют'!A:D,4,0)</f>
        <v>94.384100000000004</v>
      </c>
      <c r="D804" s="57" t="s">
        <v>2076</v>
      </c>
      <c r="E804" s="12" t="s">
        <v>1023</v>
      </c>
      <c r="F804" s="58">
        <v>180</v>
      </c>
      <c r="G804" s="58">
        <v>180</v>
      </c>
      <c r="H804" s="56">
        <v>0</v>
      </c>
      <c r="I804" s="58">
        <f t="shared" si="88"/>
        <v>0</v>
      </c>
      <c r="J804" s="14">
        <f t="shared" si="94"/>
        <v>0</v>
      </c>
      <c r="K804" s="56">
        <v>2.4300000000000002</v>
      </c>
      <c r="L804" s="15">
        <f t="shared" si="90"/>
        <v>0</v>
      </c>
      <c r="M804" s="16">
        <f t="shared" si="91"/>
        <v>229.353363</v>
      </c>
      <c r="N804" s="17">
        <f t="shared" si="96"/>
        <v>2.4300000000000002</v>
      </c>
      <c r="O804" s="17">
        <f t="shared" si="92"/>
        <v>437.40000000000003</v>
      </c>
      <c r="P804" s="18">
        <f t="shared" si="93"/>
        <v>41283.605340000002</v>
      </c>
      <c r="R804" s="66" t="s">
        <v>1267</v>
      </c>
      <c r="S804" s="19"/>
      <c r="T804" s="20"/>
      <c r="U804" s="20"/>
      <c r="V804" s="20"/>
      <c r="W804" s="20"/>
      <c r="X804" s="20"/>
      <c r="Y804" s="20"/>
      <c r="Z804" s="20"/>
      <c r="AA804" s="20"/>
    </row>
    <row r="805" spans="1:27" ht="12.75">
      <c r="A805" s="10"/>
      <c r="B805" s="10">
        <v>45902</v>
      </c>
      <c r="C805" s="11">
        <f>VLOOKUP(B:B,'Курс валют'!A:D,4,0)</f>
        <v>94.384100000000004</v>
      </c>
      <c r="D805" s="57" t="s">
        <v>2077</v>
      </c>
      <c r="E805" s="26" t="s">
        <v>126</v>
      </c>
      <c r="F805" s="58">
        <v>23.18</v>
      </c>
      <c r="G805" s="58">
        <v>23.18</v>
      </c>
      <c r="H805" s="56">
        <v>0</v>
      </c>
      <c r="I805" s="58">
        <f t="shared" si="88"/>
        <v>0</v>
      </c>
      <c r="J805" s="14">
        <f t="shared" si="94"/>
        <v>0</v>
      </c>
      <c r="K805" s="56">
        <v>1.48</v>
      </c>
      <c r="L805" s="15">
        <f t="shared" si="90"/>
        <v>0</v>
      </c>
      <c r="M805" s="16">
        <f t="shared" si="91"/>
        <v>139.688468</v>
      </c>
      <c r="N805" s="17">
        <f t="shared" si="96"/>
        <v>1.4799999999999998</v>
      </c>
      <c r="O805" s="17">
        <f t="shared" si="92"/>
        <v>34.306399999999996</v>
      </c>
      <c r="P805" s="18">
        <f t="shared" si="93"/>
        <v>3237.9786882399999</v>
      </c>
      <c r="R805" s="66" t="s">
        <v>1267</v>
      </c>
      <c r="S805" s="19"/>
      <c r="T805" s="20"/>
      <c r="U805" s="20"/>
      <c r="V805" s="20"/>
      <c r="W805" s="20"/>
      <c r="X805" s="20"/>
      <c r="Y805" s="20"/>
      <c r="Z805" s="20"/>
      <c r="AA805" s="20"/>
    </row>
    <row r="806" spans="1:27" ht="12.75">
      <c r="A806" s="10"/>
      <c r="B806" s="10">
        <v>45903</v>
      </c>
      <c r="C806" s="11">
        <f>VLOOKUP(B:B,'Курс валют'!A:D,4,0)</f>
        <v>93.837299999999999</v>
      </c>
      <c r="D806" s="57" t="s">
        <v>2078</v>
      </c>
      <c r="E806" s="26" t="s">
        <v>105</v>
      </c>
      <c r="F806" s="58">
        <v>69.540000000000006</v>
      </c>
      <c r="G806" s="58">
        <v>72.13</v>
      </c>
      <c r="H806" s="56">
        <v>0</v>
      </c>
      <c r="I806" s="58">
        <f t="shared" si="88"/>
        <v>2.5899999999999892</v>
      </c>
      <c r="J806" s="14">
        <f t="shared" si="94"/>
        <v>3.7244751222317936</v>
      </c>
      <c r="K806" s="56">
        <v>1.63</v>
      </c>
      <c r="L806" s="15">
        <f t="shared" si="90"/>
        <v>0</v>
      </c>
      <c r="M806" s="16">
        <f t="shared" si="91"/>
        <v>152.95479899999998</v>
      </c>
      <c r="N806" s="17">
        <f t="shared" si="96"/>
        <v>1.63</v>
      </c>
      <c r="O806" s="17">
        <f t="shared" si="92"/>
        <v>113.3502</v>
      </c>
      <c r="P806" s="18">
        <f t="shared" si="93"/>
        <v>10636.47672246</v>
      </c>
      <c r="R806" s="66"/>
      <c r="S806" s="19"/>
      <c r="T806" s="20"/>
      <c r="U806" s="20"/>
      <c r="V806" s="20"/>
      <c r="W806" s="20"/>
      <c r="X806" s="20"/>
      <c r="Y806" s="20"/>
      <c r="Z806" s="20"/>
      <c r="AA806" s="20"/>
    </row>
    <row r="807" spans="1:27" ht="12.75">
      <c r="A807" s="10"/>
      <c r="B807" s="10">
        <v>45903</v>
      </c>
      <c r="C807" s="11">
        <f>VLOOKUP(B:B,'Курс валют'!A:D,4,0)</f>
        <v>93.837299999999999</v>
      </c>
      <c r="D807" s="57" t="s">
        <v>2079</v>
      </c>
      <c r="E807" s="26" t="s">
        <v>115</v>
      </c>
      <c r="F807" s="58">
        <v>296</v>
      </c>
      <c r="G807" s="58">
        <v>309.40800000000002</v>
      </c>
      <c r="H807" s="56">
        <v>0</v>
      </c>
      <c r="I807" s="58">
        <f t="shared" si="88"/>
        <v>13.408000000000015</v>
      </c>
      <c r="J807" s="14">
        <f t="shared" si="94"/>
        <v>4.529729729729735</v>
      </c>
      <c r="K807" s="56">
        <v>1.54</v>
      </c>
      <c r="L807" s="15">
        <f t="shared" si="90"/>
        <v>0</v>
      </c>
      <c r="M807" s="16">
        <f t="shared" si="91"/>
        <v>144.50944200000001</v>
      </c>
      <c r="N807" s="17">
        <f t="shared" si="96"/>
        <v>1.54</v>
      </c>
      <c r="O807" s="17">
        <f t="shared" si="92"/>
        <v>455.84000000000003</v>
      </c>
      <c r="P807" s="18">
        <f t="shared" si="93"/>
        <v>42774.794832</v>
      </c>
      <c r="R807" s="66"/>
      <c r="S807" s="19"/>
      <c r="T807" s="20"/>
      <c r="U807" s="20"/>
      <c r="V807" s="20"/>
      <c r="W807" s="20"/>
      <c r="X807" s="20"/>
      <c r="Y807" s="20"/>
      <c r="Z807" s="20"/>
      <c r="AA807" s="20"/>
    </row>
    <row r="808" spans="1:27" ht="12.75">
      <c r="A808" s="10"/>
      <c r="B808" s="10">
        <v>45903</v>
      </c>
      <c r="C808" s="11">
        <f>VLOOKUP(B:B,'Курс валют'!A:D,4,0)</f>
        <v>93.837299999999999</v>
      </c>
      <c r="D808" s="57" t="s">
        <v>2080</v>
      </c>
      <c r="E808" s="21" t="s">
        <v>2081</v>
      </c>
      <c r="F808" s="58">
        <v>7.4</v>
      </c>
      <c r="G808" s="58">
        <v>7.4420000000000002</v>
      </c>
      <c r="H808" s="56">
        <v>0</v>
      </c>
      <c r="I808" s="58">
        <f t="shared" si="88"/>
        <v>4.1999999999999815E-2</v>
      </c>
      <c r="J808" s="14">
        <f t="shared" si="94"/>
        <v>0.5675675675675651</v>
      </c>
      <c r="K808" s="56">
        <v>1.48</v>
      </c>
      <c r="L808" s="15">
        <f t="shared" si="90"/>
        <v>0</v>
      </c>
      <c r="M808" s="16">
        <f t="shared" si="91"/>
        <v>138.87920399999999</v>
      </c>
      <c r="N808" s="17">
        <f t="shared" si="96"/>
        <v>1.48</v>
      </c>
      <c r="O808" s="17">
        <f t="shared" si="92"/>
        <v>10.952</v>
      </c>
      <c r="P808" s="18">
        <f t="shared" si="93"/>
        <v>1027.7061096</v>
      </c>
      <c r="R808" s="66"/>
      <c r="S808" s="19"/>
      <c r="T808" s="20"/>
      <c r="U808" s="20"/>
      <c r="V808" s="20"/>
      <c r="W808" s="20"/>
      <c r="X808" s="20"/>
      <c r="Y808" s="20"/>
      <c r="Z808" s="20"/>
      <c r="AA808" s="20"/>
    </row>
    <row r="809" spans="1:27" ht="12.75">
      <c r="A809" s="10"/>
      <c r="B809" s="10">
        <v>45904</v>
      </c>
      <c r="C809" s="11">
        <f>VLOOKUP(B:B,'Курс валют'!A:D,4,0)</f>
        <v>94.253900000000002</v>
      </c>
      <c r="D809" s="57" t="s">
        <v>2082</v>
      </c>
      <c r="E809" s="21" t="s">
        <v>56</v>
      </c>
      <c r="F809" s="58">
        <v>2000</v>
      </c>
      <c r="G809" s="58">
        <v>2034.5</v>
      </c>
      <c r="H809" s="56">
        <v>0</v>
      </c>
      <c r="I809" s="58">
        <f t="shared" si="88"/>
        <v>34.5</v>
      </c>
      <c r="J809" s="14">
        <f t="shared" si="94"/>
        <v>1.7250000000000001</v>
      </c>
      <c r="K809" s="56">
        <v>2.73</v>
      </c>
      <c r="L809" s="15">
        <f t="shared" si="90"/>
        <v>0</v>
      </c>
      <c r="M809" s="16">
        <f t="shared" si="91"/>
        <v>257.31314700000001</v>
      </c>
      <c r="N809" s="17">
        <f t="shared" si="96"/>
        <v>2.73</v>
      </c>
      <c r="O809" s="17">
        <f t="shared" si="92"/>
        <v>5460</v>
      </c>
      <c r="P809" s="18">
        <f t="shared" si="93"/>
        <v>514626.29399999999</v>
      </c>
      <c r="R809" s="66"/>
      <c r="S809" s="19"/>
      <c r="T809" s="20"/>
      <c r="U809" s="20"/>
      <c r="V809" s="20"/>
      <c r="W809" s="20"/>
      <c r="X809" s="20"/>
      <c r="Y809" s="20"/>
      <c r="Z809" s="20"/>
      <c r="AA809" s="20"/>
    </row>
    <row r="810" spans="1:27" ht="12.75">
      <c r="A810" s="10"/>
      <c r="B810" s="10">
        <v>45904</v>
      </c>
      <c r="C810" s="11">
        <f>VLOOKUP(B:B,'Курс валют'!A:D,4,0)</f>
        <v>94.253900000000002</v>
      </c>
      <c r="D810" s="57" t="s">
        <v>2083</v>
      </c>
      <c r="E810" s="21" t="s">
        <v>15</v>
      </c>
      <c r="F810" s="58">
        <v>11000</v>
      </c>
      <c r="G810" s="58">
        <v>11124.1</v>
      </c>
      <c r="H810" s="56">
        <v>5073.6000000000004</v>
      </c>
      <c r="I810" s="58">
        <f t="shared" si="88"/>
        <v>124.10000000000036</v>
      </c>
      <c r="J810" s="14">
        <f t="shared" si="94"/>
        <v>1.1281818181818215</v>
      </c>
      <c r="K810" s="56">
        <v>3.55</v>
      </c>
      <c r="L810" s="15">
        <f t="shared" si="90"/>
        <v>46.123636363636365</v>
      </c>
      <c r="M810" s="16">
        <f t="shared" si="91"/>
        <v>202.44243367258184</v>
      </c>
      <c r="N810" s="17">
        <f t="shared" si="96"/>
        <v>2.1478414545454547</v>
      </c>
      <c r="O810" s="17">
        <f t="shared" si="92"/>
        <v>23626.256000000001</v>
      </c>
      <c r="P810" s="18">
        <f t="shared" si="93"/>
        <v>2226866.7703984003</v>
      </c>
      <c r="R810" s="66"/>
      <c r="S810" s="19"/>
      <c r="T810" s="20"/>
      <c r="U810" s="20"/>
      <c r="V810" s="20"/>
      <c r="W810" s="20"/>
      <c r="X810" s="20"/>
      <c r="Y810" s="20"/>
      <c r="Z810" s="20"/>
      <c r="AA810" s="20"/>
    </row>
    <row r="811" spans="1:27" ht="22.5">
      <c r="A811" s="10"/>
      <c r="B811" s="10">
        <v>45905</v>
      </c>
      <c r="C811" s="11">
        <f>VLOOKUP(B:B,'Курс валют'!A:D,4,0)</f>
        <v>94.775400000000005</v>
      </c>
      <c r="D811" s="57" t="s">
        <v>2084</v>
      </c>
      <c r="E811" s="68" t="s">
        <v>2085</v>
      </c>
      <c r="F811" s="58">
        <v>2000</v>
      </c>
      <c r="G811" s="58">
        <v>2031.4</v>
      </c>
      <c r="H811" s="56">
        <v>0</v>
      </c>
      <c r="I811" s="58">
        <f t="shared" ref="I811:I874" si="97">G811-F811</f>
        <v>31.400000000000091</v>
      </c>
      <c r="J811" s="14">
        <f t="shared" si="94"/>
        <v>1.5700000000000043</v>
      </c>
      <c r="K811" s="56">
        <v>2.52</v>
      </c>
      <c r="L811" s="15">
        <f t="shared" ref="L811:L874" si="98">H811/F811*100</f>
        <v>0</v>
      </c>
      <c r="M811" s="16">
        <f t="shared" ref="M811:M874" si="99">P811/F811</f>
        <v>238.83400800000001</v>
      </c>
      <c r="N811" s="17">
        <f t="shared" si="96"/>
        <v>2.52</v>
      </c>
      <c r="O811" s="17">
        <f t="shared" ref="O811:O874" si="100">N811*F811</f>
        <v>5040</v>
      </c>
      <c r="P811" s="18">
        <f t="shared" ref="P811:P874" si="101">O811*C811</f>
        <v>477668.016</v>
      </c>
      <c r="R811" s="66"/>
      <c r="S811" s="19"/>
      <c r="T811" s="20"/>
      <c r="U811" s="20"/>
      <c r="V811" s="20"/>
      <c r="W811" s="20"/>
      <c r="X811" s="20"/>
      <c r="Y811" s="20"/>
      <c r="Z811" s="20"/>
      <c r="AA811" s="20"/>
    </row>
    <row r="812" spans="1:27" ht="12.75">
      <c r="A812" s="10"/>
      <c r="B812" s="10">
        <v>45905</v>
      </c>
      <c r="C812" s="11">
        <f>VLOOKUP(B:B,'Курс валют'!A:D,4,0)</f>
        <v>94.775400000000005</v>
      </c>
      <c r="D812" s="57" t="s">
        <v>2086</v>
      </c>
      <c r="E812" s="21" t="s">
        <v>15</v>
      </c>
      <c r="F812" s="58">
        <v>11000</v>
      </c>
      <c r="G812" s="58">
        <v>11123</v>
      </c>
      <c r="H812" s="56">
        <v>5073</v>
      </c>
      <c r="I812" s="58">
        <f t="shared" si="97"/>
        <v>123</v>
      </c>
      <c r="J812" s="14">
        <f t="shared" si="94"/>
        <v>1.1181818181818182</v>
      </c>
      <c r="K812" s="56">
        <v>3.62</v>
      </c>
      <c r="L812" s="15">
        <f t="shared" si="98"/>
        <v>46.118181818181817</v>
      </c>
      <c r="M812" s="16">
        <f t="shared" si="99"/>
        <v>210.21252647563637</v>
      </c>
      <c r="N812" s="17">
        <f t="shared" si="96"/>
        <v>2.2180072727272728</v>
      </c>
      <c r="O812" s="17">
        <f t="shared" si="100"/>
        <v>24398.080000000002</v>
      </c>
      <c r="P812" s="18">
        <f t="shared" si="101"/>
        <v>2312337.7912320001</v>
      </c>
      <c r="R812" s="66"/>
      <c r="S812" s="19"/>
      <c r="T812" s="20"/>
      <c r="U812" s="20"/>
      <c r="V812" s="20"/>
      <c r="W812" s="20"/>
      <c r="X812" s="20"/>
      <c r="Y812" s="20"/>
      <c r="Z812" s="20"/>
      <c r="AA812" s="20"/>
    </row>
    <row r="813" spans="1:27" ht="12.75">
      <c r="A813" s="10"/>
      <c r="B813" s="10">
        <v>45906</v>
      </c>
      <c r="C813" s="11">
        <f>VLOOKUP(B:B,'Курс валют'!A:D,4,0)</f>
        <v>95.479200000000006</v>
      </c>
      <c r="D813" s="57" t="s">
        <v>2087</v>
      </c>
      <c r="E813" s="21" t="s">
        <v>15</v>
      </c>
      <c r="F813" s="58">
        <v>11000</v>
      </c>
      <c r="G813" s="58">
        <v>11126</v>
      </c>
      <c r="H813" s="56">
        <v>5076</v>
      </c>
      <c r="I813" s="58">
        <f t="shared" si="97"/>
        <v>126</v>
      </c>
      <c r="J813" s="14">
        <f t="shared" si="94"/>
        <v>1.1454545454545455</v>
      </c>
      <c r="K813" s="56">
        <v>3.63</v>
      </c>
      <c r="L813" s="15">
        <f t="shared" si="98"/>
        <v>46.145454545454548</v>
      </c>
      <c r="M813" s="16">
        <f t="shared" si="99"/>
        <v>212.64919105745454</v>
      </c>
      <c r="N813" s="17">
        <f t="shared" si="96"/>
        <v>2.2271781818181817</v>
      </c>
      <c r="O813" s="17">
        <f t="shared" si="100"/>
        <v>24498.959999999999</v>
      </c>
      <c r="P813" s="18">
        <f t="shared" si="101"/>
        <v>2339141.1016319999</v>
      </c>
      <c r="R813" s="66"/>
      <c r="S813" s="19"/>
      <c r="T813" s="20"/>
      <c r="U813" s="20"/>
      <c r="V813" s="20"/>
      <c r="W813" s="20"/>
      <c r="X813" s="20"/>
      <c r="Y813" s="20"/>
      <c r="Z813" s="20"/>
      <c r="AA813" s="20"/>
    </row>
    <row r="814" spans="1:27" ht="12.75">
      <c r="A814" s="10"/>
      <c r="B814" s="10">
        <v>45907</v>
      </c>
      <c r="C814" s="11">
        <f>VLOOKUP(B:B,'Курс валют'!A:D,4,0)</f>
        <v>95.479200000000006</v>
      </c>
      <c r="D814" s="57" t="s">
        <v>2088</v>
      </c>
      <c r="E814" s="21" t="s">
        <v>15</v>
      </c>
      <c r="F814" s="58">
        <v>4400</v>
      </c>
      <c r="G814" s="58">
        <v>4450.3999999999996</v>
      </c>
      <c r="H814" s="56">
        <v>2030.4</v>
      </c>
      <c r="I814" s="58">
        <f t="shared" si="97"/>
        <v>50.399999999999636</v>
      </c>
      <c r="J814" s="14">
        <f t="shared" si="94"/>
        <v>1.1454545454545373</v>
      </c>
      <c r="K814" s="56">
        <v>3.63</v>
      </c>
      <c r="L814" s="15">
        <f t="shared" si="98"/>
        <v>46.145454545454548</v>
      </c>
      <c r="M814" s="16">
        <f t="shared" si="99"/>
        <v>212.64919105745452</v>
      </c>
      <c r="N814" s="17">
        <f t="shared" si="96"/>
        <v>2.2271781818181817</v>
      </c>
      <c r="O814" s="17">
        <f t="shared" si="100"/>
        <v>9799.5839999999989</v>
      </c>
      <c r="P814" s="18">
        <f t="shared" si="101"/>
        <v>935656.44065279991</v>
      </c>
      <c r="R814" s="66"/>
      <c r="S814" s="19"/>
      <c r="T814" s="20"/>
      <c r="U814" s="20"/>
      <c r="V814" s="20"/>
      <c r="W814" s="20"/>
      <c r="X814" s="20"/>
      <c r="Y814" s="20"/>
      <c r="Z814" s="20"/>
      <c r="AA814" s="20"/>
    </row>
    <row r="815" spans="1:27" ht="12.75">
      <c r="A815" s="10"/>
      <c r="B815" s="10">
        <v>45907</v>
      </c>
      <c r="C815" s="11">
        <f>VLOOKUP(B:B,'Курс валют'!A:D,4,0)</f>
        <v>95.479200000000006</v>
      </c>
      <c r="D815" s="57" t="s">
        <v>2089</v>
      </c>
      <c r="E815" s="21" t="s">
        <v>89</v>
      </c>
      <c r="F815" s="58">
        <v>200</v>
      </c>
      <c r="G815" s="58">
        <v>200</v>
      </c>
      <c r="H815" s="56">
        <v>0</v>
      </c>
      <c r="I815" s="58">
        <f t="shared" si="97"/>
        <v>0</v>
      </c>
      <c r="J815" s="14">
        <f t="shared" si="94"/>
        <v>0</v>
      </c>
      <c r="K815" s="56">
        <v>3.1</v>
      </c>
      <c r="L815" s="15">
        <f t="shared" si="98"/>
        <v>0</v>
      </c>
      <c r="M815" s="16">
        <f t="shared" si="99"/>
        <v>295.98552000000001</v>
      </c>
      <c r="N815" s="17">
        <f t="shared" si="96"/>
        <v>3.1</v>
      </c>
      <c r="O815" s="17">
        <f t="shared" si="100"/>
        <v>620</v>
      </c>
      <c r="P815" s="18">
        <f t="shared" si="101"/>
        <v>59197.104000000007</v>
      </c>
      <c r="R815" s="66" t="s">
        <v>1267</v>
      </c>
      <c r="S815" s="19"/>
      <c r="T815" s="20"/>
      <c r="U815" s="20"/>
      <c r="V815" s="20"/>
      <c r="W815" s="20"/>
      <c r="X815" s="20"/>
      <c r="Y815" s="20"/>
      <c r="Z815" s="20"/>
      <c r="AA815" s="20"/>
    </row>
    <row r="816" spans="1:27" ht="12.75">
      <c r="A816" s="10"/>
      <c r="B816" s="10">
        <v>45908</v>
      </c>
      <c r="C816" s="11">
        <f>VLOOKUP(B:B,'Курс валют'!A:D,4,0)</f>
        <v>95.479200000000006</v>
      </c>
      <c r="D816" s="57" t="s">
        <v>2090</v>
      </c>
      <c r="E816" s="21" t="s">
        <v>15</v>
      </c>
      <c r="F816" s="58">
        <v>6600</v>
      </c>
      <c r="G816" s="58">
        <v>6675.6</v>
      </c>
      <c r="H816" s="56">
        <v>3045.6</v>
      </c>
      <c r="I816" s="58">
        <f t="shared" si="97"/>
        <v>75.600000000000364</v>
      </c>
      <c r="J816" s="14">
        <f t="shared" si="94"/>
        <v>1.1454545454545508</v>
      </c>
      <c r="K816" s="56">
        <v>3.63</v>
      </c>
      <c r="L816" s="15">
        <f t="shared" si="98"/>
        <v>46.145454545454548</v>
      </c>
      <c r="M816" s="16">
        <f t="shared" si="99"/>
        <v>212.64919105745457</v>
      </c>
      <c r="N816" s="17">
        <f t="shared" si="96"/>
        <v>2.2271781818181817</v>
      </c>
      <c r="O816" s="17">
        <f t="shared" si="100"/>
        <v>14699.376</v>
      </c>
      <c r="P816" s="18">
        <f t="shared" si="101"/>
        <v>1403484.6609792002</v>
      </c>
      <c r="R816" s="66"/>
      <c r="S816" s="19"/>
      <c r="T816" s="20"/>
      <c r="U816" s="20"/>
      <c r="V816" s="20"/>
      <c r="W816" s="20"/>
      <c r="X816" s="20"/>
      <c r="Y816" s="20"/>
      <c r="Z816" s="20"/>
      <c r="AA816" s="20"/>
    </row>
    <row r="817" spans="1:27" ht="12.75">
      <c r="A817" s="10"/>
      <c r="B817" s="10">
        <v>45908</v>
      </c>
      <c r="C817" s="11">
        <f>VLOOKUP(B:B,'Курс валют'!A:D,4,0)</f>
        <v>95.479200000000006</v>
      </c>
      <c r="D817" s="57" t="s">
        <v>2091</v>
      </c>
      <c r="E817" s="21" t="s">
        <v>432</v>
      </c>
      <c r="F817" s="58">
        <v>23.18</v>
      </c>
      <c r="G817" s="58">
        <v>24.57</v>
      </c>
      <c r="H817" s="56">
        <v>0</v>
      </c>
      <c r="I817" s="58">
        <f t="shared" si="97"/>
        <v>1.3900000000000006</v>
      </c>
      <c r="J817" s="14">
        <f t="shared" si="94"/>
        <v>5.9965487489214864</v>
      </c>
      <c r="K817" s="56">
        <v>1.58</v>
      </c>
      <c r="L817" s="15">
        <f t="shared" si="98"/>
        <v>0</v>
      </c>
      <c r="M817" s="16">
        <f t="shared" si="99"/>
        <v>150.857136</v>
      </c>
      <c r="N817" s="17">
        <f t="shared" si="96"/>
        <v>1.58</v>
      </c>
      <c r="O817" s="17">
        <f t="shared" si="100"/>
        <v>36.624400000000001</v>
      </c>
      <c r="P817" s="18">
        <f t="shared" si="101"/>
        <v>3496.8684124800002</v>
      </c>
      <c r="R817" s="66"/>
      <c r="S817" s="19"/>
      <c r="T817" s="20"/>
      <c r="U817" s="20"/>
      <c r="V817" s="20"/>
      <c r="W817" s="20"/>
      <c r="X817" s="20"/>
      <c r="Y817" s="20"/>
      <c r="Z817" s="20"/>
      <c r="AA817" s="20"/>
    </row>
    <row r="818" spans="1:27" ht="12.75">
      <c r="A818" s="54"/>
      <c r="B818" s="10">
        <v>45908</v>
      </c>
      <c r="C818" s="11">
        <f>VLOOKUP(B:B,'Курс валют'!A:D,4,0)</f>
        <v>95.479200000000006</v>
      </c>
      <c r="D818" s="57" t="s">
        <v>2092</v>
      </c>
      <c r="E818" s="21" t="s">
        <v>89</v>
      </c>
      <c r="F818" s="58">
        <v>200</v>
      </c>
      <c r="G818" s="58">
        <v>200</v>
      </c>
      <c r="H818" s="56">
        <v>0</v>
      </c>
      <c r="I818" s="58">
        <f t="shared" si="97"/>
        <v>0</v>
      </c>
      <c r="J818" s="14">
        <f t="shared" si="94"/>
        <v>0</v>
      </c>
      <c r="K818" s="56">
        <v>3.1</v>
      </c>
      <c r="L818" s="15">
        <f t="shared" si="98"/>
        <v>0</v>
      </c>
      <c r="M818" s="16">
        <f t="shared" si="99"/>
        <v>295.98552000000001</v>
      </c>
      <c r="N818" s="17">
        <f t="shared" si="96"/>
        <v>3.1</v>
      </c>
      <c r="O818" s="17">
        <f t="shared" si="100"/>
        <v>620</v>
      </c>
      <c r="P818" s="18">
        <f t="shared" si="101"/>
        <v>59197.104000000007</v>
      </c>
      <c r="R818" s="65"/>
      <c r="S818" s="19"/>
      <c r="T818" s="24"/>
      <c r="U818" s="24"/>
      <c r="V818" s="24"/>
      <c r="W818" s="24"/>
      <c r="X818" s="24"/>
      <c r="Y818" s="24"/>
      <c r="Z818" s="24"/>
      <c r="AA818" s="24"/>
    </row>
    <row r="819" spans="1:27" ht="12.75">
      <c r="A819" s="54"/>
      <c r="B819" s="10">
        <v>45908</v>
      </c>
      <c r="C819" s="11">
        <f>VLOOKUP(B:B,'Курс валют'!A:D,4,0)</f>
        <v>95.479200000000006</v>
      </c>
      <c r="D819" s="57" t="s">
        <v>2093</v>
      </c>
      <c r="E819" s="26" t="s">
        <v>56</v>
      </c>
      <c r="F819" s="58">
        <v>2000</v>
      </c>
      <c r="G819" s="58">
        <v>2035.5</v>
      </c>
      <c r="H819" s="56">
        <v>0</v>
      </c>
      <c r="I819" s="58">
        <f t="shared" si="97"/>
        <v>35.5</v>
      </c>
      <c r="J819" s="14">
        <f t="shared" si="94"/>
        <v>1.7749999999999999</v>
      </c>
      <c r="K819" s="56">
        <v>2.44</v>
      </c>
      <c r="L819" s="15">
        <f t="shared" si="98"/>
        <v>0</v>
      </c>
      <c r="M819" s="16">
        <f t="shared" si="99"/>
        <v>232.96924800000002</v>
      </c>
      <c r="N819" s="17">
        <f t="shared" si="96"/>
        <v>2.44</v>
      </c>
      <c r="O819" s="17">
        <f t="shared" si="100"/>
        <v>4880</v>
      </c>
      <c r="P819" s="18">
        <f t="shared" si="101"/>
        <v>465938.49600000004</v>
      </c>
      <c r="R819" s="65"/>
      <c r="S819" s="19"/>
      <c r="T819" s="20"/>
      <c r="U819" s="20"/>
      <c r="V819" s="20"/>
      <c r="W819" s="20"/>
      <c r="X819" s="20"/>
      <c r="Y819" s="20"/>
      <c r="Z819" s="20"/>
      <c r="AA819" s="20"/>
    </row>
    <row r="820" spans="1:27" ht="12.75">
      <c r="A820" s="54"/>
      <c r="B820" s="10">
        <v>45909</v>
      </c>
      <c r="C820" s="11">
        <f>VLOOKUP(B:B,'Курс валют'!A:D,4,0)</f>
        <v>96.569100000000006</v>
      </c>
      <c r="D820" s="57" t="s">
        <v>2094</v>
      </c>
      <c r="E820" s="26" t="s">
        <v>56</v>
      </c>
      <c r="F820" s="58">
        <v>800</v>
      </c>
      <c r="G820" s="58">
        <v>805.68</v>
      </c>
      <c r="H820" s="56">
        <v>0</v>
      </c>
      <c r="I820" s="58">
        <f t="shared" si="97"/>
        <v>5.67999999999995</v>
      </c>
      <c r="J820" s="14">
        <f t="shared" si="94"/>
        <v>0.70999999999999375</v>
      </c>
      <c r="K820" s="56">
        <v>2.48</v>
      </c>
      <c r="L820" s="15">
        <f t="shared" si="98"/>
        <v>0</v>
      </c>
      <c r="M820" s="16">
        <f t="shared" si="99"/>
        <v>239.49136799999999</v>
      </c>
      <c r="N820" s="17">
        <f t="shared" si="96"/>
        <v>2.48</v>
      </c>
      <c r="O820" s="17">
        <f t="shared" si="100"/>
        <v>1984</v>
      </c>
      <c r="P820" s="18">
        <f t="shared" si="101"/>
        <v>191593.0944</v>
      </c>
      <c r="R820" s="65"/>
      <c r="S820" s="19"/>
      <c r="T820" s="20"/>
      <c r="U820" s="20"/>
      <c r="V820" s="20"/>
      <c r="W820" s="20"/>
      <c r="X820" s="20"/>
      <c r="Y820" s="20"/>
      <c r="Z820" s="20"/>
      <c r="AA820" s="20"/>
    </row>
    <row r="821" spans="1:27" ht="12.75">
      <c r="A821" s="54"/>
      <c r="B821" s="10">
        <v>45909</v>
      </c>
      <c r="C821" s="11">
        <f>VLOOKUP(B:B,'Курс валют'!A:D,4,0)</f>
        <v>96.569100000000006</v>
      </c>
      <c r="D821" s="57" t="s">
        <v>2094</v>
      </c>
      <c r="E821" s="26" t="s">
        <v>70</v>
      </c>
      <c r="F821" s="58">
        <v>1200</v>
      </c>
      <c r="G821" s="58">
        <v>1208.52</v>
      </c>
      <c r="H821" s="56">
        <v>0</v>
      </c>
      <c r="I821" s="58">
        <f t="shared" si="97"/>
        <v>8.5199999999999818</v>
      </c>
      <c r="J821" s="14">
        <f t="shared" ref="J821:J824" si="102">I821/F822*100</f>
        <v>0.53249999999999886</v>
      </c>
      <c r="K821" s="56">
        <v>2.48</v>
      </c>
      <c r="L821" s="15">
        <f t="shared" si="98"/>
        <v>0</v>
      </c>
      <c r="M821" s="16">
        <f t="shared" si="99"/>
        <v>239.49136800000002</v>
      </c>
      <c r="N821" s="17">
        <f t="shared" si="96"/>
        <v>2.48</v>
      </c>
      <c r="O821" s="17">
        <f t="shared" si="100"/>
        <v>2976</v>
      </c>
      <c r="P821" s="18">
        <f t="shared" si="101"/>
        <v>287389.64160000003</v>
      </c>
      <c r="R821" s="66"/>
      <c r="S821" s="19"/>
      <c r="T821" s="24"/>
      <c r="U821" s="24"/>
      <c r="V821" s="24"/>
      <c r="W821" s="24"/>
      <c r="X821" s="24"/>
      <c r="Y821" s="24"/>
      <c r="Z821" s="24"/>
      <c r="AA821" s="24"/>
    </row>
    <row r="822" spans="1:27" ht="12.75">
      <c r="A822" s="54"/>
      <c r="B822" s="10">
        <v>45909</v>
      </c>
      <c r="C822" s="11">
        <f>VLOOKUP(B:B,'Курс валют'!A:D,4,0)</f>
        <v>96.569100000000006</v>
      </c>
      <c r="D822" s="57" t="s">
        <v>2095</v>
      </c>
      <c r="E822" s="26" t="s">
        <v>2096</v>
      </c>
      <c r="F822" s="58">
        <v>1600</v>
      </c>
      <c r="G822" s="58">
        <v>1627</v>
      </c>
      <c r="H822" s="56">
        <v>0</v>
      </c>
      <c r="I822" s="58">
        <f t="shared" si="97"/>
        <v>27</v>
      </c>
      <c r="J822" s="14">
        <f t="shared" si="102"/>
        <v>6.75</v>
      </c>
      <c r="K822" s="56">
        <v>2.67</v>
      </c>
      <c r="L822" s="15">
        <f t="shared" si="98"/>
        <v>0</v>
      </c>
      <c r="M822" s="16">
        <f t="shared" si="99"/>
        <v>257.83949699999999</v>
      </c>
      <c r="N822" s="17">
        <f t="shared" si="96"/>
        <v>2.67</v>
      </c>
      <c r="O822" s="17">
        <f t="shared" si="100"/>
        <v>4272</v>
      </c>
      <c r="P822" s="18">
        <f t="shared" si="101"/>
        <v>412543.19520000002</v>
      </c>
      <c r="R822" s="65"/>
      <c r="S822" s="19"/>
      <c r="T822" s="24"/>
      <c r="U822" s="24"/>
      <c r="V822" s="24"/>
      <c r="W822" s="24"/>
      <c r="X822" s="24"/>
      <c r="Y822" s="24"/>
      <c r="Z822" s="24"/>
      <c r="AA822" s="24"/>
    </row>
    <row r="823" spans="1:27" ht="12.75">
      <c r="A823" s="54"/>
      <c r="B823" s="10">
        <v>45909</v>
      </c>
      <c r="C823" s="11">
        <f>VLOOKUP(B:B,'Курс валют'!A:D,4,0)</f>
        <v>96.569100000000006</v>
      </c>
      <c r="D823" s="57" t="s">
        <v>2097</v>
      </c>
      <c r="E823" s="26" t="s">
        <v>2026</v>
      </c>
      <c r="F823" s="58">
        <v>400</v>
      </c>
      <c r="G823" s="58">
        <v>406.2</v>
      </c>
      <c r="H823" s="56">
        <v>0</v>
      </c>
      <c r="I823" s="58">
        <f t="shared" si="97"/>
        <v>6.1999999999999886</v>
      </c>
      <c r="J823" s="14">
        <f t="shared" si="102"/>
        <v>0.30999999999999944</v>
      </c>
      <c r="K823" s="56">
        <v>2.74</v>
      </c>
      <c r="L823" s="15">
        <f t="shared" si="98"/>
        <v>0</v>
      </c>
      <c r="M823" s="16">
        <f t="shared" si="99"/>
        <v>264.599334</v>
      </c>
      <c r="N823" s="17">
        <f t="shared" si="96"/>
        <v>2.74</v>
      </c>
      <c r="O823" s="17">
        <f t="shared" si="100"/>
        <v>1096</v>
      </c>
      <c r="P823" s="18">
        <f t="shared" si="101"/>
        <v>105839.73360000001</v>
      </c>
      <c r="R823" s="66"/>
      <c r="S823" s="19"/>
      <c r="T823" s="24"/>
      <c r="U823" s="24"/>
      <c r="V823" s="24"/>
      <c r="W823" s="24"/>
      <c r="X823" s="24"/>
      <c r="Y823" s="24"/>
      <c r="Z823" s="24"/>
      <c r="AA823" s="24"/>
    </row>
    <row r="824" spans="1:27" ht="12.75">
      <c r="A824" s="54"/>
      <c r="B824" s="10">
        <v>45910</v>
      </c>
      <c r="C824" s="11">
        <f>VLOOKUP(B:B,'Курс валют'!A:D,4,0)</f>
        <v>98.033600000000007</v>
      </c>
      <c r="D824" s="57" t="s">
        <v>2098</v>
      </c>
      <c r="E824" s="50" t="s">
        <v>56</v>
      </c>
      <c r="F824" s="58">
        <v>2000</v>
      </c>
      <c r="G824" s="58">
        <v>2035.15</v>
      </c>
      <c r="H824" s="56">
        <v>0</v>
      </c>
      <c r="I824" s="58">
        <f t="shared" si="97"/>
        <v>35.150000000000091</v>
      </c>
      <c r="J824" s="14">
        <f t="shared" si="102"/>
        <v>0.48819444444444571</v>
      </c>
      <c r="K824" s="56">
        <v>2.27</v>
      </c>
      <c r="L824" s="15">
        <f t="shared" si="98"/>
        <v>0</v>
      </c>
      <c r="M824" s="16">
        <f t="shared" si="99"/>
        <v>222.53627200000003</v>
      </c>
      <c r="N824" s="17">
        <f t="shared" si="96"/>
        <v>2.27</v>
      </c>
      <c r="O824" s="17">
        <f t="shared" si="100"/>
        <v>4540</v>
      </c>
      <c r="P824" s="18">
        <f t="shared" si="101"/>
        <v>445072.54400000005</v>
      </c>
      <c r="R824" s="65"/>
      <c r="S824" s="19"/>
      <c r="T824" s="20"/>
      <c r="U824" s="20"/>
      <c r="V824" s="20"/>
      <c r="W824" s="20"/>
      <c r="X824" s="20"/>
      <c r="Y824" s="20"/>
      <c r="Z824" s="20"/>
      <c r="AA824" s="20"/>
    </row>
    <row r="825" spans="1:27" ht="12.75">
      <c r="A825" s="54"/>
      <c r="B825" s="10">
        <v>45910</v>
      </c>
      <c r="C825" s="11">
        <f>VLOOKUP(B:B,'Курс валют'!A:D,4,0)</f>
        <v>98.033600000000007</v>
      </c>
      <c r="D825" s="57" t="s">
        <v>2099</v>
      </c>
      <c r="E825" s="64" t="s">
        <v>51</v>
      </c>
      <c r="F825" s="58">
        <v>7200</v>
      </c>
      <c r="G825" s="58">
        <v>7275.59</v>
      </c>
      <c r="H825" s="56">
        <v>0</v>
      </c>
      <c r="I825" s="58">
        <f t="shared" si="97"/>
        <v>75.590000000000146</v>
      </c>
      <c r="J825" s="14">
        <f t="shared" ref="J825:J888" si="103">I825/F825*100</f>
        <v>1.0498611111111131</v>
      </c>
      <c r="K825" s="56">
        <v>1.94</v>
      </c>
      <c r="L825" s="15">
        <f t="shared" si="98"/>
        <v>0</v>
      </c>
      <c r="M825" s="16">
        <f t="shared" si="99"/>
        <v>190.18518400000002</v>
      </c>
      <c r="N825" s="17">
        <f t="shared" si="96"/>
        <v>1.94</v>
      </c>
      <c r="O825" s="17">
        <f t="shared" si="100"/>
        <v>13968</v>
      </c>
      <c r="P825" s="18">
        <f t="shared" si="101"/>
        <v>1369333.3248000001</v>
      </c>
      <c r="R825" s="66"/>
      <c r="S825" s="19"/>
      <c r="T825" s="20"/>
      <c r="U825" s="20"/>
      <c r="V825" s="20"/>
      <c r="W825" s="20"/>
      <c r="X825" s="20"/>
      <c r="Y825" s="20"/>
      <c r="Z825" s="20"/>
      <c r="AA825" s="20"/>
    </row>
    <row r="826" spans="1:27" ht="12.75">
      <c r="A826" s="54"/>
      <c r="B826" s="10">
        <v>45911</v>
      </c>
      <c r="C826" s="11">
        <f>VLOOKUP(B:B,'Курс валют'!A:D,4,0)</f>
        <v>99.824600000000004</v>
      </c>
      <c r="D826" s="57" t="s">
        <v>2100</v>
      </c>
      <c r="E826" s="50" t="s">
        <v>15</v>
      </c>
      <c r="F826" s="58">
        <v>5500</v>
      </c>
      <c r="G826" s="58">
        <v>5560.5</v>
      </c>
      <c r="H826" s="56">
        <v>2535.5</v>
      </c>
      <c r="I826" s="58">
        <f t="shared" si="97"/>
        <v>60.5</v>
      </c>
      <c r="J826" s="14">
        <f t="shared" si="103"/>
        <v>1.0999999999999999</v>
      </c>
      <c r="K826" s="56">
        <v>3.63</v>
      </c>
      <c r="L826" s="15">
        <f t="shared" si="98"/>
        <v>46.1</v>
      </c>
      <c r="M826" s="16">
        <f t="shared" si="99"/>
        <v>222.46511057600003</v>
      </c>
      <c r="N826" s="17">
        <f t="shared" si="96"/>
        <v>2.2285599999999999</v>
      </c>
      <c r="O826" s="17">
        <f t="shared" si="100"/>
        <v>12257.08</v>
      </c>
      <c r="P826" s="18">
        <f t="shared" si="101"/>
        <v>1223558.1081680001</v>
      </c>
      <c r="R826" s="66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5" customHeight="1">
      <c r="A827" s="54"/>
      <c r="B827" s="10">
        <v>45912</v>
      </c>
      <c r="C827" s="11">
        <f>VLOOKUP(B:B,'Курс валют'!A:D,4,0)</f>
        <v>99.736699999999999</v>
      </c>
      <c r="D827" s="57" t="s">
        <v>2101</v>
      </c>
      <c r="E827" s="50" t="s">
        <v>61</v>
      </c>
      <c r="F827" s="58">
        <v>2200</v>
      </c>
      <c r="G827" s="58">
        <v>2235.52</v>
      </c>
      <c r="H827" s="56">
        <v>0</v>
      </c>
      <c r="I827" s="58">
        <f t="shared" si="97"/>
        <v>35.519999999999982</v>
      </c>
      <c r="J827" s="14">
        <f t="shared" si="103"/>
        <v>1.6145454545454536</v>
      </c>
      <c r="K827" s="56">
        <v>2.5099999999999998</v>
      </c>
      <c r="L827" s="15">
        <f t="shared" si="98"/>
        <v>0</v>
      </c>
      <c r="M827" s="16">
        <f t="shared" si="99"/>
        <v>250.33911699999996</v>
      </c>
      <c r="N827" s="17">
        <f t="shared" si="96"/>
        <v>2.5099999999999998</v>
      </c>
      <c r="O827" s="17">
        <f t="shared" si="100"/>
        <v>5521.9999999999991</v>
      </c>
      <c r="P827" s="18">
        <f t="shared" si="101"/>
        <v>550746.05739999993</v>
      </c>
      <c r="R827" s="66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>
      <c r="A828" s="54"/>
      <c r="B828" s="10">
        <v>45912</v>
      </c>
      <c r="C828" s="11">
        <f>VLOOKUP(B:B,'Курс валют'!A:D,4,0)</f>
        <v>99.736699999999999</v>
      </c>
      <c r="D828" s="57" t="s">
        <v>2102</v>
      </c>
      <c r="E828" s="50" t="s">
        <v>58</v>
      </c>
      <c r="F828" s="58">
        <v>5500</v>
      </c>
      <c r="G828" s="58">
        <v>5560</v>
      </c>
      <c r="H828" s="56">
        <v>99.4</v>
      </c>
      <c r="I828" s="58">
        <f t="shared" si="97"/>
        <v>60</v>
      </c>
      <c r="J828" s="14">
        <f t="shared" si="103"/>
        <v>1.0909090909090911</v>
      </c>
      <c r="K828" s="56">
        <v>2.4700000000000002</v>
      </c>
      <c r="L828" s="15">
        <f t="shared" si="98"/>
        <v>1.8072727272727276</v>
      </c>
      <c r="M828" s="16">
        <f t="shared" si="99"/>
        <v>240.87000589832732</v>
      </c>
      <c r="N828" s="17">
        <f t="shared" si="96"/>
        <v>2.4150589090909094</v>
      </c>
      <c r="O828" s="17">
        <f t="shared" si="100"/>
        <v>13282.824000000002</v>
      </c>
      <c r="P828" s="18">
        <f t="shared" si="101"/>
        <v>1324785.0324408002</v>
      </c>
      <c r="R828" s="66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>
      <c r="A829" s="54"/>
      <c r="B829" s="10">
        <v>45912</v>
      </c>
      <c r="C829" s="11">
        <f>VLOOKUP(B:B,'Курс валют'!A:D,4,0)</f>
        <v>99.736699999999999</v>
      </c>
      <c r="D829" s="57" t="s">
        <v>2103</v>
      </c>
      <c r="E829" s="50" t="s">
        <v>2104</v>
      </c>
      <c r="F829" s="58">
        <f>44.4+7.4</f>
        <v>51.8</v>
      </c>
      <c r="G829" s="58">
        <v>55.8</v>
      </c>
      <c r="H829" s="56">
        <v>0</v>
      </c>
      <c r="I829" s="58">
        <f t="shared" si="97"/>
        <v>4</v>
      </c>
      <c r="J829" s="14">
        <f t="shared" si="103"/>
        <v>7.7220077220077217</v>
      </c>
      <c r="K829" s="56">
        <v>1.82</v>
      </c>
      <c r="L829" s="15">
        <f t="shared" si="98"/>
        <v>0</v>
      </c>
      <c r="M829" s="16">
        <f t="shared" si="99"/>
        <v>181.520794</v>
      </c>
      <c r="N829" s="17">
        <f t="shared" si="96"/>
        <v>1.82</v>
      </c>
      <c r="O829" s="17">
        <f t="shared" si="100"/>
        <v>94.275999999999996</v>
      </c>
      <c r="P829" s="18">
        <f t="shared" si="101"/>
        <v>9402.7771291999998</v>
      </c>
      <c r="R829" s="66"/>
      <c r="S829" s="48"/>
      <c r="T829" s="20"/>
      <c r="U829" s="20"/>
      <c r="V829" s="20"/>
      <c r="W829" s="20"/>
      <c r="X829" s="20"/>
      <c r="Y829" s="20"/>
      <c r="Z829" s="20"/>
      <c r="AA829" s="20"/>
    </row>
    <row r="830" spans="1:27" ht="12.75">
      <c r="A830" s="54"/>
      <c r="B830" s="10">
        <v>45913</v>
      </c>
      <c r="C830" s="11">
        <f>VLOOKUP(B:B,'Курс валют'!A:D,4,0)</f>
        <v>99.330399999999997</v>
      </c>
      <c r="D830" s="57" t="s">
        <v>2105</v>
      </c>
      <c r="E830" s="64" t="s">
        <v>58</v>
      </c>
      <c r="F830" s="63">
        <v>8800</v>
      </c>
      <c r="G830" s="63">
        <v>8903.2000000000007</v>
      </c>
      <c r="H830" s="49">
        <v>2466</v>
      </c>
      <c r="I830" s="58">
        <f t="shared" si="97"/>
        <v>103.20000000000073</v>
      </c>
      <c r="J830" s="14">
        <f t="shared" si="103"/>
        <v>1.1727272727272811</v>
      </c>
      <c r="K830" s="49">
        <v>3.18</v>
      </c>
      <c r="L830" s="15">
        <f t="shared" si="98"/>
        <v>28.02272727272727</v>
      </c>
      <c r="M830" s="16">
        <f t="shared" si="99"/>
        <v>231.25200724363637</v>
      </c>
      <c r="N830" s="17">
        <f t="shared" si="96"/>
        <v>2.3281090909090909</v>
      </c>
      <c r="O830" s="17">
        <f t="shared" si="100"/>
        <v>20487.36</v>
      </c>
      <c r="P830" s="18">
        <f t="shared" si="101"/>
        <v>2035017.663744</v>
      </c>
      <c r="R830" s="66"/>
      <c r="S830" s="48"/>
      <c r="T830" s="20"/>
      <c r="U830" s="20"/>
      <c r="V830" s="20"/>
      <c r="W830" s="20"/>
      <c r="X830" s="20"/>
      <c r="Y830" s="20"/>
      <c r="Z830" s="20"/>
      <c r="AA830" s="20"/>
    </row>
    <row r="831" spans="1:27" ht="12.75">
      <c r="A831" s="54"/>
      <c r="B831" s="10">
        <v>45913</v>
      </c>
      <c r="C831" s="11">
        <f>VLOOKUP(B:B,'Курс валют'!A:D,4,0)</f>
        <v>99.330399999999997</v>
      </c>
      <c r="D831" s="57" t="s">
        <v>2106</v>
      </c>
      <c r="E831" s="64" t="s">
        <v>61</v>
      </c>
      <c r="F831" s="58">
        <v>2200</v>
      </c>
      <c r="G831" s="58">
        <v>2212.0100000000002</v>
      </c>
      <c r="H831" s="56">
        <v>0</v>
      </c>
      <c r="I831" s="58">
        <f t="shared" si="97"/>
        <v>12.010000000000218</v>
      </c>
      <c r="J831" s="14">
        <f t="shared" si="103"/>
        <v>0.54590909090910078</v>
      </c>
      <c r="K831" s="56">
        <v>2.42</v>
      </c>
      <c r="L831" s="15">
        <f t="shared" si="98"/>
        <v>0</v>
      </c>
      <c r="M831" s="16">
        <f t="shared" si="99"/>
        <v>240.37956800000001</v>
      </c>
      <c r="N831" s="17">
        <f t="shared" si="96"/>
        <v>2.42</v>
      </c>
      <c r="O831" s="17">
        <f t="shared" si="100"/>
        <v>5324</v>
      </c>
      <c r="P831" s="18">
        <f t="shared" si="101"/>
        <v>528835.04960000003</v>
      </c>
      <c r="R831" s="66"/>
      <c r="S831" s="48"/>
      <c r="T831" s="20"/>
      <c r="U831" s="20"/>
      <c r="V831" s="20"/>
      <c r="W831" s="20"/>
      <c r="X831" s="20"/>
      <c r="Y831" s="20"/>
      <c r="Z831" s="20"/>
      <c r="AA831" s="20"/>
    </row>
    <row r="832" spans="1:27" ht="12.75">
      <c r="A832" s="54"/>
      <c r="B832" s="10">
        <v>45914</v>
      </c>
      <c r="C832" s="11">
        <f>VLOOKUP(B:B,'Курс валют'!A:D,4,0)</f>
        <v>99.330399999999997</v>
      </c>
      <c r="D832" s="57" t="s">
        <v>2107</v>
      </c>
      <c r="E832" s="64" t="s">
        <v>51</v>
      </c>
      <c r="F832" s="58">
        <v>8000</v>
      </c>
      <c r="G832" s="58">
        <v>8095.25</v>
      </c>
      <c r="H832" s="56">
        <v>0</v>
      </c>
      <c r="I832" s="58">
        <f t="shared" si="97"/>
        <v>95.25</v>
      </c>
      <c r="J832" s="14">
        <f t="shared" si="103"/>
        <v>1.190625</v>
      </c>
      <c r="K832" s="56">
        <v>1.91</v>
      </c>
      <c r="L832" s="15">
        <f t="shared" si="98"/>
        <v>0</v>
      </c>
      <c r="M832" s="16">
        <f t="shared" si="99"/>
        <v>189.72106399999998</v>
      </c>
      <c r="N832" s="17">
        <f t="shared" si="96"/>
        <v>1.91</v>
      </c>
      <c r="O832" s="17">
        <f t="shared" si="100"/>
        <v>15280</v>
      </c>
      <c r="P832" s="18">
        <f t="shared" si="101"/>
        <v>1517768.5119999999</v>
      </c>
      <c r="R832" s="66"/>
      <c r="S832" s="48"/>
      <c r="T832" s="20"/>
      <c r="U832" s="20"/>
      <c r="V832" s="20"/>
      <c r="W832" s="20"/>
      <c r="X832" s="20"/>
      <c r="Y832" s="20"/>
      <c r="Z832" s="20"/>
      <c r="AA832" s="20"/>
    </row>
    <row r="833" spans="1:27" ht="12.75">
      <c r="A833" s="54"/>
      <c r="B833" s="10">
        <v>45914</v>
      </c>
      <c r="C833" s="11">
        <f>VLOOKUP(B:B,'Курс валют'!A:D,4,0)</f>
        <v>99.330399999999997</v>
      </c>
      <c r="D833" s="57" t="s">
        <v>2108</v>
      </c>
      <c r="E833" s="64" t="s">
        <v>60</v>
      </c>
      <c r="F833" s="58">
        <v>2250</v>
      </c>
      <c r="G833" s="57">
        <v>2276.8000000000002</v>
      </c>
      <c r="H833" s="56">
        <v>907</v>
      </c>
      <c r="I833" s="58">
        <f t="shared" si="97"/>
        <v>26.800000000000182</v>
      </c>
      <c r="J833" s="14">
        <f t="shared" si="103"/>
        <v>1.1911111111111192</v>
      </c>
      <c r="K833" s="56">
        <v>3.18</v>
      </c>
      <c r="L833" s="15">
        <f t="shared" si="98"/>
        <v>40.31111111111111</v>
      </c>
      <c r="M833" s="16">
        <f t="shared" si="99"/>
        <v>194.14546075022218</v>
      </c>
      <c r="N833" s="17">
        <f t="shared" si="96"/>
        <v>1.954542222222222</v>
      </c>
      <c r="O833" s="17">
        <f t="shared" si="100"/>
        <v>4397.7199999999993</v>
      </c>
      <c r="P833" s="18">
        <f t="shared" si="101"/>
        <v>436827.28668799991</v>
      </c>
      <c r="R833" s="66"/>
      <c r="S833" s="48"/>
      <c r="T833" s="20"/>
      <c r="U833" s="20"/>
      <c r="V833" s="20"/>
      <c r="W833" s="20"/>
      <c r="X833" s="20"/>
      <c r="Y833" s="20"/>
      <c r="Z833" s="20"/>
      <c r="AA833" s="20"/>
    </row>
    <row r="834" spans="1:27" ht="12.75">
      <c r="A834" s="54"/>
      <c r="B834" s="10">
        <v>45915</v>
      </c>
      <c r="C834" s="11">
        <f>VLOOKUP(B:B,'Курс валют'!A:D,4,0)</f>
        <v>99.330399999999997</v>
      </c>
      <c r="D834" s="57" t="s">
        <v>2109</v>
      </c>
      <c r="E834" s="50" t="s">
        <v>50</v>
      </c>
      <c r="F834" s="58">
        <v>8000</v>
      </c>
      <c r="G834" s="57">
        <v>8100.55</v>
      </c>
      <c r="H834" s="56">
        <v>0</v>
      </c>
      <c r="I834" s="58">
        <f t="shared" si="97"/>
        <v>100.55000000000018</v>
      </c>
      <c r="J834" s="14">
        <f t="shared" si="103"/>
        <v>1.2568750000000022</v>
      </c>
      <c r="K834" s="56">
        <v>1.94</v>
      </c>
      <c r="L834" s="15">
        <f t="shared" si="98"/>
        <v>0</v>
      </c>
      <c r="M834" s="16">
        <f t="shared" si="99"/>
        <v>192.700976</v>
      </c>
      <c r="N834" s="17">
        <f t="shared" si="96"/>
        <v>1.94</v>
      </c>
      <c r="O834" s="17">
        <f t="shared" si="100"/>
        <v>15520</v>
      </c>
      <c r="P834" s="18">
        <f t="shared" si="101"/>
        <v>1541607.808</v>
      </c>
      <c r="R834" s="66"/>
      <c r="S834" s="48"/>
      <c r="T834" s="20"/>
      <c r="U834" s="20"/>
      <c r="V834" s="20"/>
      <c r="W834" s="20"/>
      <c r="X834" s="20"/>
      <c r="Y834" s="20"/>
      <c r="Z834" s="20"/>
      <c r="AA834" s="20"/>
    </row>
    <row r="835" spans="1:27" ht="12.75">
      <c r="A835" s="54"/>
      <c r="B835" s="10">
        <v>45915</v>
      </c>
      <c r="C835" s="11">
        <f>VLOOKUP(B:B,'Курс валют'!A:D,4,0)</f>
        <v>99.330399999999997</v>
      </c>
      <c r="D835" s="57" t="s">
        <v>2110</v>
      </c>
      <c r="E835" s="50" t="s">
        <v>51</v>
      </c>
      <c r="F835" s="58">
        <v>800</v>
      </c>
      <c r="G835" s="57">
        <v>809.8</v>
      </c>
      <c r="H835" s="56">
        <v>0</v>
      </c>
      <c r="I835" s="58">
        <f t="shared" si="97"/>
        <v>9.7999999999999545</v>
      </c>
      <c r="J835" s="14">
        <f t="shared" si="103"/>
        <v>1.2249999999999943</v>
      </c>
      <c r="K835" s="56">
        <v>1.92</v>
      </c>
      <c r="L835" s="15">
        <f t="shared" si="98"/>
        <v>0</v>
      </c>
      <c r="M835" s="16">
        <f t="shared" si="99"/>
        <v>190.71436800000001</v>
      </c>
      <c r="N835" s="17">
        <f t="shared" si="96"/>
        <v>1.92</v>
      </c>
      <c r="O835" s="17">
        <f t="shared" si="100"/>
        <v>1536</v>
      </c>
      <c r="P835" s="18">
        <f t="shared" si="101"/>
        <v>152571.4944</v>
      </c>
      <c r="R835" s="66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>
      <c r="A836" s="54"/>
      <c r="B836" s="10">
        <v>45916</v>
      </c>
      <c r="C836" s="11">
        <f>VLOOKUP(B:B,'Курс валют'!A:D,4,0)</f>
        <v>97.450199999999995</v>
      </c>
      <c r="D836" s="57" t="s">
        <v>2111</v>
      </c>
      <c r="E836" s="50" t="s">
        <v>70</v>
      </c>
      <c r="F836" s="58">
        <v>1600</v>
      </c>
      <c r="G836" s="57">
        <v>1600</v>
      </c>
      <c r="H836" s="56">
        <v>0</v>
      </c>
      <c r="I836" s="58">
        <f t="shared" si="97"/>
        <v>0</v>
      </c>
      <c r="J836" s="14">
        <f t="shared" si="103"/>
        <v>0</v>
      </c>
      <c r="K836" s="56">
        <v>2.73</v>
      </c>
      <c r="L836" s="15">
        <f t="shared" si="98"/>
        <v>0</v>
      </c>
      <c r="M836" s="16">
        <f t="shared" si="99"/>
        <v>266.03904599999998</v>
      </c>
      <c r="N836" s="17">
        <f t="shared" si="96"/>
        <v>2.73</v>
      </c>
      <c r="O836" s="17">
        <f t="shared" si="100"/>
        <v>4368</v>
      </c>
      <c r="P836" s="18">
        <f t="shared" si="101"/>
        <v>425662.47359999997</v>
      </c>
      <c r="R836" s="65" t="s">
        <v>1267</v>
      </c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>
      <c r="A837" s="54"/>
      <c r="B837" s="10">
        <v>45916</v>
      </c>
      <c r="C837" s="11">
        <f>VLOOKUP(B:B,'Курс валют'!A:D,4,0)</f>
        <v>97.450199999999995</v>
      </c>
      <c r="D837" s="57" t="s">
        <v>2112</v>
      </c>
      <c r="E837" s="50" t="s">
        <v>2113</v>
      </c>
      <c r="F837" s="58">
        <v>1800</v>
      </c>
      <c r="G837" s="57">
        <v>1830</v>
      </c>
      <c r="H837" s="56">
        <v>0</v>
      </c>
      <c r="I837" s="58">
        <f t="shared" si="97"/>
        <v>30</v>
      </c>
      <c r="J837" s="14">
        <f t="shared" si="103"/>
        <v>1.6666666666666667</v>
      </c>
      <c r="K837" s="56">
        <v>2.2599999999999998</v>
      </c>
      <c r="L837" s="15">
        <f t="shared" si="98"/>
        <v>0</v>
      </c>
      <c r="M837" s="16">
        <f t="shared" si="99"/>
        <v>220.23745199999996</v>
      </c>
      <c r="N837" s="17">
        <f t="shared" si="96"/>
        <v>2.2599999999999998</v>
      </c>
      <c r="O837" s="17">
        <f t="shared" si="100"/>
        <v>4067.9999999999995</v>
      </c>
      <c r="P837" s="18">
        <f t="shared" si="101"/>
        <v>396427.41359999991</v>
      </c>
      <c r="R837" s="65"/>
      <c r="S837" s="19"/>
      <c r="T837" s="20"/>
      <c r="U837" s="20"/>
      <c r="V837" s="20"/>
      <c r="W837" s="20"/>
      <c r="X837" s="20"/>
      <c r="Y837" s="20"/>
      <c r="Z837" s="20"/>
      <c r="AA837" s="20"/>
    </row>
    <row r="838" spans="1:27" ht="12.75">
      <c r="A838" s="54"/>
      <c r="B838" s="10">
        <v>45917</v>
      </c>
      <c r="C838" s="11">
        <f>VLOOKUP(B:B,'Курс валют'!A:D,4,0)</f>
        <v>97.890299999999996</v>
      </c>
      <c r="D838" s="57" t="s">
        <v>2114</v>
      </c>
      <c r="E838" s="50" t="s">
        <v>61</v>
      </c>
      <c r="F838" s="58">
        <v>2200</v>
      </c>
      <c r="G838" s="57">
        <v>2227.6999999999998</v>
      </c>
      <c r="H838" s="56">
        <v>0</v>
      </c>
      <c r="I838" s="58">
        <f t="shared" si="97"/>
        <v>27.699999999999818</v>
      </c>
      <c r="J838" s="14">
        <f t="shared" si="103"/>
        <v>1.2590909090909008</v>
      </c>
      <c r="K838" s="56">
        <v>2.4</v>
      </c>
      <c r="L838" s="15">
        <f t="shared" si="98"/>
        <v>0</v>
      </c>
      <c r="M838" s="16">
        <f t="shared" si="99"/>
        <v>234.93671999999998</v>
      </c>
      <c r="N838" s="17">
        <f t="shared" si="96"/>
        <v>2.4</v>
      </c>
      <c r="O838" s="17">
        <f t="shared" si="100"/>
        <v>5280</v>
      </c>
      <c r="P838" s="18">
        <f t="shared" si="101"/>
        <v>516860.78399999999</v>
      </c>
      <c r="R838" s="66"/>
      <c r="S838" s="19"/>
      <c r="T838" s="20"/>
      <c r="U838" s="20"/>
      <c r="V838" s="20"/>
      <c r="W838" s="20"/>
      <c r="X838" s="20"/>
      <c r="Y838" s="20"/>
      <c r="Z838" s="20"/>
      <c r="AA838" s="20"/>
    </row>
    <row r="839" spans="1:27" ht="12.75">
      <c r="A839" s="54"/>
      <c r="B839" s="10">
        <v>45917</v>
      </c>
      <c r="C839" s="11">
        <f>VLOOKUP(B:B,'Курс валют'!A:D,4,0)</f>
        <v>97.890299999999996</v>
      </c>
      <c r="D839" s="57" t="s">
        <v>2115</v>
      </c>
      <c r="E839" s="50" t="s">
        <v>2116</v>
      </c>
      <c r="F839" s="58">
        <v>4500</v>
      </c>
      <c r="G839" s="57">
        <v>4522</v>
      </c>
      <c r="H839" s="56">
        <v>0</v>
      </c>
      <c r="I839" s="58">
        <f t="shared" si="97"/>
        <v>22</v>
      </c>
      <c r="J839" s="14">
        <f t="shared" si="103"/>
        <v>0.48888888888888887</v>
      </c>
      <c r="K839" s="56">
        <v>2.06</v>
      </c>
      <c r="L839" s="15">
        <f t="shared" si="98"/>
        <v>0</v>
      </c>
      <c r="M839" s="16">
        <f t="shared" si="99"/>
        <v>201.65401800000001</v>
      </c>
      <c r="N839" s="17">
        <f t="shared" si="96"/>
        <v>2.06</v>
      </c>
      <c r="O839" s="17">
        <f t="shared" si="100"/>
        <v>9270</v>
      </c>
      <c r="P839" s="18">
        <f t="shared" si="101"/>
        <v>907443.08100000001</v>
      </c>
      <c r="R839" s="66" t="s">
        <v>2117</v>
      </c>
      <c r="S839" s="19"/>
      <c r="T839" s="20"/>
      <c r="U839" s="20"/>
      <c r="V839" s="20"/>
      <c r="W839" s="20"/>
      <c r="X839" s="20"/>
      <c r="Y839" s="20"/>
      <c r="Z839" s="20"/>
      <c r="AA839" s="20"/>
    </row>
    <row r="840" spans="1:27" ht="12.75">
      <c r="A840" s="54"/>
      <c r="B840" s="10">
        <v>45918</v>
      </c>
      <c r="C840" s="11">
        <f>VLOOKUP(B:B,'Курс валют'!A:D,4,0)</f>
        <v>98.299400000000006</v>
      </c>
      <c r="D840" s="57" t="s">
        <v>2118</v>
      </c>
      <c r="E840" s="50" t="s">
        <v>115</v>
      </c>
      <c r="F840" s="58">
        <v>148</v>
      </c>
      <c r="G840" s="57">
        <v>150.63</v>
      </c>
      <c r="H840" s="56">
        <v>0</v>
      </c>
      <c r="I840" s="58">
        <f t="shared" si="97"/>
        <v>2.6299999999999955</v>
      </c>
      <c r="J840" s="14">
        <f t="shared" si="103"/>
        <v>1.7770270270270239</v>
      </c>
      <c r="K840" s="56">
        <v>1.52</v>
      </c>
      <c r="L840" s="15">
        <f t="shared" si="98"/>
        <v>0</v>
      </c>
      <c r="M840" s="16">
        <f t="shared" si="99"/>
        <v>149.41508800000003</v>
      </c>
      <c r="N840" s="17">
        <f t="shared" si="96"/>
        <v>1.52</v>
      </c>
      <c r="O840" s="17">
        <f t="shared" si="100"/>
        <v>224.96</v>
      </c>
      <c r="P840" s="18">
        <f t="shared" si="101"/>
        <v>22113.433024000002</v>
      </c>
      <c r="R840" s="66" t="s">
        <v>2119</v>
      </c>
      <c r="S840" s="19"/>
      <c r="T840" s="20"/>
      <c r="U840" s="20"/>
      <c r="V840" s="20"/>
      <c r="W840" s="20"/>
      <c r="X840" s="20"/>
      <c r="Y840" s="20"/>
      <c r="Z840" s="20"/>
      <c r="AA840" s="20"/>
    </row>
    <row r="841" spans="1:27" ht="12.75">
      <c r="A841" s="54"/>
      <c r="B841" s="10">
        <v>45918</v>
      </c>
      <c r="C841" s="11">
        <f>VLOOKUP(B:B,'Курс валют'!A:D,4,0)</f>
        <v>98.299400000000006</v>
      </c>
      <c r="D841" s="57" t="s">
        <v>2120</v>
      </c>
      <c r="E841" s="50" t="s">
        <v>115</v>
      </c>
      <c r="F841" s="58">
        <v>148</v>
      </c>
      <c r="G841" s="52">
        <v>150.83000000000001</v>
      </c>
      <c r="H841" s="56">
        <v>0</v>
      </c>
      <c r="I841" s="13">
        <f t="shared" si="97"/>
        <v>2.8300000000000125</v>
      </c>
      <c r="J841" s="14">
        <f t="shared" si="103"/>
        <v>1.9121621621621707</v>
      </c>
      <c r="K841" s="56">
        <v>1.52</v>
      </c>
      <c r="L841" s="15">
        <f t="shared" si="98"/>
        <v>0</v>
      </c>
      <c r="M841" s="16">
        <f t="shared" si="99"/>
        <v>149.41508800000003</v>
      </c>
      <c r="N841" s="17">
        <f t="shared" si="96"/>
        <v>1.52</v>
      </c>
      <c r="O841" s="17">
        <f t="shared" si="100"/>
        <v>224.96</v>
      </c>
      <c r="P841" s="18">
        <f t="shared" si="101"/>
        <v>22113.433024000002</v>
      </c>
      <c r="R841" s="65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>
      <c r="A842" s="54"/>
      <c r="B842" s="10">
        <v>45918</v>
      </c>
      <c r="C842" s="11">
        <f>VLOOKUP(B:B,'Курс валют'!A:D,4,0)</f>
        <v>98.299400000000006</v>
      </c>
      <c r="D842" s="57" t="s">
        <v>2121</v>
      </c>
      <c r="E842" s="50" t="s">
        <v>432</v>
      </c>
      <c r="F842" s="58">
        <v>1043.0999999999999</v>
      </c>
      <c r="G842" s="57">
        <v>1048.28</v>
      </c>
      <c r="H842" s="56">
        <v>0</v>
      </c>
      <c r="I842" s="58">
        <f t="shared" si="97"/>
        <v>5.1800000000000637</v>
      </c>
      <c r="J842" s="14">
        <f t="shared" si="103"/>
        <v>0.4965966829642473</v>
      </c>
      <c r="K842" s="56">
        <v>1.69</v>
      </c>
      <c r="L842" s="15">
        <f t="shared" si="98"/>
        <v>0</v>
      </c>
      <c r="M842" s="16">
        <f t="shared" si="99"/>
        <v>166.12598599999998</v>
      </c>
      <c r="N842" s="17">
        <f t="shared" si="96"/>
        <v>1.69</v>
      </c>
      <c r="O842" s="17">
        <f t="shared" si="100"/>
        <v>1762.8389999999997</v>
      </c>
      <c r="P842" s="18">
        <f t="shared" si="101"/>
        <v>173286.01599659998</v>
      </c>
      <c r="R842" s="66"/>
      <c r="S842" s="19"/>
      <c r="T842" s="20"/>
      <c r="U842" s="20"/>
      <c r="V842" s="20"/>
      <c r="W842" s="20"/>
      <c r="X842" s="20"/>
      <c r="Y842" s="20"/>
      <c r="Z842" s="20"/>
      <c r="AA842" s="20"/>
    </row>
    <row r="843" spans="1:27" ht="12.75">
      <c r="A843" s="54"/>
      <c r="B843" s="54">
        <v>45918</v>
      </c>
      <c r="C843" s="11">
        <f>VLOOKUP(B:B,'Курс валют'!A:D,4,0)</f>
        <v>98.299400000000006</v>
      </c>
      <c r="D843" s="57" t="s">
        <v>2122</v>
      </c>
      <c r="E843" s="50" t="s">
        <v>61</v>
      </c>
      <c r="F843" s="58">
        <v>2200</v>
      </c>
      <c r="G843" s="57">
        <v>2227.7399999999998</v>
      </c>
      <c r="H843" s="56">
        <v>0</v>
      </c>
      <c r="I843" s="58">
        <f t="shared" si="97"/>
        <v>27.739999999999782</v>
      </c>
      <c r="J843" s="14">
        <f t="shared" si="103"/>
        <v>1.260909090909081</v>
      </c>
      <c r="K843" s="56">
        <v>2.4</v>
      </c>
      <c r="L843" s="15">
        <f t="shared" si="98"/>
        <v>0</v>
      </c>
      <c r="M843" s="16">
        <f t="shared" si="99"/>
        <v>235.91856000000001</v>
      </c>
      <c r="N843" s="17">
        <f t="shared" si="96"/>
        <v>2.4</v>
      </c>
      <c r="O843" s="17">
        <f t="shared" si="100"/>
        <v>5280</v>
      </c>
      <c r="P843" s="18">
        <f t="shared" si="101"/>
        <v>519020.83200000005</v>
      </c>
      <c r="R843" s="66"/>
      <c r="S843" s="19"/>
      <c r="T843" s="20"/>
      <c r="U843" s="20"/>
      <c r="V843" s="20"/>
      <c r="W843" s="20"/>
      <c r="X843" s="20"/>
      <c r="Y843" s="20"/>
      <c r="Z843" s="20"/>
      <c r="AA843" s="20"/>
    </row>
    <row r="844" spans="1:27" ht="12.75">
      <c r="A844" s="54"/>
      <c r="B844" s="10">
        <v>45919</v>
      </c>
      <c r="C844" s="11">
        <f>VLOOKUP(B:B,'Курс валют'!A:D,4,0)</f>
        <v>98.9773</v>
      </c>
      <c r="D844" s="57" t="s">
        <v>2123</v>
      </c>
      <c r="E844" s="50" t="s">
        <v>51</v>
      </c>
      <c r="F844" s="58">
        <v>8000</v>
      </c>
      <c r="G844" s="57">
        <v>8126.21</v>
      </c>
      <c r="H844" s="56">
        <v>0</v>
      </c>
      <c r="I844" s="58">
        <f t="shared" si="97"/>
        <v>126.21000000000004</v>
      </c>
      <c r="J844" s="14">
        <f t="shared" si="103"/>
        <v>1.5776250000000005</v>
      </c>
      <c r="K844" s="56">
        <v>1.93</v>
      </c>
      <c r="L844" s="15">
        <f t="shared" si="98"/>
        <v>0</v>
      </c>
      <c r="M844" s="16">
        <f t="shared" si="99"/>
        <v>191.02618900000002</v>
      </c>
      <c r="N844" s="17">
        <f t="shared" si="96"/>
        <v>1.93</v>
      </c>
      <c r="O844" s="17">
        <f t="shared" si="100"/>
        <v>15440</v>
      </c>
      <c r="P844" s="18">
        <f t="shared" si="101"/>
        <v>1528209.5120000001</v>
      </c>
      <c r="R844" s="66"/>
      <c r="S844" s="19"/>
      <c r="T844" s="20"/>
      <c r="U844" s="20"/>
      <c r="V844" s="20"/>
      <c r="W844" s="20"/>
      <c r="X844" s="20"/>
      <c r="Y844" s="20"/>
      <c r="Z844" s="20"/>
      <c r="AA844" s="20"/>
    </row>
    <row r="845" spans="1:27" ht="12.75">
      <c r="A845" s="54"/>
      <c r="B845" s="10">
        <v>45919</v>
      </c>
      <c r="C845" s="11">
        <f>VLOOKUP(B:B,'Курс валют'!A:D,4,0)</f>
        <v>98.9773</v>
      </c>
      <c r="D845" s="57" t="s">
        <v>2124</v>
      </c>
      <c r="E845" s="50" t="s">
        <v>61</v>
      </c>
      <c r="F845" s="58">
        <v>2200</v>
      </c>
      <c r="G845" s="52">
        <v>2249.44</v>
      </c>
      <c r="H845" s="56">
        <v>0</v>
      </c>
      <c r="I845" s="13">
        <f t="shared" si="97"/>
        <v>49.440000000000055</v>
      </c>
      <c r="J845" s="14">
        <f t="shared" si="103"/>
        <v>2.2472727272727298</v>
      </c>
      <c r="K845" s="56">
        <v>2.42</v>
      </c>
      <c r="L845" s="15">
        <f t="shared" si="98"/>
        <v>0</v>
      </c>
      <c r="M845" s="16">
        <f t="shared" si="99"/>
        <v>239.52506600000001</v>
      </c>
      <c r="N845" s="17">
        <f t="shared" si="96"/>
        <v>2.42</v>
      </c>
      <c r="O845" s="17">
        <f t="shared" si="100"/>
        <v>5324</v>
      </c>
      <c r="P845" s="18">
        <f t="shared" si="101"/>
        <v>526955.14520000003</v>
      </c>
      <c r="R845" s="66"/>
      <c r="S845" s="19"/>
      <c r="T845" s="20"/>
      <c r="U845" s="20"/>
      <c r="V845" s="20"/>
      <c r="W845" s="20"/>
      <c r="X845" s="20"/>
      <c r="Y845" s="20"/>
      <c r="Z845" s="20"/>
      <c r="AA845" s="20"/>
    </row>
    <row r="846" spans="1:27" ht="12.75">
      <c r="A846" s="54"/>
      <c r="B846" s="10">
        <v>45920</v>
      </c>
      <c r="C846" s="11">
        <f>VLOOKUP(B:B,'Курс валют'!A:D,4,0)</f>
        <v>98.884500000000003</v>
      </c>
      <c r="D846" s="57" t="s">
        <v>2125</v>
      </c>
      <c r="E846" s="50" t="s">
        <v>61</v>
      </c>
      <c r="F846" s="58">
        <v>2200</v>
      </c>
      <c r="G846" s="57">
        <v>2244.14</v>
      </c>
      <c r="H846" s="56">
        <v>0</v>
      </c>
      <c r="I846" s="58">
        <f t="shared" si="97"/>
        <v>44.139999999999873</v>
      </c>
      <c r="J846" s="14">
        <f t="shared" si="103"/>
        <v>2.0063636363636306</v>
      </c>
      <c r="K846" s="56">
        <v>2.42</v>
      </c>
      <c r="L846" s="15">
        <f t="shared" si="98"/>
        <v>0</v>
      </c>
      <c r="M846" s="16">
        <f t="shared" si="99"/>
        <v>239.30049</v>
      </c>
      <c r="N846" s="17">
        <f t="shared" si="96"/>
        <v>2.42</v>
      </c>
      <c r="O846" s="17">
        <f t="shared" si="100"/>
        <v>5324</v>
      </c>
      <c r="P846" s="18">
        <f t="shared" si="101"/>
        <v>526461.07799999998</v>
      </c>
      <c r="R846" s="66"/>
      <c r="S846" s="19"/>
      <c r="T846" s="20"/>
      <c r="U846" s="20"/>
      <c r="V846" s="20"/>
      <c r="W846" s="20"/>
      <c r="X846" s="20"/>
      <c r="Y846" s="20"/>
      <c r="Z846" s="20"/>
      <c r="AA846" s="20"/>
    </row>
    <row r="847" spans="1:27" ht="12.75">
      <c r="A847" s="54"/>
      <c r="B847" s="10">
        <v>45920</v>
      </c>
      <c r="C847" s="11">
        <f>VLOOKUP(B:B,'Курс валют'!A:D,4,0)</f>
        <v>98.884500000000003</v>
      </c>
      <c r="D847" s="57" t="s">
        <v>2126</v>
      </c>
      <c r="E847" s="50" t="s">
        <v>2127</v>
      </c>
      <c r="F847" s="58">
        <v>200</v>
      </c>
      <c r="G847" s="52">
        <v>200</v>
      </c>
      <c r="H847" s="56">
        <v>0</v>
      </c>
      <c r="I847" s="13">
        <f t="shared" si="97"/>
        <v>0</v>
      </c>
      <c r="J847" s="14">
        <f t="shared" si="103"/>
        <v>0</v>
      </c>
      <c r="K847" s="56">
        <v>2.99</v>
      </c>
      <c r="L847" s="15">
        <f t="shared" si="98"/>
        <v>0</v>
      </c>
      <c r="M847" s="16">
        <f t="shared" si="99"/>
        <v>295.66465500000004</v>
      </c>
      <c r="N847" s="17">
        <f t="shared" si="96"/>
        <v>2.99</v>
      </c>
      <c r="O847" s="17">
        <f t="shared" si="100"/>
        <v>598</v>
      </c>
      <c r="P847" s="18">
        <f t="shared" si="101"/>
        <v>59132.931000000004</v>
      </c>
      <c r="R847" s="66" t="s">
        <v>205</v>
      </c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>
      <c r="A848" s="54"/>
      <c r="B848" s="10">
        <v>45920</v>
      </c>
      <c r="C848" s="11">
        <f>VLOOKUP(B:B,'Курс валют'!A:D,4,0)</f>
        <v>98.884500000000003</v>
      </c>
      <c r="D848" s="57" t="s">
        <v>2128</v>
      </c>
      <c r="E848" s="50" t="s">
        <v>52</v>
      </c>
      <c r="F848" s="58">
        <v>1600</v>
      </c>
      <c r="G848" s="57">
        <v>1630.7</v>
      </c>
      <c r="H848" s="56">
        <v>0</v>
      </c>
      <c r="I848" s="58">
        <f t="shared" si="97"/>
        <v>30.700000000000045</v>
      </c>
      <c r="J848" s="14">
        <f t="shared" si="103"/>
        <v>1.9187500000000028</v>
      </c>
      <c r="K848" s="56">
        <v>2.69</v>
      </c>
      <c r="L848" s="15">
        <f t="shared" si="98"/>
        <v>0</v>
      </c>
      <c r="M848" s="16">
        <f t="shared" si="99"/>
        <v>265.99930500000005</v>
      </c>
      <c r="N848" s="17">
        <f t="shared" si="96"/>
        <v>2.69</v>
      </c>
      <c r="O848" s="17">
        <f t="shared" si="100"/>
        <v>4304</v>
      </c>
      <c r="P848" s="18">
        <f t="shared" si="101"/>
        <v>425598.88800000004</v>
      </c>
      <c r="R848" s="66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>
      <c r="A849" s="54"/>
      <c r="B849" s="10">
        <v>45920</v>
      </c>
      <c r="C849" s="11">
        <f>VLOOKUP(B:B,'Курс валют'!A:D,4,0)</f>
        <v>98.884500000000003</v>
      </c>
      <c r="D849" s="57" t="s">
        <v>2129</v>
      </c>
      <c r="E849" s="50" t="s">
        <v>89</v>
      </c>
      <c r="F849" s="58">
        <v>400</v>
      </c>
      <c r="G849" s="57">
        <v>409.12</v>
      </c>
      <c r="H849" s="56">
        <v>0</v>
      </c>
      <c r="I849" s="58">
        <f t="shared" si="97"/>
        <v>9.1200000000000045</v>
      </c>
      <c r="J849" s="14">
        <f t="shared" si="103"/>
        <v>2.2800000000000011</v>
      </c>
      <c r="K849" s="56">
        <v>2.71</v>
      </c>
      <c r="L849" s="15">
        <f t="shared" si="98"/>
        <v>0</v>
      </c>
      <c r="M849" s="16">
        <f t="shared" si="99"/>
        <v>267.97699500000004</v>
      </c>
      <c r="N849" s="17">
        <f>(F849*K849-H849*2.45)/F849</f>
        <v>2.71</v>
      </c>
      <c r="O849" s="17">
        <f t="shared" si="100"/>
        <v>1084</v>
      </c>
      <c r="P849" s="18">
        <f t="shared" si="101"/>
        <v>107190.79800000001</v>
      </c>
      <c r="S849" s="19"/>
      <c r="T849" s="20"/>
      <c r="U849" s="20"/>
      <c r="V849" s="20"/>
      <c r="W849" s="20"/>
      <c r="X849" s="20"/>
      <c r="Y849" s="20"/>
      <c r="Z849" s="20"/>
      <c r="AA849" s="20"/>
    </row>
    <row r="850" spans="1:27" ht="12.75">
      <c r="A850" s="54"/>
      <c r="B850" s="10">
        <v>45921</v>
      </c>
      <c r="C850" s="11">
        <f>VLOOKUP(B:B,'Курс валют'!A:D,4,0)</f>
        <v>98.884500000000003</v>
      </c>
      <c r="D850" s="57" t="s">
        <v>2130</v>
      </c>
      <c r="E850" s="50" t="s">
        <v>61</v>
      </c>
      <c r="F850" s="58">
        <v>2200</v>
      </c>
      <c r="G850" s="57">
        <v>2250.14</v>
      </c>
      <c r="H850" s="49">
        <v>0</v>
      </c>
      <c r="I850" s="58">
        <f t="shared" si="97"/>
        <v>50.139999999999873</v>
      </c>
      <c r="J850" s="14">
        <f t="shared" si="103"/>
        <v>2.2790909090909031</v>
      </c>
      <c r="K850" s="56">
        <v>2.42</v>
      </c>
      <c r="L850" s="15">
        <f t="shared" si="98"/>
        <v>0</v>
      </c>
      <c r="M850" s="16">
        <f t="shared" si="99"/>
        <v>239.30049</v>
      </c>
      <c r="N850" s="17">
        <f t="shared" ref="N850:N913" si="104">(F850*K850-H850*3.04)/F850</f>
        <v>2.42</v>
      </c>
      <c r="O850" s="17">
        <f t="shared" si="100"/>
        <v>5324</v>
      </c>
      <c r="P850" s="18">
        <f t="shared" si="101"/>
        <v>526461.07799999998</v>
      </c>
      <c r="R850" s="66"/>
      <c r="S850" s="19"/>
      <c r="T850" s="20"/>
      <c r="U850" s="20"/>
      <c r="V850" s="20"/>
      <c r="W850" s="20"/>
      <c r="X850" s="20"/>
      <c r="Y850" s="20"/>
      <c r="Z850" s="20"/>
      <c r="AA850" s="20"/>
    </row>
    <row r="851" spans="1:27" ht="12.75">
      <c r="A851" s="54"/>
      <c r="B851" s="10">
        <v>45921</v>
      </c>
      <c r="C851" s="11">
        <f>VLOOKUP(B:B,'Курс валют'!A:D,4,0)</f>
        <v>98.884500000000003</v>
      </c>
      <c r="D851" s="57" t="s">
        <v>2131</v>
      </c>
      <c r="E851" s="50" t="s">
        <v>2132</v>
      </c>
      <c r="F851" s="58">
        <v>1598</v>
      </c>
      <c r="G851" s="57">
        <v>1598</v>
      </c>
      <c r="H851" s="49">
        <v>0</v>
      </c>
      <c r="I851" s="58">
        <f t="shared" si="97"/>
        <v>0</v>
      </c>
      <c r="J851" s="14">
        <f t="shared" si="103"/>
        <v>0</v>
      </c>
      <c r="K851" s="56">
        <v>1.96</v>
      </c>
      <c r="L851" s="15">
        <f t="shared" si="98"/>
        <v>0</v>
      </c>
      <c r="M851" s="16">
        <f t="shared" si="99"/>
        <v>193.81362000000001</v>
      </c>
      <c r="N851" s="17">
        <f t="shared" si="104"/>
        <v>1.96</v>
      </c>
      <c r="O851" s="17">
        <f t="shared" si="100"/>
        <v>3132.08</v>
      </c>
      <c r="P851" s="18">
        <f t="shared" si="101"/>
        <v>309714.16476000001</v>
      </c>
      <c r="R851" s="65"/>
      <c r="S851" s="19"/>
      <c r="T851" s="20"/>
      <c r="U851" s="20"/>
      <c r="V851" s="20"/>
      <c r="W851" s="20"/>
      <c r="X851" s="20"/>
      <c r="Y851" s="20"/>
      <c r="Z851" s="20"/>
      <c r="AA851" s="20"/>
    </row>
    <row r="852" spans="1:27" ht="12.75">
      <c r="A852" s="54"/>
      <c r="B852" s="10">
        <v>45922</v>
      </c>
      <c r="C852" s="11">
        <f>VLOOKUP(B:B,'Курс валют'!A:D,4,0)</f>
        <v>98.884500000000003</v>
      </c>
      <c r="D852" s="57" t="s">
        <v>2133</v>
      </c>
      <c r="E852" s="50" t="s">
        <v>61</v>
      </c>
      <c r="F852" s="58">
        <v>2200</v>
      </c>
      <c r="G852" s="57">
        <v>2224</v>
      </c>
      <c r="H852" s="49">
        <v>0</v>
      </c>
      <c r="I852" s="58">
        <f t="shared" si="97"/>
        <v>24</v>
      </c>
      <c r="J852" s="14">
        <f t="shared" si="103"/>
        <v>1.0909090909090911</v>
      </c>
      <c r="K852" s="56">
        <v>2.2999999999999998</v>
      </c>
      <c r="L852" s="15">
        <f t="shared" si="98"/>
        <v>0</v>
      </c>
      <c r="M852" s="16">
        <f t="shared" si="99"/>
        <v>227.43434999999999</v>
      </c>
      <c r="N852" s="17">
        <f t="shared" si="104"/>
        <v>2.2999999999999998</v>
      </c>
      <c r="O852" s="17">
        <f t="shared" si="100"/>
        <v>5060</v>
      </c>
      <c r="P852" s="18">
        <f t="shared" si="101"/>
        <v>500355.57</v>
      </c>
      <c r="R852" s="65"/>
      <c r="S852" s="19"/>
      <c r="T852" s="20"/>
      <c r="U852" s="20"/>
      <c r="V852" s="20"/>
      <c r="W852" s="20"/>
      <c r="X852" s="20"/>
      <c r="Y852" s="20"/>
      <c r="Z852" s="20"/>
      <c r="AA852" s="20"/>
    </row>
    <row r="853" spans="1:27" ht="12.75">
      <c r="A853" s="54"/>
      <c r="B853" s="10">
        <v>45922</v>
      </c>
      <c r="C853" s="11">
        <f>VLOOKUP(B:B,'Курс валют'!A:D,4,0)</f>
        <v>98.884500000000003</v>
      </c>
      <c r="D853" s="57" t="s">
        <v>2134</v>
      </c>
      <c r="E853" s="50" t="s">
        <v>51</v>
      </c>
      <c r="F853" s="58">
        <v>8000</v>
      </c>
      <c r="G853" s="57">
        <v>8107.13</v>
      </c>
      <c r="H853" s="49">
        <v>0</v>
      </c>
      <c r="I853" s="58">
        <f t="shared" si="97"/>
        <v>107.13000000000011</v>
      </c>
      <c r="J853" s="14">
        <f t="shared" si="103"/>
        <v>1.3391250000000015</v>
      </c>
      <c r="K853" s="56">
        <v>1.93</v>
      </c>
      <c r="L853" s="15">
        <f t="shared" si="98"/>
        <v>0</v>
      </c>
      <c r="M853" s="16">
        <f t="shared" si="99"/>
        <v>190.84708499999999</v>
      </c>
      <c r="N853" s="17">
        <f t="shared" si="104"/>
        <v>1.93</v>
      </c>
      <c r="O853" s="17">
        <f t="shared" si="100"/>
        <v>15440</v>
      </c>
      <c r="P853" s="18">
        <f t="shared" si="101"/>
        <v>1526776.68</v>
      </c>
      <c r="R853" s="65"/>
      <c r="S853" s="19"/>
      <c r="T853" s="20"/>
      <c r="U853" s="20"/>
      <c r="V853" s="20"/>
      <c r="W853" s="20"/>
      <c r="X853" s="20"/>
      <c r="Y853" s="20"/>
      <c r="Z853" s="20"/>
      <c r="AA853" s="20"/>
    </row>
    <row r="854" spans="1:27" ht="12.75">
      <c r="A854" s="54"/>
      <c r="B854" s="10">
        <v>45922</v>
      </c>
      <c r="C854" s="11">
        <f>VLOOKUP(B:B,'Курс валют'!A:D,4,0)</f>
        <v>98.884500000000003</v>
      </c>
      <c r="D854" s="57" t="s">
        <v>2135</v>
      </c>
      <c r="E854" s="50" t="s">
        <v>60</v>
      </c>
      <c r="F854" s="58">
        <v>2250</v>
      </c>
      <c r="G854" s="57">
        <v>2269.85</v>
      </c>
      <c r="H854" s="49">
        <v>907</v>
      </c>
      <c r="I854" s="58">
        <f t="shared" si="97"/>
        <v>19.849999999999909</v>
      </c>
      <c r="J854" s="14">
        <f t="shared" si="103"/>
        <v>0.88222222222221813</v>
      </c>
      <c r="K854" s="56">
        <v>3.17</v>
      </c>
      <c r="L854" s="15">
        <f t="shared" si="98"/>
        <v>40.31111111111111</v>
      </c>
      <c r="M854" s="16">
        <f t="shared" si="99"/>
        <v>192.28508537333332</v>
      </c>
      <c r="N854" s="17">
        <f t="shared" si="104"/>
        <v>1.9445422222222219</v>
      </c>
      <c r="O854" s="17">
        <f t="shared" si="100"/>
        <v>4375.2199999999993</v>
      </c>
      <c r="P854" s="18">
        <f t="shared" si="101"/>
        <v>432641.44208999997</v>
      </c>
      <c r="R854" s="65"/>
      <c r="S854" s="19"/>
      <c r="T854" s="20"/>
      <c r="U854" s="20"/>
      <c r="V854" s="20"/>
      <c r="W854" s="20"/>
      <c r="X854" s="20"/>
      <c r="Y854" s="20"/>
      <c r="Z854" s="20"/>
      <c r="AA854" s="20"/>
    </row>
    <row r="855" spans="1:27" ht="12.75">
      <c r="A855" s="54"/>
      <c r="B855" s="10">
        <v>45923</v>
      </c>
      <c r="C855" s="11">
        <f>VLOOKUP(B:B,'Курс валют'!A:D,4,0)</f>
        <v>98.963800000000006</v>
      </c>
      <c r="D855" s="57" t="s">
        <v>2136</v>
      </c>
      <c r="E855" s="50" t="s">
        <v>51</v>
      </c>
      <c r="F855" s="58">
        <v>8000</v>
      </c>
      <c r="G855" s="57">
        <v>8093.4</v>
      </c>
      <c r="H855" s="56">
        <v>0</v>
      </c>
      <c r="I855" s="58">
        <f t="shared" si="97"/>
        <v>93.399999999999636</v>
      </c>
      <c r="J855" s="14">
        <f t="shared" si="103"/>
        <v>1.1674999999999955</v>
      </c>
      <c r="K855" s="53">
        <v>1.93</v>
      </c>
      <c r="L855" s="15">
        <f t="shared" si="98"/>
        <v>0</v>
      </c>
      <c r="M855" s="16">
        <f t="shared" si="99"/>
        <v>191.00013400000003</v>
      </c>
      <c r="N855" s="17">
        <f t="shared" si="104"/>
        <v>1.93</v>
      </c>
      <c r="O855" s="17">
        <f t="shared" si="100"/>
        <v>15440</v>
      </c>
      <c r="P855" s="18">
        <f t="shared" si="101"/>
        <v>1528001.0720000002</v>
      </c>
      <c r="R855" s="65"/>
      <c r="S855" s="19"/>
      <c r="T855" s="20"/>
      <c r="U855" s="20"/>
      <c r="V855" s="20"/>
      <c r="W855" s="20"/>
      <c r="X855" s="20"/>
      <c r="Y855" s="20"/>
      <c r="Z855" s="20"/>
      <c r="AA855" s="20"/>
    </row>
    <row r="856" spans="1:27" ht="12.75">
      <c r="A856" s="54"/>
      <c r="B856" s="10">
        <v>45924</v>
      </c>
      <c r="C856" s="11">
        <f>VLOOKUP(B:B,'Курс валют'!A:D,4,0)</f>
        <v>99.036299999999997</v>
      </c>
      <c r="D856" s="57" t="s">
        <v>2137</v>
      </c>
      <c r="E856" s="50" t="s">
        <v>50</v>
      </c>
      <c r="F856" s="58">
        <v>6400</v>
      </c>
      <c r="G856" s="57">
        <v>6476</v>
      </c>
      <c r="H856" s="56">
        <v>0</v>
      </c>
      <c r="I856" s="58">
        <f t="shared" si="97"/>
        <v>76</v>
      </c>
      <c r="J856" s="14">
        <f t="shared" si="103"/>
        <v>1.1875</v>
      </c>
      <c r="K856" s="53">
        <v>2.04</v>
      </c>
      <c r="L856" s="15">
        <f t="shared" si="98"/>
        <v>0</v>
      </c>
      <c r="M856" s="16">
        <f t="shared" si="99"/>
        <v>202.034052</v>
      </c>
      <c r="N856" s="17">
        <f t="shared" si="104"/>
        <v>2.04</v>
      </c>
      <c r="O856" s="17">
        <f t="shared" si="100"/>
        <v>13056</v>
      </c>
      <c r="P856" s="18">
        <f t="shared" si="101"/>
        <v>1293017.9328000001</v>
      </c>
      <c r="R856" s="65"/>
      <c r="S856" s="19"/>
      <c r="T856" s="20"/>
      <c r="U856" s="20"/>
      <c r="V856" s="20"/>
      <c r="W856" s="20"/>
      <c r="X856" s="20"/>
      <c r="Y856" s="20"/>
      <c r="Z856" s="20"/>
      <c r="AA856" s="20"/>
    </row>
    <row r="857" spans="1:27" ht="12.75">
      <c r="A857" s="54"/>
      <c r="B857" s="10">
        <v>45925</v>
      </c>
      <c r="C857" s="11">
        <f>VLOOKUP(B:B,'Курс валют'!A:D,4,0)</f>
        <v>98.601500000000001</v>
      </c>
      <c r="D857" s="57" t="s">
        <v>2138</v>
      </c>
      <c r="E857" s="50" t="s">
        <v>50</v>
      </c>
      <c r="F857" s="58">
        <v>6400</v>
      </c>
      <c r="G857" s="57">
        <v>6478.2</v>
      </c>
      <c r="H857" s="56">
        <v>0</v>
      </c>
      <c r="I857" s="58">
        <f t="shared" si="97"/>
        <v>78.199999999999818</v>
      </c>
      <c r="J857" s="14">
        <f t="shared" si="103"/>
        <v>1.2218749999999972</v>
      </c>
      <c r="K857" s="56">
        <v>2.0499999999999998</v>
      </c>
      <c r="L857" s="15">
        <f t="shared" si="98"/>
        <v>0</v>
      </c>
      <c r="M857" s="16">
        <f t="shared" si="99"/>
        <v>202.13307499999999</v>
      </c>
      <c r="N857" s="17">
        <f t="shared" si="104"/>
        <v>2.0499999999999998</v>
      </c>
      <c r="O857" s="17">
        <f t="shared" si="100"/>
        <v>13119.999999999998</v>
      </c>
      <c r="P857" s="18">
        <f t="shared" si="101"/>
        <v>1293651.68</v>
      </c>
      <c r="R857" s="66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>
      <c r="A858" s="54"/>
      <c r="B858" s="10">
        <v>45925</v>
      </c>
      <c r="C858" s="11">
        <f>VLOOKUP(B:B,'Курс валют'!A:D,4,0)</f>
        <v>98.601500000000001</v>
      </c>
      <c r="D858" s="57" t="s">
        <v>2139</v>
      </c>
      <c r="E858" s="55" t="s">
        <v>104</v>
      </c>
      <c r="F858" s="58">
        <v>2400</v>
      </c>
      <c r="G858" s="57">
        <v>2434.65</v>
      </c>
      <c r="H858" s="56">
        <v>0</v>
      </c>
      <c r="I858" s="58">
        <f t="shared" si="97"/>
        <v>34.650000000000091</v>
      </c>
      <c r="J858" s="14">
        <f t="shared" si="103"/>
        <v>1.4437500000000036</v>
      </c>
      <c r="K858" s="56">
        <v>2.66</v>
      </c>
      <c r="L858" s="15">
        <f t="shared" si="98"/>
        <v>0</v>
      </c>
      <c r="M858" s="16">
        <f t="shared" si="99"/>
        <v>262.27999</v>
      </c>
      <c r="N858" s="17">
        <f t="shared" si="104"/>
        <v>2.66</v>
      </c>
      <c r="O858" s="17">
        <f t="shared" si="100"/>
        <v>6384</v>
      </c>
      <c r="P858" s="18">
        <f t="shared" si="101"/>
        <v>629471.97600000002</v>
      </c>
      <c r="R858" s="66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>
      <c r="A859" s="54"/>
      <c r="B859" s="10">
        <v>45926</v>
      </c>
      <c r="C859" s="11">
        <f>VLOOKUP(B:B,'Курс валют'!A:D,4,0)</f>
        <v>98.154200000000003</v>
      </c>
      <c r="D859" s="57" t="s">
        <v>2140</v>
      </c>
      <c r="E859" s="55" t="s">
        <v>104</v>
      </c>
      <c r="F859" s="58">
        <v>2400</v>
      </c>
      <c r="G859" s="58">
        <v>2409.6999999999998</v>
      </c>
      <c r="H859" s="56">
        <v>0</v>
      </c>
      <c r="I859" s="58">
        <f t="shared" si="97"/>
        <v>9.6999999999998181</v>
      </c>
      <c r="J859" s="14">
        <f t="shared" si="103"/>
        <v>0.40416666666665912</v>
      </c>
      <c r="K859" s="56">
        <v>2.63</v>
      </c>
      <c r="L859" s="15">
        <f t="shared" si="98"/>
        <v>0</v>
      </c>
      <c r="M859" s="16">
        <f t="shared" si="99"/>
        <v>258.14554600000002</v>
      </c>
      <c r="N859" s="17">
        <f t="shared" si="104"/>
        <v>2.63</v>
      </c>
      <c r="O859" s="17">
        <f t="shared" si="100"/>
        <v>6312</v>
      </c>
      <c r="P859" s="18">
        <f t="shared" si="101"/>
        <v>619549.31040000007</v>
      </c>
      <c r="R859" s="65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>
      <c r="A860" s="54"/>
      <c r="B860" s="10">
        <v>45926</v>
      </c>
      <c r="C860" s="11">
        <f>VLOOKUP(B:B,'Курс валют'!A:D,4,0)</f>
        <v>98.154200000000003</v>
      </c>
      <c r="D860" s="57" t="s">
        <v>2141</v>
      </c>
      <c r="E860" s="50" t="s">
        <v>50</v>
      </c>
      <c r="F860" s="58">
        <v>1600</v>
      </c>
      <c r="G860" s="58">
        <v>1619.1</v>
      </c>
      <c r="H860" s="56">
        <v>0</v>
      </c>
      <c r="I860" s="58">
        <f t="shared" si="97"/>
        <v>19.099999999999909</v>
      </c>
      <c r="J860" s="14">
        <f t="shared" si="103"/>
        <v>1.1937499999999943</v>
      </c>
      <c r="K860" s="56">
        <v>2.0499999999999998</v>
      </c>
      <c r="L860" s="15">
        <f t="shared" si="98"/>
        <v>0</v>
      </c>
      <c r="M860" s="16">
        <f t="shared" si="99"/>
        <v>201.21610999999996</v>
      </c>
      <c r="N860" s="17">
        <f t="shared" si="104"/>
        <v>2.0499999999999998</v>
      </c>
      <c r="O860" s="17">
        <f t="shared" si="100"/>
        <v>3279.9999999999995</v>
      </c>
      <c r="P860" s="18">
        <f t="shared" si="101"/>
        <v>321945.77599999995</v>
      </c>
      <c r="R860" s="65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>
      <c r="A861" s="54"/>
      <c r="B861" s="10">
        <v>45926</v>
      </c>
      <c r="C861" s="11">
        <f>VLOOKUP(B:B,'Курс валют'!A:D,4,0)</f>
        <v>98.154200000000003</v>
      </c>
      <c r="D861" s="57" t="s">
        <v>2142</v>
      </c>
      <c r="E861" s="55" t="s">
        <v>58</v>
      </c>
      <c r="F861" s="58">
        <v>8800</v>
      </c>
      <c r="G861" s="58">
        <v>8902</v>
      </c>
      <c r="H861" s="56">
        <v>3688</v>
      </c>
      <c r="I861" s="58">
        <f t="shared" si="97"/>
        <v>102</v>
      </c>
      <c r="J861" s="14">
        <f t="shared" si="103"/>
        <v>1.1590909090909092</v>
      </c>
      <c r="K861" s="56">
        <v>3.61</v>
      </c>
      <c r="L861" s="15">
        <f t="shared" si="98"/>
        <v>41.909090909090907</v>
      </c>
      <c r="M861" s="16">
        <f t="shared" si="99"/>
        <v>229.28464195636363</v>
      </c>
      <c r="N861" s="17">
        <f t="shared" si="104"/>
        <v>2.3359636363636365</v>
      </c>
      <c r="O861" s="17">
        <f t="shared" si="100"/>
        <v>20556.48</v>
      </c>
      <c r="P861" s="18">
        <f t="shared" si="101"/>
        <v>2017704.8492159999</v>
      </c>
      <c r="R861" s="66"/>
      <c r="S861" s="19"/>
      <c r="T861" s="20"/>
      <c r="U861" s="20"/>
      <c r="V861" s="20"/>
      <c r="W861" s="20"/>
      <c r="X861" s="20"/>
      <c r="Y861" s="20"/>
      <c r="Z861" s="20"/>
      <c r="AA861" s="20"/>
    </row>
    <row r="862" spans="1:27" ht="12.75">
      <c r="A862" s="54"/>
      <c r="B862" s="10">
        <v>45927</v>
      </c>
      <c r="C862" s="11">
        <f>VLOOKUP(B:B,'Курс валют'!A:D,4,0)</f>
        <v>97.682299999999998</v>
      </c>
      <c r="D862" s="57" t="s">
        <v>2143</v>
      </c>
      <c r="E862" s="55" t="s">
        <v>104</v>
      </c>
      <c r="F862" s="58">
        <v>720</v>
      </c>
      <c r="G862" s="58">
        <v>748.2</v>
      </c>
      <c r="H862" s="56">
        <v>0</v>
      </c>
      <c r="I862" s="58">
        <f t="shared" si="97"/>
        <v>28.200000000000045</v>
      </c>
      <c r="J862" s="14">
        <f t="shared" si="103"/>
        <v>3.9166666666666732</v>
      </c>
      <c r="K862" s="56">
        <v>2.64</v>
      </c>
      <c r="L862" s="15">
        <f t="shared" si="98"/>
        <v>0</v>
      </c>
      <c r="M862" s="16">
        <f t="shared" si="99"/>
        <v>257.88127200000002</v>
      </c>
      <c r="N862" s="17">
        <f t="shared" si="104"/>
        <v>2.64</v>
      </c>
      <c r="O862" s="17">
        <f t="shared" si="100"/>
        <v>1900.8000000000002</v>
      </c>
      <c r="P862" s="18">
        <f t="shared" si="101"/>
        <v>185674.51584000001</v>
      </c>
      <c r="R862" s="66" t="s">
        <v>2144</v>
      </c>
      <c r="S862" s="19"/>
      <c r="T862" s="20"/>
      <c r="U862" s="20"/>
      <c r="V862" s="20"/>
      <c r="W862" s="20"/>
      <c r="X862" s="20"/>
      <c r="Y862" s="20"/>
      <c r="Z862" s="20"/>
      <c r="AA862" s="20"/>
    </row>
    <row r="863" spans="1:27" ht="12.75">
      <c r="A863" s="54"/>
      <c r="B863" s="10">
        <v>45927</v>
      </c>
      <c r="C863" s="11">
        <f>VLOOKUP(B:B,'Курс валют'!A:D,4,0)</f>
        <v>97.682299999999998</v>
      </c>
      <c r="D863" s="57" t="s">
        <v>2145</v>
      </c>
      <c r="E863" s="55" t="s">
        <v>15</v>
      </c>
      <c r="F863" s="58">
        <v>11000</v>
      </c>
      <c r="G863" s="58">
        <v>11128</v>
      </c>
      <c r="H863" s="56">
        <v>5073</v>
      </c>
      <c r="I863" s="58">
        <f t="shared" si="97"/>
        <v>128</v>
      </c>
      <c r="J863" s="14">
        <f t="shared" si="103"/>
        <v>1.1636363636363636</v>
      </c>
      <c r="K863" s="56">
        <v>3.66</v>
      </c>
      <c r="L863" s="15">
        <f t="shared" si="98"/>
        <v>46.118181818181817</v>
      </c>
      <c r="M863" s="16">
        <f t="shared" si="99"/>
        <v>220.56734381672726</v>
      </c>
      <c r="N863" s="17">
        <f t="shared" si="104"/>
        <v>2.2580072727272729</v>
      </c>
      <c r="O863" s="17">
        <f t="shared" si="100"/>
        <v>24838.080000000002</v>
      </c>
      <c r="P863" s="18">
        <f t="shared" si="101"/>
        <v>2426240.781984</v>
      </c>
      <c r="R863" s="66"/>
      <c r="S863" s="19"/>
      <c r="T863" s="20"/>
      <c r="U863" s="20"/>
      <c r="V863" s="20"/>
      <c r="W863" s="20"/>
      <c r="X863" s="20"/>
      <c r="Y863" s="20"/>
      <c r="Z863" s="20"/>
      <c r="AA863" s="20"/>
    </row>
    <row r="864" spans="1:27" ht="12.75">
      <c r="A864" s="54"/>
      <c r="B864" s="10">
        <v>45927</v>
      </c>
      <c r="C864" s="11">
        <f>VLOOKUP(B:B,'Курс валют'!A:D,4,0)</f>
        <v>97.682299999999998</v>
      </c>
      <c r="D864" s="57" t="s">
        <v>2146</v>
      </c>
      <c r="E864" s="55" t="s">
        <v>15</v>
      </c>
      <c r="F864" s="58">
        <v>660</v>
      </c>
      <c r="G864" s="58">
        <v>668.6</v>
      </c>
      <c r="H864" s="56">
        <v>305</v>
      </c>
      <c r="I864" s="58">
        <f t="shared" si="97"/>
        <v>8.6000000000000227</v>
      </c>
      <c r="J864" s="14">
        <f t="shared" si="103"/>
        <v>1.3030303030303063</v>
      </c>
      <c r="K864" s="56">
        <v>3.66</v>
      </c>
      <c r="L864" s="15">
        <f t="shared" si="98"/>
        <v>46.212121212121211</v>
      </c>
      <c r="M864" s="16">
        <f t="shared" si="99"/>
        <v>220.28838684848483</v>
      </c>
      <c r="N864" s="17">
        <f t="shared" si="104"/>
        <v>2.2551515151515149</v>
      </c>
      <c r="O864" s="17">
        <f t="shared" si="100"/>
        <v>1488.3999999999999</v>
      </c>
      <c r="P864" s="18">
        <f t="shared" si="101"/>
        <v>145390.33531999998</v>
      </c>
      <c r="R864" s="66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>
      <c r="A865" s="54"/>
      <c r="B865" s="10">
        <v>45928</v>
      </c>
      <c r="C865" s="11">
        <f>VLOOKUP(B:B,'Курс валют'!A:D,4,0)</f>
        <v>97.682299999999998</v>
      </c>
      <c r="D865" s="57" t="s">
        <v>2147</v>
      </c>
      <c r="E865" s="55" t="s">
        <v>60</v>
      </c>
      <c r="F865" s="58">
        <v>2250</v>
      </c>
      <c r="G865" s="58">
        <v>2275.5300000000002</v>
      </c>
      <c r="H865" s="56">
        <v>908</v>
      </c>
      <c r="I865" s="58">
        <f t="shared" si="97"/>
        <v>25.5300000000002</v>
      </c>
      <c r="J865" s="14">
        <f t="shared" si="103"/>
        <v>1.1346666666666754</v>
      </c>
      <c r="K865" s="56">
        <v>3.21</v>
      </c>
      <c r="L865" s="15">
        <f t="shared" si="98"/>
        <v>40.355555555555554</v>
      </c>
      <c r="M865" s="16">
        <f t="shared" si="99"/>
        <v>193.72266907288889</v>
      </c>
      <c r="N865" s="17">
        <f t="shared" si="104"/>
        <v>1.9831911111111113</v>
      </c>
      <c r="O865" s="17">
        <f t="shared" si="100"/>
        <v>4462.18</v>
      </c>
      <c r="P865" s="18">
        <f t="shared" si="101"/>
        <v>435876.00541400001</v>
      </c>
      <c r="R865" s="66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>
      <c r="A866" s="54"/>
      <c r="B866" s="10">
        <v>45928</v>
      </c>
      <c r="C866" s="11">
        <f>VLOOKUP(B:B,'Курс валют'!A:D,4,0)</f>
        <v>97.682299999999998</v>
      </c>
      <c r="D866" s="57" t="s">
        <v>2148</v>
      </c>
      <c r="E866" s="55" t="s">
        <v>15</v>
      </c>
      <c r="F866" s="58">
        <v>6600</v>
      </c>
      <c r="G866" s="58">
        <v>6676.8</v>
      </c>
      <c r="H866" s="56">
        <v>2739.42</v>
      </c>
      <c r="I866" s="58">
        <f t="shared" si="97"/>
        <v>76.800000000000182</v>
      </c>
      <c r="J866" s="14">
        <f t="shared" si="103"/>
        <v>1.1636363636363662</v>
      </c>
      <c r="K866" s="56">
        <v>3.56</v>
      </c>
      <c r="L866" s="15">
        <f t="shared" si="98"/>
        <v>41.506363636363638</v>
      </c>
      <c r="M866" s="16">
        <f t="shared" si="99"/>
        <v>224.49410123505456</v>
      </c>
      <c r="N866" s="17">
        <f t="shared" si="104"/>
        <v>2.2982065454545455</v>
      </c>
      <c r="O866" s="17">
        <f t="shared" si="100"/>
        <v>15168.163200000001</v>
      </c>
      <c r="P866" s="18">
        <f t="shared" si="101"/>
        <v>1481661.0681513601</v>
      </c>
      <c r="R866" s="66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>
      <c r="A867" s="54"/>
      <c r="B867" s="10">
        <v>45929</v>
      </c>
      <c r="C867" s="11">
        <f>VLOOKUP(B:B,'Курс валют'!A:D,4,0)</f>
        <v>97.682299999999998</v>
      </c>
      <c r="D867" s="57" t="s">
        <v>2149</v>
      </c>
      <c r="E867" s="55" t="s">
        <v>15</v>
      </c>
      <c r="F867" s="58">
        <v>8800</v>
      </c>
      <c r="G867" s="58">
        <v>8902.4</v>
      </c>
      <c r="H867" s="56">
        <v>4058.4</v>
      </c>
      <c r="I867" s="58">
        <f t="shared" si="97"/>
        <v>102.39999999999964</v>
      </c>
      <c r="J867" s="14">
        <f t="shared" si="103"/>
        <v>1.1636363636363596</v>
      </c>
      <c r="K867" s="56">
        <v>3.56</v>
      </c>
      <c r="L867" s="15">
        <f t="shared" si="98"/>
        <v>46.118181818181817</v>
      </c>
      <c r="M867" s="16">
        <f t="shared" si="99"/>
        <v>210.79911381672727</v>
      </c>
      <c r="N867" s="17">
        <f t="shared" si="104"/>
        <v>2.1580072727272728</v>
      </c>
      <c r="O867" s="17">
        <f t="shared" si="100"/>
        <v>18990.464</v>
      </c>
      <c r="P867" s="18">
        <f t="shared" si="101"/>
        <v>1855032.2015871999</v>
      </c>
      <c r="R867" s="66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>
      <c r="A868" s="54"/>
      <c r="B868" s="10">
        <v>45930</v>
      </c>
      <c r="C868" s="11">
        <f>VLOOKUP(B:B,'Курс валют'!A:D,4,0)</f>
        <v>97.141000000000005</v>
      </c>
      <c r="D868" s="57" t="s">
        <v>2150</v>
      </c>
      <c r="E868" s="55" t="s">
        <v>15</v>
      </c>
      <c r="F868" s="58">
        <v>3300</v>
      </c>
      <c r="G868" s="58">
        <v>3338.4</v>
      </c>
      <c r="H868" s="56">
        <v>1521.9</v>
      </c>
      <c r="I868" s="58">
        <f t="shared" si="97"/>
        <v>38.400000000000091</v>
      </c>
      <c r="J868" s="14">
        <f t="shared" si="103"/>
        <v>1.1636363636363662</v>
      </c>
      <c r="K868" s="56">
        <v>3.54</v>
      </c>
      <c r="L868" s="15">
        <f t="shared" si="98"/>
        <v>46.118181818181817</v>
      </c>
      <c r="M868" s="16">
        <f t="shared" si="99"/>
        <v>207.68816448000001</v>
      </c>
      <c r="N868" s="17">
        <f t="shared" si="104"/>
        <v>2.1380072727272728</v>
      </c>
      <c r="O868" s="17">
        <f t="shared" si="100"/>
        <v>7055.424</v>
      </c>
      <c r="P868" s="18">
        <f t="shared" si="101"/>
        <v>685370.94278400007</v>
      </c>
      <c r="R868" s="66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>
      <c r="A869" s="54"/>
      <c r="B869" s="10">
        <v>45930</v>
      </c>
      <c r="C869" s="11">
        <f>VLOOKUP(B:B,'Курс валют'!A:D,4,0)</f>
        <v>97.141000000000005</v>
      </c>
      <c r="D869" s="57" t="s">
        <v>2151</v>
      </c>
      <c r="E869" s="55" t="s">
        <v>2116</v>
      </c>
      <c r="F869" s="58">
        <v>720</v>
      </c>
      <c r="G869" s="58">
        <v>727.2</v>
      </c>
      <c r="H869" s="56">
        <v>0</v>
      </c>
      <c r="I869" s="58">
        <f t="shared" si="97"/>
        <v>7.2000000000000455</v>
      </c>
      <c r="J869" s="14">
        <f t="shared" si="103"/>
        <v>1.0000000000000062</v>
      </c>
      <c r="K869" s="56">
        <v>1.93</v>
      </c>
      <c r="L869" s="15">
        <f t="shared" si="98"/>
        <v>0</v>
      </c>
      <c r="M869" s="16">
        <f t="shared" si="99"/>
        <v>187.48213000000001</v>
      </c>
      <c r="N869" s="17">
        <f t="shared" si="104"/>
        <v>1.93</v>
      </c>
      <c r="O869" s="17">
        <f t="shared" si="100"/>
        <v>1389.6</v>
      </c>
      <c r="P869" s="18">
        <f t="shared" si="101"/>
        <v>134987.1336</v>
      </c>
      <c r="R869" s="66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>
      <c r="A870" s="54"/>
      <c r="B870" s="10">
        <v>45930</v>
      </c>
      <c r="C870" s="11">
        <f>VLOOKUP(B:B,'Курс валют'!A:D,4,0)</f>
        <v>97.141000000000005</v>
      </c>
      <c r="D870" s="57" t="s">
        <v>2152</v>
      </c>
      <c r="E870" s="64" t="s">
        <v>15</v>
      </c>
      <c r="F870" s="58">
        <v>220</v>
      </c>
      <c r="G870" s="58">
        <v>223.6</v>
      </c>
      <c r="H870" s="56">
        <v>84.3</v>
      </c>
      <c r="I870" s="58">
        <f t="shared" si="97"/>
        <v>3.5999999999999943</v>
      </c>
      <c r="J870" s="14">
        <f t="shared" si="103"/>
        <v>1.6363636363636338</v>
      </c>
      <c r="K870" s="56">
        <v>3.54</v>
      </c>
      <c r="L870" s="15">
        <f t="shared" si="98"/>
        <v>38.31818181818182</v>
      </c>
      <c r="M870" s="16">
        <f t="shared" si="99"/>
        <v>230.72223840000004</v>
      </c>
      <c r="N870" s="17">
        <f t="shared" si="104"/>
        <v>2.3751272727272728</v>
      </c>
      <c r="O870" s="17">
        <f t="shared" si="100"/>
        <v>522.52800000000002</v>
      </c>
      <c r="P870" s="18">
        <f t="shared" si="101"/>
        <v>50758.892448000006</v>
      </c>
      <c r="R870" s="66" t="s">
        <v>2153</v>
      </c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>
      <c r="A871" s="54"/>
      <c r="B871" s="10">
        <v>45930</v>
      </c>
      <c r="C871" s="11">
        <f>VLOOKUP(B:B,'Курс валют'!A:D,4,0)</f>
        <v>97.141000000000005</v>
      </c>
      <c r="D871" s="57" t="s">
        <v>2154</v>
      </c>
      <c r="E871" s="55" t="s">
        <v>2155</v>
      </c>
      <c r="F871" s="58">
        <v>5500</v>
      </c>
      <c r="G871" s="58">
        <v>5563.65</v>
      </c>
      <c r="H871" s="56">
        <v>2305</v>
      </c>
      <c r="I871" s="58">
        <f t="shared" si="97"/>
        <v>63.649999999999636</v>
      </c>
      <c r="J871" s="14">
        <f t="shared" si="103"/>
        <v>1.1572727272727206</v>
      </c>
      <c r="K871" s="56">
        <v>3.55</v>
      </c>
      <c r="L871" s="15">
        <f t="shared" si="98"/>
        <v>41.909090909090907</v>
      </c>
      <c r="M871" s="16">
        <f t="shared" si="99"/>
        <v>221.08938360000005</v>
      </c>
      <c r="N871" s="17">
        <f t="shared" si="104"/>
        <v>2.2759636363636364</v>
      </c>
      <c r="O871" s="17">
        <f t="shared" si="100"/>
        <v>12517.800000000001</v>
      </c>
      <c r="P871" s="18">
        <f t="shared" si="101"/>
        <v>1215991.6098000002</v>
      </c>
      <c r="R871" s="66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>
      <c r="A872" s="10"/>
      <c r="B872" s="10">
        <v>45931</v>
      </c>
      <c r="C872" s="11">
        <f>VLOOKUP(B:B,'Курс валют'!A:D,4,0)</f>
        <v>96.864400000000003</v>
      </c>
      <c r="D872" s="45" t="s">
        <v>1998</v>
      </c>
      <c r="E872" s="62" t="s">
        <v>101</v>
      </c>
      <c r="F872" s="11">
        <v>3200</v>
      </c>
      <c r="G872" s="11">
        <v>3239.6</v>
      </c>
      <c r="H872" s="56">
        <v>0</v>
      </c>
      <c r="I872" s="58">
        <f t="shared" si="97"/>
        <v>39.599999999999909</v>
      </c>
      <c r="J872" s="14">
        <f t="shared" si="103"/>
        <v>1.2374999999999972</v>
      </c>
      <c r="K872" s="46">
        <v>2.7</v>
      </c>
      <c r="L872" s="15">
        <f t="shared" si="98"/>
        <v>0</v>
      </c>
      <c r="M872" s="16">
        <f t="shared" si="99"/>
        <v>261.53388000000001</v>
      </c>
      <c r="N872" s="17">
        <f t="shared" si="104"/>
        <v>2.7</v>
      </c>
      <c r="O872" s="17">
        <f t="shared" si="100"/>
        <v>8640</v>
      </c>
      <c r="P872" s="18">
        <f t="shared" si="101"/>
        <v>836908.41600000008</v>
      </c>
      <c r="R872" s="66"/>
      <c r="S872" s="19"/>
      <c r="T872" s="20"/>
      <c r="U872" s="20"/>
      <c r="V872" s="20"/>
      <c r="W872" s="20"/>
      <c r="X872" s="20"/>
      <c r="Y872" s="20"/>
      <c r="Z872" s="20"/>
      <c r="AA872" s="20"/>
    </row>
    <row r="873" spans="1:27" ht="12.75">
      <c r="A873" s="10"/>
      <c r="B873" s="10">
        <v>45932</v>
      </c>
      <c r="C873" s="11">
        <f>VLOOKUP(B:B,'Курс валют'!A:D,4,0)</f>
        <v>95.638199999999998</v>
      </c>
      <c r="D873" s="57" t="s">
        <v>1999</v>
      </c>
      <c r="E873" s="12" t="s">
        <v>102</v>
      </c>
      <c r="F873" s="58">
        <v>23.18</v>
      </c>
      <c r="G873" s="58">
        <v>23.18</v>
      </c>
      <c r="H873" s="56">
        <v>0</v>
      </c>
      <c r="I873" s="58">
        <f t="shared" si="97"/>
        <v>0</v>
      </c>
      <c r="J873" s="14">
        <f t="shared" si="103"/>
        <v>0</v>
      </c>
      <c r="K873" s="56">
        <v>1.65</v>
      </c>
      <c r="L873" s="15">
        <f t="shared" si="98"/>
        <v>0</v>
      </c>
      <c r="M873" s="16">
        <f t="shared" si="99"/>
        <v>157.80303000000001</v>
      </c>
      <c r="N873" s="17">
        <f t="shared" si="104"/>
        <v>1.65</v>
      </c>
      <c r="O873" s="17">
        <f t="shared" si="100"/>
        <v>38.247</v>
      </c>
      <c r="P873" s="18">
        <f t="shared" si="101"/>
        <v>3657.8742354000001</v>
      </c>
      <c r="R873" s="66" t="s">
        <v>2000</v>
      </c>
      <c r="S873" s="19"/>
      <c r="T873" s="20"/>
      <c r="U873" s="20"/>
      <c r="V873" s="20"/>
      <c r="W873" s="20"/>
      <c r="X873" s="20"/>
      <c r="Y873" s="20"/>
      <c r="Z873" s="20"/>
      <c r="AA873" s="20"/>
    </row>
    <row r="874" spans="1:27" ht="12.75">
      <c r="A874" s="10"/>
      <c r="B874" s="10">
        <v>45932</v>
      </c>
      <c r="C874" s="11">
        <f>VLOOKUP(B:B,'Курс валют'!A:D,4,0)</f>
        <v>95.638199999999998</v>
      </c>
      <c r="D874" s="57" t="s">
        <v>2001</v>
      </c>
      <c r="E874" s="12" t="s">
        <v>103</v>
      </c>
      <c r="F874" s="58">
        <v>9600</v>
      </c>
      <c r="G874" s="58">
        <v>9719.16</v>
      </c>
      <c r="H874" s="56">
        <v>919.2</v>
      </c>
      <c r="I874" s="58">
        <f t="shared" si="97"/>
        <v>119.15999999999985</v>
      </c>
      <c r="J874" s="14">
        <f t="shared" si="103"/>
        <v>1.2412499999999984</v>
      </c>
      <c r="K874" s="56">
        <v>2</v>
      </c>
      <c r="L874" s="15">
        <f t="shared" si="98"/>
        <v>9.5749999999999993</v>
      </c>
      <c r="M874" s="16">
        <f t="shared" si="99"/>
        <v>163.43803274399997</v>
      </c>
      <c r="N874" s="17">
        <f t="shared" si="104"/>
        <v>1.7089199999999998</v>
      </c>
      <c r="O874" s="17">
        <f t="shared" si="100"/>
        <v>16405.631999999998</v>
      </c>
      <c r="P874" s="18">
        <f t="shared" si="101"/>
        <v>1569005.1143423996</v>
      </c>
      <c r="R874" s="66"/>
      <c r="S874" s="19"/>
      <c r="T874" s="20"/>
      <c r="U874" s="20"/>
      <c r="V874" s="20"/>
      <c r="W874" s="20"/>
      <c r="X874" s="20"/>
      <c r="Y874" s="20"/>
      <c r="Z874" s="20"/>
      <c r="AA874" s="20"/>
    </row>
    <row r="875" spans="1:27" ht="12.75">
      <c r="A875" s="10"/>
      <c r="B875" s="10">
        <v>45932</v>
      </c>
      <c r="C875" s="11">
        <f>VLOOKUP(B:B,'Курс валют'!A:D,4,0)</f>
        <v>95.638199999999998</v>
      </c>
      <c r="D875" s="57" t="s">
        <v>2002</v>
      </c>
      <c r="E875" s="26" t="s">
        <v>56</v>
      </c>
      <c r="F875" s="58">
        <v>2000</v>
      </c>
      <c r="G875" s="58">
        <v>2031.04</v>
      </c>
      <c r="H875" s="56">
        <v>0</v>
      </c>
      <c r="I875" s="58">
        <f t="shared" ref="I875:I942" si="105">G875-F875</f>
        <v>31.039999999999964</v>
      </c>
      <c r="J875" s="14">
        <f t="shared" si="103"/>
        <v>1.5519999999999983</v>
      </c>
      <c r="K875" s="56">
        <v>2.25</v>
      </c>
      <c r="L875" s="15">
        <f t="shared" ref="L875:L942" si="106">H875/F875*100</f>
        <v>0</v>
      </c>
      <c r="M875" s="16">
        <f t="shared" ref="M875:M942" si="107">P875/F875</f>
        <v>215.18594999999999</v>
      </c>
      <c r="N875" s="17">
        <f t="shared" si="104"/>
        <v>2.25</v>
      </c>
      <c r="O875" s="17">
        <f t="shared" ref="O875:O942" si="108">N875*F875</f>
        <v>4500</v>
      </c>
      <c r="P875" s="18">
        <f t="shared" ref="P875:P942" si="109">O875*C875</f>
        <v>430371.89999999997</v>
      </c>
      <c r="R875" s="66"/>
      <c r="S875" s="19"/>
      <c r="T875" s="20"/>
      <c r="U875" s="20"/>
      <c r="V875" s="20"/>
      <c r="W875" s="20"/>
      <c r="X875" s="20"/>
      <c r="Y875" s="20"/>
      <c r="Z875" s="20"/>
      <c r="AA875" s="20"/>
    </row>
    <row r="876" spans="1:27" ht="12.75">
      <c r="A876" s="10"/>
      <c r="B876" s="10">
        <v>45933</v>
      </c>
      <c r="C876" s="11">
        <f>VLOOKUP(B:B,'Курс валют'!A:D,4,0)</f>
        <v>95.341099999999997</v>
      </c>
      <c r="D876" s="57" t="s">
        <v>2003</v>
      </c>
      <c r="E876" s="26" t="s">
        <v>103</v>
      </c>
      <c r="F876" s="58">
        <v>6400</v>
      </c>
      <c r="G876" s="58">
        <v>6479.44</v>
      </c>
      <c r="H876" s="56">
        <v>612.79999999999995</v>
      </c>
      <c r="I876" s="58">
        <f t="shared" si="105"/>
        <v>79.4399999999996</v>
      </c>
      <c r="J876" s="14">
        <f t="shared" si="103"/>
        <v>1.2412499999999937</v>
      </c>
      <c r="K876" s="56">
        <v>2</v>
      </c>
      <c r="L876" s="15">
        <f t="shared" si="106"/>
        <v>9.5749999999999993</v>
      </c>
      <c r="M876" s="16">
        <f t="shared" si="107"/>
        <v>162.93031261199999</v>
      </c>
      <c r="N876" s="17">
        <f t="shared" si="104"/>
        <v>1.70892</v>
      </c>
      <c r="O876" s="17">
        <f t="shared" si="108"/>
        <v>10937.088</v>
      </c>
      <c r="P876" s="18">
        <f t="shared" si="109"/>
        <v>1042754.0007168</v>
      </c>
      <c r="R876" s="66"/>
      <c r="S876" s="19"/>
      <c r="T876" s="20"/>
      <c r="U876" s="20"/>
      <c r="V876" s="20"/>
      <c r="W876" s="20"/>
      <c r="X876" s="20"/>
      <c r="Y876" s="20"/>
      <c r="Z876" s="20"/>
      <c r="AA876" s="20"/>
    </row>
    <row r="877" spans="1:27" ht="12.75">
      <c r="A877" s="10"/>
      <c r="B877" s="10">
        <v>45933</v>
      </c>
      <c r="C877" s="11">
        <f>VLOOKUP(B:B,'Курс валют'!A:D,4,0)</f>
        <v>95.341099999999997</v>
      </c>
      <c r="D877" s="57" t="s">
        <v>2004</v>
      </c>
      <c r="E877" s="26" t="s">
        <v>65</v>
      </c>
      <c r="F877" s="58">
        <v>3200</v>
      </c>
      <c r="G877" s="58">
        <v>3240.32</v>
      </c>
      <c r="H877" s="56">
        <v>305.60000000000002</v>
      </c>
      <c r="I877" s="58">
        <f t="shared" si="105"/>
        <v>40.320000000000164</v>
      </c>
      <c r="J877" s="14">
        <f t="shared" si="103"/>
        <v>1.2600000000000051</v>
      </c>
      <c r="K877" s="56">
        <v>2.06</v>
      </c>
      <c r="L877" s="15">
        <f t="shared" si="106"/>
        <v>9.5500000000000007</v>
      </c>
      <c r="M877" s="16">
        <f t="shared" si="107"/>
        <v>168.723237848</v>
      </c>
      <c r="N877" s="17">
        <f t="shared" si="104"/>
        <v>1.7696799999999999</v>
      </c>
      <c r="O877" s="17">
        <f t="shared" si="108"/>
        <v>5662.9759999999997</v>
      </c>
      <c r="P877" s="18">
        <f t="shared" si="109"/>
        <v>539914.36111359997</v>
      </c>
      <c r="R877" s="66"/>
      <c r="S877" s="19"/>
      <c r="T877" s="20"/>
      <c r="U877" s="20"/>
      <c r="V877" s="20"/>
      <c r="W877" s="20"/>
      <c r="X877" s="20"/>
      <c r="Y877" s="20"/>
      <c r="Z877" s="20"/>
      <c r="AA877" s="20"/>
    </row>
    <row r="878" spans="1:27" ht="12.75">
      <c r="A878" s="10"/>
      <c r="B878" s="10">
        <v>45934</v>
      </c>
      <c r="C878" s="11">
        <f>VLOOKUP(B:B,'Курс валют'!A:D,4,0)</f>
        <v>96.052499999999995</v>
      </c>
      <c r="D878" s="57" t="s">
        <v>2005</v>
      </c>
      <c r="E878" s="21" t="s">
        <v>56</v>
      </c>
      <c r="F878" s="58">
        <v>2000</v>
      </c>
      <c r="G878" s="58">
        <v>2024</v>
      </c>
      <c r="H878" s="56">
        <v>0</v>
      </c>
      <c r="I878" s="58">
        <f t="shared" si="105"/>
        <v>24</v>
      </c>
      <c r="J878" s="14">
        <f t="shared" si="103"/>
        <v>1.2</v>
      </c>
      <c r="K878" s="56">
        <v>2.2799999999999998</v>
      </c>
      <c r="L878" s="15">
        <f t="shared" si="106"/>
        <v>0</v>
      </c>
      <c r="M878" s="16">
        <f t="shared" si="107"/>
        <v>218.99969999999999</v>
      </c>
      <c r="N878" s="17">
        <f t="shared" si="104"/>
        <v>2.2799999999999998</v>
      </c>
      <c r="O878" s="17">
        <f t="shared" si="108"/>
        <v>4560</v>
      </c>
      <c r="P878" s="18">
        <f t="shared" si="109"/>
        <v>437999.39999999997</v>
      </c>
      <c r="R878" s="66"/>
      <c r="S878" s="19"/>
      <c r="T878" s="20"/>
      <c r="U878" s="20"/>
      <c r="V878" s="20"/>
      <c r="W878" s="20"/>
      <c r="X878" s="20"/>
      <c r="Y878" s="20"/>
      <c r="Z878" s="20"/>
      <c r="AA878" s="20"/>
    </row>
    <row r="879" spans="1:27" ht="12.75">
      <c r="A879" s="10"/>
      <c r="B879" s="10">
        <v>45934</v>
      </c>
      <c r="C879" s="11">
        <f>VLOOKUP(B:B,'Курс валют'!A:D,4,0)</f>
        <v>96.052499999999995</v>
      </c>
      <c r="D879" s="57" t="s">
        <v>2006</v>
      </c>
      <c r="E879" s="21" t="s">
        <v>65</v>
      </c>
      <c r="F879" s="58">
        <v>4800</v>
      </c>
      <c r="G879" s="58">
        <v>4860.6000000000004</v>
      </c>
      <c r="H879" s="56">
        <v>458.4</v>
      </c>
      <c r="I879" s="58">
        <f t="shared" si="105"/>
        <v>60.600000000000364</v>
      </c>
      <c r="J879" s="14">
        <f t="shared" si="103"/>
        <v>1.2625000000000075</v>
      </c>
      <c r="K879" s="56">
        <v>2.06</v>
      </c>
      <c r="L879" s="15">
        <f t="shared" si="106"/>
        <v>9.5500000000000007</v>
      </c>
      <c r="M879" s="16">
        <f t="shared" si="107"/>
        <v>169.9821882</v>
      </c>
      <c r="N879" s="17">
        <f t="shared" si="104"/>
        <v>1.7696799999999999</v>
      </c>
      <c r="O879" s="17">
        <f t="shared" si="108"/>
        <v>8494.4639999999999</v>
      </c>
      <c r="P879" s="18">
        <f t="shared" si="109"/>
        <v>815914.50335999997</v>
      </c>
      <c r="R879" s="66"/>
      <c r="S879" s="19"/>
      <c r="T879" s="20"/>
      <c r="U879" s="20"/>
      <c r="V879" s="20"/>
      <c r="W879" s="20"/>
      <c r="X879" s="20"/>
      <c r="Y879" s="20"/>
      <c r="Z879" s="20"/>
      <c r="AA879" s="20"/>
    </row>
    <row r="880" spans="1:27" ht="12.75">
      <c r="A880" s="10"/>
      <c r="B880" s="10">
        <v>45934</v>
      </c>
      <c r="C880" s="11">
        <f>VLOOKUP(B:B,'Курс валют'!A:D,4,0)</f>
        <v>96.052499999999995</v>
      </c>
      <c r="D880" s="57" t="s">
        <v>2007</v>
      </c>
      <c r="E880" s="21" t="s">
        <v>50</v>
      </c>
      <c r="F880" s="58">
        <v>4800</v>
      </c>
      <c r="G880" s="58">
        <v>4860.42</v>
      </c>
      <c r="H880" s="56">
        <v>0</v>
      </c>
      <c r="I880" s="58">
        <f t="shared" si="105"/>
        <v>60.420000000000073</v>
      </c>
      <c r="J880" s="14">
        <f t="shared" si="103"/>
        <v>1.2587500000000016</v>
      </c>
      <c r="K880" s="56">
        <v>2.04</v>
      </c>
      <c r="L880" s="15">
        <f t="shared" si="106"/>
        <v>0</v>
      </c>
      <c r="M880" s="16">
        <f t="shared" si="107"/>
        <v>195.94709999999998</v>
      </c>
      <c r="N880" s="17">
        <f t="shared" si="104"/>
        <v>2.04</v>
      </c>
      <c r="O880" s="17">
        <f t="shared" si="108"/>
        <v>9792</v>
      </c>
      <c r="P880" s="18">
        <f t="shared" si="109"/>
        <v>940546.08</v>
      </c>
      <c r="R880" s="66"/>
      <c r="S880" s="19"/>
      <c r="T880" s="20"/>
      <c r="U880" s="20"/>
      <c r="V880" s="20"/>
      <c r="W880" s="20"/>
      <c r="X880" s="20"/>
      <c r="Y880" s="20"/>
      <c r="Z880" s="20"/>
      <c r="AA880" s="20"/>
    </row>
    <row r="881" spans="1:27" ht="12.75">
      <c r="A881" s="10"/>
      <c r="B881" s="10">
        <v>45935</v>
      </c>
      <c r="C881" s="11">
        <f>VLOOKUP(B:B,'Курс валют'!A:D,4,0)</f>
        <v>96.052499999999995</v>
      </c>
      <c r="D881" s="57" t="s">
        <v>2008</v>
      </c>
      <c r="E881" s="68" t="s">
        <v>104</v>
      </c>
      <c r="F881" s="58">
        <v>1920</v>
      </c>
      <c r="G881" s="58">
        <v>1934.1</v>
      </c>
      <c r="H881" s="56">
        <v>0</v>
      </c>
      <c r="I881" s="58">
        <f t="shared" si="105"/>
        <v>14.099999999999909</v>
      </c>
      <c r="J881" s="14">
        <f t="shared" si="103"/>
        <v>0.73437499999999523</v>
      </c>
      <c r="K881" s="56">
        <v>2.63</v>
      </c>
      <c r="L881" s="15">
        <f t="shared" si="106"/>
        <v>0</v>
      </c>
      <c r="M881" s="16">
        <f t="shared" si="107"/>
        <v>252.61807499999995</v>
      </c>
      <c r="N881" s="17">
        <f t="shared" si="104"/>
        <v>2.63</v>
      </c>
      <c r="O881" s="17">
        <f t="shared" si="108"/>
        <v>5049.5999999999995</v>
      </c>
      <c r="P881" s="18">
        <f t="shared" si="109"/>
        <v>485026.70399999991</v>
      </c>
      <c r="R881" s="66"/>
      <c r="S881" s="19"/>
      <c r="T881" s="20"/>
      <c r="U881" s="20"/>
      <c r="V881" s="20"/>
      <c r="W881" s="20"/>
      <c r="X881" s="20"/>
      <c r="Y881" s="20"/>
      <c r="Z881" s="20"/>
      <c r="AA881" s="20"/>
    </row>
    <row r="882" spans="1:27" ht="12.75">
      <c r="A882" s="10"/>
      <c r="B882" s="74">
        <v>45935</v>
      </c>
      <c r="C882" s="11">
        <f>VLOOKUP(B:B,'Курс валют'!A:D,4,0)</f>
        <v>96.052499999999995</v>
      </c>
      <c r="D882" s="57" t="s">
        <v>2009</v>
      </c>
      <c r="E882" s="21" t="s">
        <v>15</v>
      </c>
      <c r="F882" s="58">
        <v>11000</v>
      </c>
      <c r="G882" s="58">
        <v>11119</v>
      </c>
      <c r="H882" s="22">
        <v>4861</v>
      </c>
      <c r="I882" s="58">
        <f t="shared" si="105"/>
        <v>119</v>
      </c>
      <c r="J882" s="14">
        <f t="shared" si="103"/>
        <v>1.0818181818181818</v>
      </c>
      <c r="K882" s="56">
        <v>3.55</v>
      </c>
      <c r="L882" s="15">
        <f t="shared" si="106"/>
        <v>44.190909090909095</v>
      </c>
      <c r="M882" s="16">
        <f t="shared" si="107"/>
        <v>211.94909721818178</v>
      </c>
      <c r="N882" s="17">
        <f t="shared" si="104"/>
        <v>2.2065963636363635</v>
      </c>
      <c r="O882" s="17">
        <f t="shared" si="108"/>
        <v>24272.559999999998</v>
      </c>
      <c r="P882" s="18">
        <f t="shared" si="109"/>
        <v>2331440.0693999995</v>
      </c>
      <c r="R882" s="66"/>
      <c r="S882" s="19"/>
      <c r="T882" s="20"/>
      <c r="U882" s="20"/>
      <c r="V882" s="20"/>
      <c r="W882" s="20"/>
      <c r="X882" s="20"/>
      <c r="Y882" s="20"/>
      <c r="Z882" s="20"/>
      <c r="AA882" s="20"/>
    </row>
    <row r="883" spans="1:27" ht="12.75">
      <c r="A883" s="10"/>
      <c r="B883" s="10">
        <v>45936</v>
      </c>
      <c r="C883" s="11">
        <f>VLOOKUP(B:B,'Курс валют'!A:D,4,0)</f>
        <v>96.052499999999995</v>
      </c>
      <c r="D883" s="57" t="s">
        <v>2010</v>
      </c>
      <c r="E883" s="21" t="s">
        <v>104</v>
      </c>
      <c r="F883" s="58">
        <v>1920</v>
      </c>
      <c r="G883" s="58">
        <v>1934.1</v>
      </c>
      <c r="H883" s="56">
        <v>0</v>
      </c>
      <c r="I883" s="58">
        <f t="shared" si="105"/>
        <v>14.099999999999909</v>
      </c>
      <c r="J883" s="14">
        <f t="shared" si="103"/>
        <v>0.73437499999999523</v>
      </c>
      <c r="K883" s="56">
        <v>2.63</v>
      </c>
      <c r="L883" s="15">
        <f t="shared" si="106"/>
        <v>0</v>
      </c>
      <c r="M883" s="16">
        <f t="shared" si="107"/>
        <v>252.61807499999995</v>
      </c>
      <c r="N883" s="17">
        <f t="shared" si="104"/>
        <v>2.63</v>
      </c>
      <c r="O883" s="17">
        <f t="shared" si="108"/>
        <v>5049.5999999999995</v>
      </c>
      <c r="P883" s="18">
        <f t="shared" si="109"/>
        <v>485026.70399999991</v>
      </c>
      <c r="R883" s="66"/>
      <c r="S883" s="19"/>
      <c r="T883" s="20"/>
      <c r="U883" s="20"/>
      <c r="V883" s="20"/>
      <c r="W883" s="20"/>
      <c r="X883" s="20"/>
      <c r="Y883" s="20"/>
      <c r="Z883" s="20"/>
      <c r="AA883" s="20"/>
    </row>
    <row r="884" spans="1:27" ht="12.75">
      <c r="A884" s="10"/>
      <c r="B884" s="74">
        <v>45936</v>
      </c>
      <c r="C884" s="11">
        <f>VLOOKUP(B:B,'Курс валют'!A:D,4,0)</f>
        <v>96.052499999999995</v>
      </c>
      <c r="D884" s="57" t="s">
        <v>2011</v>
      </c>
      <c r="E884" s="21" t="s">
        <v>15</v>
      </c>
      <c r="F884" s="58">
        <v>11000</v>
      </c>
      <c r="G884" s="58">
        <v>11119</v>
      </c>
      <c r="H884" s="56">
        <v>4870</v>
      </c>
      <c r="I884" s="58">
        <f t="shared" si="105"/>
        <v>119</v>
      </c>
      <c r="J884" s="14">
        <f t="shared" si="103"/>
        <v>1.0818181818181818</v>
      </c>
      <c r="K884" s="56">
        <v>3.56</v>
      </c>
      <c r="L884" s="15">
        <f t="shared" si="106"/>
        <v>44.272727272727273</v>
      </c>
      <c r="M884" s="16">
        <f t="shared" si="107"/>
        <v>212.67071345454542</v>
      </c>
      <c r="N884" s="17">
        <f t="shared" si="104"/>
        <v>2.214109090909091</v>
      </c>
      <c r="O884" s="17">
        <f t="shared" si="108"/>
        <v>24355.200000000001</v>
      </c>
      <c r="P884" s="18">
        <f t="shared" si="109"/>
        <v>2339377.8479999998</v>
      </c>
      <c r="R884" s="66"/>
      <c r="S884" s="19"/>
      <c r="T884" s="20"/>
      <c r="U884" s="20"/>
      <c r="V884" s="20"/>
      <c r="W884" s="20"/>
      <c r="X884" s="20"/>
      <c r="Y884" s="20"/>
      <c r="Z884" s="20"/>
      <c r="AA884" s="20"/>
    </row>
    <row r="885" spans="1:27" ht="12.75">
      <c r="A885" s="10"/>
      <c r="B885" s="10">
        <v>45937</v>
      </c>
      <c r="C885" s="11">
        <f>VLOOKUP(B:B,'Курс валют'!A:D,4,0)</f>
        <v>96.834500000000006</v>
      </c>
      <c r="D885" s="57" t="s">
        <v>2012</v>
      </c>
      <c r="E885" s="21" t="s">
        <v>105</v>
      </c>
      <c r="F885" s="58">
        <v>92.72</v>
      </c>
      <c r="G885" s="58">
        <v>96.3</v>
      </c>
      <c r="H885" s="56">
        <v>0</v>
      </c>
      <c r="I885" s="58">
        <f t="shared" si="105"/>
        <v>3.5799999999999983</v>
      </c>
      <c r="J885" s="14">
        <f t="shared" si="103"/>
        <v>3.8610871440897307</v>
      </c>
      <c r="K885" s="56">
        <v>2.0499999999999998</v>
      </c>
      <c r="L885" s="15">
        <f t="shared" si="106"/>
        <v>0</v>
      </c>
      <c r="M885" s="16">
        <f t="shared" si="107"/>
        <v>198.51072500000001</v>
      </c>
      <c r="N885" s="17">
        <f t="shared" si="104"/>
        <v>2.0499999999999998</v>
      </c>
      <c r="O885" s="17">
        <f t="shared" si="108"/>
        <v>190.07599999999999</v>
      </c>
      <c r="P885" s="18">
        <f t="shared" si="109"/>
        <v>18405.914422000002</v>
      </c>
      <c r="R885" s="66"/>
      <c r="S885" s="19"/>
      <c r="T885" s="20"/>
      <c r="U885" s="20"/>
      <c r="V885" s="20"/>
      <c r="W885" s="20"/>
      <c r="X885" s="20"/>
      <c r="Y885" s="20"/>
      <c r="Z885" s="20"/>
      <c r="AA885" s="20"/>
    </row>
    <row r="886" spans="1:27" ht="12.75">
      <c r="A886" s="10"/>
      <c r="B886" s="10">
        <v>45937</v>
      </c>
      <c r="C886" s="11">
        <f>VLOOKUP(B:B,'Курс валют'!A:D,4,0)</f>
        <v>96.834500000000006</v>
      </c>
      <c r="D886" s="57" t="s">
        <v>2013</v>
      </c>
      <c r="E886" s="21" t="s">
        <v>104</v>
      </c>
      <c r="F886" s="58">
        <v>1680</v>
      </c>
      <c r="G886" s="58">
        <v>1691.55</v>
      </c>
      <c r="H886" s="56">
        <v>0</v>
      </c>
      <c r="I886" s="58">
        <f t="shared" si="105"/>
        <v>11.549999999999955</v>
      </c>
      <c r="J886" s="14">
        <f t="shared" si="103"/>
        <v>0.68749999999999734</v>
      </c>
      <c r="K886" s="56">
        <v>2.65</v>
      </c>
      <c r="L886" s="15">
        <f t="shared" si="106"/>
        <v>0</v>
      </c>
      <c r="M886" s="16">
        <f t="shared" si="107"/>
        <v>256.611425</v>
      </c>
      <c r="N886" s="17">
        <f t="shared" si="104"/>
        <v>2.65</v>
      </c>
      <c r="O886" s="17">
        <f t="shared" si="108"/>
        <v>4452</v>
      </c>
      <c r="P886" s="18">
        <f t="shared" si="109"/>
        <v>431107.19400000002</v>
      </c>
      <c r="R886" s="66"/>
      <c r="S886" s="19"/>
      <c r="T886" s="20"/>
      <c r="U886" s="20"/>
      <c r="V886" s="20"/>
      <c r="W886" s="20"/>
      <c r="X886" s="20"/>
      <c r="Y886" s="20"/>
      <c r="Z886" s="20"/>
      <c r="AA886" s="20"/>
    </row>
    <row r="887" spans="1:27" ht="12.75">
      <c r="A887" s="10"/>
      <c r="B887" s="74">
        <v>45937</v>
      </c>
      <c r="C887" s="11">
        <f>VLOOKUP(B:B,'Курс валют'!A:D,4,0)</f>
        <v>96.834500000000006</v>
      </c>
      <c r="D887" s="57" t="s">
        <v>2014</v>
      </c>
      <c r="E887" s="21" t="s">
        <v>15</v>
      </c>
      <c r="F887" s="58">
        <v>2200</v>
      </c>
      <c r="G887" s="58">
        <v>2223.8000000000002</v>
      </c>
      <c r="H887" s="56">
        <v>974</v>
      </c>
      <c r="I887" s="58">
        <f t="shared" si="105"/>
        <v>23.800000000000182</v>
      </c>
      <c r="J887" s="14">
        <f t="shared" si="103"/>
        <v>1.08181818181819</v>
      </c>
      <c r="K887" s="56">
        <v>3.55</v>
      </c>
      <c r="L887" s="15">
        <f t="shared" si="106"/>
        <v>44.272727272727273</v>
      </c>
      <c r="M887" s="16">
        <f t="shared" si="107"/>
        <v>213.43380176363638</v>
      </c>
      <c r="N887" s="17">
        <f t="shared" si="104"/>
        <v>2.2041090909090908</v>
      </c>
      <c r="O887" s="17">
        <f t="shared" si="108"/>
        <v>4849.04</v>
      </c>
      <c r="P887" s="18">
        <f t="shared" si="109"/>
        <v>469554.36388000002</v>
      </c>
      <c r="R887" s="66"/>
      <c r="S887" s="19"/>
      <c r="T887" s="20"/>
      <c r="U887" s="20"/>
      <c r="V887" s="20"/>
      <c r="W887" s="20"/>
      <c r="X887" s="20"/>
      <c r="Y887" s="20"/>
      <c r="Z887" s="20"/>
      <c r="AA887" s="20"/>
    </row>
    <row r="888" spans="1:27" ht="12.75">
      <c r="A888" s="54"/>
      <c r="B888" s="74">
        <v>45938</v>
      </c>
      <c r="C888" s="11">
        <f>VLOOKUP(B:B,'Курс валют'!A:D,4,0)</f>
        <v>95.672200000000004</v>
      </c>
      <c r="D888" s="57" t="s">
        <v>2015</v>
      </c>
      <c r="E888" s="21" t="s">
        <v>15</v>
      </c>
      <c r="F888" s="58">
        <v>5500</v>
      </c>
      <c r="G888" s="58">
        <v>5559.5</v>
      </c>
      <c r="H888" s="56">
        <v>2435</v>
      </c>
      <c r="I888" s="58">
        <f t="shared" si="105"/>
        <v>59.5</v>
      </c>
      <c r="J888" s="14">
        <f t="shared" si="103"/>
        <v>1.0818181818181818</v>
      </c>
      <c r="K888" s="56">
        <v>3.55</v>
      </c>
      <c r="L888" s="15">
        <f t="shared" si="106"/>
        <v>44.272727272727273</v>
      </c>
      <c r="M888" s="16">
        <f t="shared" si="107"/>
        <v>210.87196576727271</v>
      </c>
      <c r="N888" s="17">
        <f t="shared" si="104"/>
        <v>2.2041090909090908</v>
      </c>
      <c r="O888" s="17">
        <f t="shared" si="108"/>
        <v>12122.599999999999</v>
      </c>
      <c r="P888" s="18">
        <f t="shared" si="109"/>
        <v>1159795.8117199999</v>
      </c>
      <c r="R888" s="65"/>
      <c r="S888" s="19"/>
      <c r="T888" s="24"/>
      <c r="U888" s="24"/>
      <c r="V888" s="24"/>
      <c r="W888" s="24"/>
      <c r="X888" s="24"/>
      <c r="Y888" s="24"/>
      <c r="Z888" s="24"/>
      <c r="AA888" s="24"/>
    </row>
    <row r="889" spans="1:27" ht="12.75">
      <c r="A889" s="54"/>
      <c r="B889" s="10">
        <v>45938</v>
      </c>
      <c r="C889" s="11">
        <f>VLOOKUP(B:B,'Курс валют'!A:D,4,0)</f>
        <v>95.672200000000004</v>
      </c>
      <c r="D889" s="57" t="s">
        <v>2016</v>
      </c>
      <c r="E889" s="26" t="s">
        <v>60</v>
      </c>
      <c r="F889" s="58">
        <v>2250</v>
      </c>
      <c r="G889" s="58">
        <v>2275.5300000000002</v>
      </c>
      <c r="H889" s="56">
        <v>908</v>
      </c>
      <c r="I889" s="58">
        <f t="shared" si="105"/>
        <v>25.5300000000002</v>
      </c>
      <c r="J889" s="14">
        <f t="shared" ref="J889:J952" si="110">I889/F889*100</f>
        <v>1.1346666666666754</v>
      </c>
      <c r="K889" s="56">
        <v>3.1</v>
      </c>
      <c r="L889" s="15">
        <f t="shared" si="106"/>
        <v>40.355555555555554</v>
      </c>
      <c r="M889" s="16">
        <f t="shared" si="107"/>
        <v>179.21231462044446</v>
      </c>
      <c r="N889" s="17">
        <f t="shared" si="104"/>
        <v>1.8731911111111113</v>
      </c>
      <c r="O889" s="17">
        <f t="shared" si="108"/>
        <v>4214.68</v>
      </c>
      <c r="P889" s="18">
        <f t="shared" si="109"/>
        <v>403227.70789600007</v>
      </c>
      <c r="R889" s="65"/>
      <c r="S889" s="19"/>
      <c r="T889" s="20"/>
      <c r="U889" s="20"/>
      <c r="V889" s="20"/>
      <c r="W889" s="20"/>
      <c r="X889" s="20"/>
      <c r="Y889" s="20"/>
      <c r="Z889" s="20"/>
      <c r="AA889" s="20"/>
    </row>
    <row r="890" spans="1:27" ht="12.75">
      <c r="A890" s="54"/>
      <c r="B890" s="10">
        <v>45938</v>
      </c>
      <c r="C890" s="11">
        <f>VLOOKUP(B:B,'Курс валют'!A:D,4,0)</f>
        <v>95.672200000000004</v>
      </c>
      <c r="D890" s="57" t="s">
        <v>2017</v>
      </c>
      <c r="E890" s="26" t="s">
        <v>58</v>
      </c>
      <c r="F890" s="58">
        <v>5500</v>
      </c>
      <c r="G890" s="58">
        <v>5563.65</v>
      </c>
      <c r="H890" s="56">
        <v>2205</v>
      </c>
      <c r="I890" s="58">
        <f t="shared" si="105"/>
        <v>63.649999999999636</v>
      </c>
      <c r="J890" s="14">
        <f t="shared" si="110"/>
        <v>1.1572727272727206</v>
      </c>
      <c r="K890" s="56">
        <v>3.5</v>
      </c>
      <c r="L890" s="15">
        <f t="shared" si="106"/>
        <v>40.090909090909086</v>
      </c>
      <c r="M890" s="16">
        <f t="shared" si="107"/>
        <v>218.25090162909089</v>
      </c>
      <c r="N890" s="17">
        <f t="shared" si="104"/>
        <v>2.2812363636363635</v>
      </c>
      <c r="O890" s="17">
        <f t="shared" si="108"/>
        <v>12546.8</v>
      </c>
      <c r="P890" s="18">
        <f t="shared" si="109"/>
        <v>1200379.95896</v>
      </c>
      <c r="R890" s="65"/>
      <c r="S890" s="19"/>
      <c r="T890" s="20"/>
      <c r="U890" s="20"/>
      <c r="V890" s="20"/>
      <c r="W890" s="20"/>
      <c r="X890" s="20"/>
      <c r="Y890" s="20"/>
      <c r="Z890" s="20"/>
      <c r="AA890" s="20"/>
    </row>
    <row r="891" spans="1:27" ht="12.75">
      <c r="A891" s="54"/>
      <c r="B891" s="10">
        <v>45939</v>
      </c>
      <c r="C891" s="11">
        <f>VLOOKUP(B:B,'Курс валют'!A:D,4,0)</f>
        <v>94.935100000000006</v>
      </c>
      <c r="D891" s="57" t="s">
        <v>2018</v>
      </c>
      <c r="E891" s="26" t="s">
        <v>56</v>
      </c>
      <c r="F891" s="58">
        <v>2000</v>
      </c>
      <c r="G891" s="58">
        <v>2016.64</v>
      </c>
      <c r="H891" s="56">
        <v>0</v>
      </c>
      <c r="I891" s="58">
        <f t="shared" si="105"/>
        <v>16.6400000000001</v>
      </c>
      <c r="J891" s="14">
        <f t="shared" si="110"/>
        <v>0.83200000000000496</v>
      </c>
      <c r="K891" s="56">
        <v>2.31</v>
      </c>
      <c r="L891" s="15">
        <f t="shared" si="106"/>
        <v>0</v>
      </c>
      <c r="M891" s="16">
        <f t="shared" si="107"/>
        <v>219.30008100000001</v>
      </c>
      <c r="N891" s="17">
        <f t="shared" si="104"/>
        <v>2.31</v>
      </c>
      <c r="O891" s="17">
        <f t="shared" si="108"/>
        <v>4620</v>
      </c>
      <c r="P891" s="18">
        <f t="shared" si="109"/>
        <v>438600.16200000001</v>
      </c>
      <c r="R891" s="66"/>
      <c r="S891" s="19"/>
      <c r="T891" s="24"/>
      <c r="U891" s="24"/>
      <c r="V891" s="24"/>
      <c r="W891" s="24"/>
      <c r="X891" s="24"/>
      <c r="Y891" s="24"/>
      <c r="Z891" s="24"/>
      <c r="AA891" s="24"/>
    </row>
    <row r="892" spans="1:27" ht="12.75">
      <c r="A892" s="54"/>
      <c r="B892" s="10">
        <v>45939</v>
      </c>
      <c r="C892" s="11">
        <f>VLOOKUP(B:B,'Курс валют'!A:D,4,0)</f>
        <v>94.935100000000006</v>
      </c>
      <c r="D892" s="57" t="s">
        <v>2019</v>
      </c>
      <c r="E892" s="26" t="s">
        <v>58</v>
      </c>
      <c r="F892" s="58">
        <v>11000</v>
      </c>
      <c r="G892" s="58">
        <v>11127.3</v>
      </c>
      <c r="H892" s="56">
        <v>4410</v>
      </c>
      <c r="I892" s="58">
        <f t="shared" si="105"/>
        <v>127.29999999999927</v>
      </c>
      <c r="J892" s="14">
        <f t="shared" si="110"/>
        <v>1.1572727272727206</v>
      </c>
      <c r="K892" s="56">
        <v>3.5</v>
      </c>
      <c r="L892" s="15">
        <f t="shared" si="106"/>
        <v>40.090909090909086</v>
      </c>
      <c r="M892" s="16">
        <f t="shared" si="107"/>
        <v>216.56940230545456</v>
      </c>
      <c r="N892" s="17">
        <f t="shared" si="104"/>
        <v>2.2812363636363635</v>
      </c>
      <c r="O892" s="17">
        <f t="shared" si="108"/>
        <v>25093.599999999999</v>
      </c>
      <c r="P892" s="18">
        <f t="shared" si="109"/>
        <v>2382263.4253600002</v>
      </c>
      <c r="R892" s="65"/>
      <c r="S892" s="19"/>
      <c r="T892" s="24"/>
      <c r="U892" s="24"/>
      <c r="V892" s="24"/>
      <c r="W892" s="24"/>
      <c r="X892" s="24"/>
      <c r="Y892" s="24"/>
      <c r="Z892" s="24"/>
      <c r="AA892" s="24"/>
    </row>
    <row r="893" spans="1:27" ht="12.75">
      <c r="A893" s="54"/>
      <c r="B893" s="10">
        <v>45940</v>
      </c>
      <c r="C893" s="11">
        <f>VLOOKUP(B:B,'Курс валют'!A:D,4,0)</f>
        <v>94.703000000000003</v>
      </c>
      <c r="D893" s="57" t="s">
        <v>2020</v>
      </c>
      <c r="E893" s="26" t="s">
        <v>56</v>
      </c>
      <c r="F893" s="58">
        <v>2000</v>
      </c>
      <c r="G893" s="58">
        <v>2016.64</v>
      </c>
      <c r="H893" s="56">
        <v>0</v>
      </c>
      <c r="I893" s="58">
        <f t="shared" si="105"/>
        <v>16.6400000000001</v>
      </c>
      <c r="J893" s="14">
        <f t="shared" si="110"/>
        <v>0.83200000000000496</v>
      </c>
      <c r="K893" s="56">
        <v>2.3199999999999998</v>
      </c>
      <c r="L893" s="15">
        <f t="shared" si="106"/>
        <v>0</v>
      </c>
      <c r="M893" s="16">
        <f t="shared" si="107"/>
        <v>219.71096000000003</v>
      </c>
      <c r="N893" s="17">
        <f t="shared" si="104"/>
        <v>2.3199999999999998</v>
      </c>
      <c r="O893" s="17">
        <f t="shared" si="108"/>
        <v>4640</v>
      </c>
      <c r="P893" s="18">
        <f t="shared" si="109"/>
        <v>439421.92000000004</v>
      </c>
      <c r="R893" s="66"/>
      <c r="S893" s="19"/>
      <c r="T893" s="24"/>
      <c r="U893" s="24"/>
      <c r="V893" s="24"/>
      <c r="W893" s="24"/>
      <c r="X893" s="24"/>
      <c r="Y893" s="24"/>
      <c r="Z893" s="24"/>
      <c r="AA893" s="24"/>
    </row>
    <row r="894" spans="1:27" ht="12.75">
      <c r="A894" s="54"/>
      <c r="B894" s="10">
        <v>45940</v>
      </c>
      <c r="C894" s="11">
        <f>VLOOKUP(B:B,'Курс валют'!A:D,4,0)</f>
        <v>94.703000000000003</v>
      </c>
      <c r="D894" s="57" t="s">
        <v>2021</v>
      </c>
      <c r="E894" s="50" t="s">
        <v>58</v>
      </c>
      <c r="F894" s="58">
        <v>9900</v>
      </c>
      <c r="G894" s="58">
        <v>10014.57</v>
      </c>
      <c r="H894" s="56">
        <v>3969</v>
      </c>
      <c r="I894" s="58">
        <f t="shared" si="105"/>
        <v>114.56999999999971</v>
      </c>
      <c r="J894" s="14">
        <f t="shared" si="110"/>
        <v>1.1572727272727243</v>
      </c>
      <c r="K894" s="56">
        <v>3.35</v>
      </c>
      <c r="L894" s="15">
        <f t="shared" si="106"/>
        <v>40.090909090909086</v>
      </c>
      <c r="M894" s="16">
        <f t="shared" si="107"/>
        <v>201.83447734545453</v>
      </c>
      <c r="N894" s="17">
        <f t="shared" si="104"/>
        <v>2.1312363636363636</v>
      </c>
      <c r="O894" s="17">
        <f t="shared" si="108"/>
        <v>21099.239999999998</v>
      </c>
      <c r="P894" s="18">
        <f t="shared" si="109"/>
        <v>1998161.3257199998</v>
      </c>
      <c r="R894" s="65"/>
      <c r="S894" s="19"/>
      <c r="T894" s="20"/>
      <c r="U894" s="20"/>
      <c r="V894" s="20"/>
      <c r="W894" s="20"/>
      <c r="X894" s="20"/>
      <c r="Y894" s="20"/>
      <c r="Z894" s="20"/>
      <c r="AA894" s="20"/>
    </row>
    <row r="895" spans="1:27" ht="12.75">
      <c r="A895" s="54"/>
      <c r="B895" s="10">
        <v>45941</v>
      </c>
      <c r="C895" s="11">
        <f>VLOOKUP(B:B,'Курс валют'!A:D,4,0)</f>
        <v>94.049099999999996</v>
      </c>
      <c r="D895" s="57" t="s">
        <v>2022</v>
      </c>
      <c r="E895" s="64" t="s">
        <v>56</v>
      </c>
      <c r="F895" s="58">
        <v>2000</v>
      </c>
      <c r="G895" s="58">
        <v>2016.64</v>
      </c>
      <c r="H895" s="56">
        <v>0</v>
      </c>
      <c r="I895" s="58">
        <f t="shared" si="105"/>
        <v>16.6400000000001</v>
      </c>
      <c r="J895" s="14">
        <f t="shared" si="110"/>
        <v>0.83200000000000496</v>
      </c>
      <c r="K895" s="56">
        <v>2.3199999999999998</v>
      </c>
      <c r="L895" s="15">
        <f t="shared" si="106"/>
        <v>0</v>
      </c>
      <c r="M895" s="16">
        <f t="shared" si="107"/>
        <v>218.19391199999998</v>
      </c>
      <c r="N895" s="17">
        <f t="shared" si="104"/>
        <v>2.3199999999999998</v>
      </c>
      <c r="O895" s="17">
        <f t="shared" si="108"/>
        <v>4640</v>
      </c>
      <c r="P895" s="18">
        <f t="shared" si="109"/>
        <v>436387.82399999996</v>
      </c>
      <c r="R895" s="66"/>
      <c r="S895" s="19"/>
      <c r="T895" s="20"/>
      <c r="U895" s="20"/>
      <c r="V895" s="20"/>
      <c r="W895" s="20"/>
      <c r="X895" s="20"/>
      <c r="Y895" s="20"/>
      <c r="Z895" s="20"/>
      <c r="AA895" s="20"/>
    </row>
    <row r="896" spans="1:27" ht="12.75">
      <c r="A896" s="54"/>
      <c r="B896" s="10">
        <v>45941</v>
      </c>
      <c r="C896" s="11">
        <f>VLOOKUP(B:B,'Курс валют'!A:D,4,0)</f>
        <v>94.049099999999996</v>
      </c>
      <c r="D896" s="57" t="s">
        <v>2023</v>
      </c>
      <c r="E896" s="50" t="s">
        <v>58</v>
      </c>
      <c r="F896" s="58">
        <v>11000</v>
      </c>
      <c r="G896" s="58">
        <v>11127.3</v>
      </c>
      <c r="H896" s="56">
        <v>4410</v>
      </c>
      <c r="I896" s="58">
        <f t="shared" si="105"/>
        <v>127.29999999999927</v>
      </c>
      <c r="J896" s="14">
        <f t="shared" si="110"/>
        <v>1.1572727272727206</v>
      </c>
      <c r="K896" s="56">
        <v>3.54</v>
      </c>
      <c r="L896" s="15">
        <f t="shared" si="106"/>
        <v>40.090909090909086</v>
      </c>
      <c r="M896" s="16">
        <f t="shared" si="107"/>
        <v>218.31019088727268</v>
      </c>
      <c r="N896" s="17">
        <f t="shared" si="104"/>
        <v>2.3212363636363635</v>
      </c>
      <c r="O896" s="17">
        <f t="shared" si="108"/>
        <v>25533.599999999999</v>
      </c>
      <c r="P896" s="18">
        <f t="shared" si="109"/>
        <v>2401412.0997599997</v>
      </c>
      <c r="R896" s="66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5" customHeight="1">
      <c r="A897" s="54"/>
      <c r="B897" s="10">
        <v>45942</v>
      </c>
      <c r="C897" s="11">
        <f>VLOOKUP(B:B,'Курс валют'!A:D,4,0)</f>
        <v>94.049099999999996</v>
      </c>
      <c r="D897" s="57" t="s">
        <v>2024</v>
      </c>
      <c r="E897" s="50" t="s">
        <v>51</v>
      </c>
      <c r="F897" s="58">
        <v>8000</v>
      </c>
      <c r="G897" s="58">
        <v>8093.8</v>
      </c>
      <c r="H897" s="56">
        <v>0</v>
      </c>
      <c r="I897" s="58">
        <f t="shared" si="105"/>
        <v>93.800000000000182</v>
      </c>
      <c r="J897" s="14">
        <f t="shared" si="110"/>
        <v>1.1725000000000023</v>
      </c>
      <c r="K897" s="56">
        <v>1.99</v>
      </c>
      <c r="L897" s="15">
        <f t="shared" si="106"/>
        <v>0</v>
      </c>
      <c r="M897" s="16">
        <f t="shared" si="107"/>
        <v>187.15770900000001</v>
      </c>
      <c r="N897" s="17">
        <f t="shared" si="104"/>
        <v>1.99</v>
      </c>
      <c r="O897" s="17">
        <f t="shared" si="108"/>
        <v>15920</v>
      </c>
      <c r="P897" s="18">
        <f t="shared" si="109"/>
        <v>1497261.672</v>
      </c>
      <c r="R897" s="66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>
      <c r="A898" s="54"/>
      <c r="B898" s="10">
        <v>45942</v>
      </c>
      <c r="C898" s="11">
        <f>VLOOKUP(B:B,'Курс валют'!A:D,4,0)</f>
        <v>94.049099999999996</v>
      </c>
      <c r="D898" s="57" t="s">
        <v>2022</v>
      </c>
      <c r="E898" s="50" t="s">
        <v>70</v>
      </c>
      <c r="F898" s="58">
        <v>1400</v>
      </c>
      <c r="G898" s="58">
        <v>1400</v>
      </c>
      <c r="H898" s="56">
        <v>0</v>
      </c>
      <c r="I898" s="58">
        <f t="shared" si="105"/>
        <v>0</v>
      </c>
      <c r="J898" s="14">
        <f t="shared" si="110"/>
        <v>0</v>
      </c>
      <c r="K898" s="56">
        <v>2.52</v>
      </c>
      <c r="L898" s="15">
        <f t="shared" si="106"/>
        <v>0</v>
      </c>
      <c r="M898" s="16">
        <f t="shared" si="107"/>
        <v>237.00373199999999</v>
      </c>
      <c r="N898" s="17">
        <f t="shared" si="104"/>
        <v>2.52</v>
      </c>
      <c r="O898" s="17">
        <f t="shared" si="108"/>
        <v>3528</v>
      </c>
      <c r="P898" s="18">
        <f t="shared" si="109"/>
        <v>331805.22479999997</v>
      </c>
      <c r="R898" s="66" t="s">
        <v>1267</v>
      </c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>
      <c r="A899" s="54"/>
      <c r="B899" s="10">
        <v>45942</v>
      </c>
      <c r="C899" s="11">
        <f>VLOOKUP(B:B,'Курс валют'!A:D,4,0)</f>
        <v>94.049099999999996</v>
      </c>
      <c r="D899" s="57" t="s">
        <v>2025</v>
      </c>
      <c r="E899" s="50" t="s">
        <v>2026</v>
      </c>
      <c r="F899" s="58">
        <v>400</v>
      </c>
      <c r="G899" s="58">
        <v>400</v>
      </c>
      <c r="H899" s="56">
        <v>0</v>
      </c>
      <c r="I899" s="58">
        <f t="shared" si="105"/>
        <v>0</v>
      </c>
      <c r="J899" s="14">
        <f t="shared" si="110"/>
        <v>0</v>
      </c>
      <c r="K899" s="56">
        <v>2.57</v>
      </c>
      <c r="L899" s="15">
        <f t="shared" si="106"/>
        <v>0</v>
      </c>
      <c r="M899" s="16">
        <f t="shared" si="107"/>
        <v>241.706187</v>
      </c>
      <c r="N899" s="17">
        <f t="shared" si="104"/>
        <v>2.57</v>
      </c>
      <c r="O899" s="17">
        <f t="shared" si="108"/>
        <v>1028</v>
      </c>
      <c r="P899" s="18">
        <f t="shared" si="109"/>
        <v>96682.474799999996</v>
      </c>
      <c r="R899" s="66" t="s">
        <v>1267</v>
      </c>
      <c r="S899" s="48"/>
      <c r="T899" s="20"/>
      <c r="U899" s="20"/>
      <c r="V899" s="20"/>
      <c r="W899" s="20"/>
      <c r="X899" s="20"/>
      <c r="Y899" s="20"/>
      <c r="Z899" s="20"/>
      <c r="AA899" s="20"/>
    </row>
    <row r="900" spans="1:27" ht="12.75">
      <c r="A900" s="54"/>
      <c r="B900" s="10">
        <v>45943</v>
      </c>
      <c r="C900" s="11">
        <f>VLOOKUP(B:B,'Курс валют'!A:D,4,0)</f>
        <v>94.049099999999996</v>
      </c>
      <c r="D900" s="57" t="s">
        <v>2020</v>
      </c>
      <c r="E900" s="64" t="s">
        <v>79</v>
      </c>
      <c r="F900" s="63">
        <v>1400</v>
      </c>
      <c r="G900" s="63">
        <v>1400</v>
      </c>
      <c r="H900" s="49">
        <v>0</v>
      </c>
      <c r="I900" s="58">
        <f t="shared" si="105"/>
        <v>0</v>
      </c>
      <c r="J900" s="14">
        <f t="shared" si="110"/>
        <v>0</v>
      </c>
      <c r="K900" s="49">
        <v>2.5099999999999998</v>
      </c>
      <c r="L900" s="15">
        <f t="shared" si="106"/>
        <v>0</v>
      </c>
      <c r="M900" s="16">
        <f t="shared" si="107"/>
        <v>236.06324099999995</v>
      </c>
      <c r="N900" s="17">
        <f t="shared" si="104"/>
        <v>2.5099999999999998</v>
      </c>
      <c r="O900" s="17">
        <f t="shared" si="108"/>
        <v>3513.9999999999995</v>
      </c>
      <c r="P900" s="18">
        <f t="shared" si="109"/>
        <v>330488.53739999991</v>
      </c>
      <c r="R900" s="66" t="s">
        <v>2027</v>
      </c>
      <c r="S900" s="48"/>
      <c r="T900" s="20"/>
      <c r="U900" s="20"/>
      <c r="V900" s="20"/>
      <c r="W900" s="20"/>
      <c r="X900" s="20"/>
      <c r="Y900" s="20"/>
      <c r="Z900" s="20"/>
      <c r="AA900" s="20"/>
    </row>
    <row r="901" spans="1:27" ht="12.75">
      <c r="A901" s="54"/>
      <c r="B901" s="10">
        <v>45943</v>
      </c>
      <c r="C901" s="11">
        <f>VLOOKUP(B:B,'Курс валют'!A:D,4,0)</f>
        <v>94.049099999999996</v>
      </c>
      <c r="D901" s="57" t="s">
        <v>2028</v>
      </c>
      <c r="E901" s="64" t="s">
        <v>51</v>
      </c>
      <c r="F901" s="58">
        <v>8000</v>
      </c>
      <c r="G901" s="58">
        <v>8093.8</v>
      </c>
      <c r="H901" s="56">
        <v>0</v>
      </c>
      <c r="I901" s="58">
        <f t="shared" si="105"/>
        <v>93.800000000000182</v>
      </c>
      <c r="J901" s="14">
        <f t="shared" si="110"/>
        <v>1.1725000000000023</v>
      </c>
      <c r="K901" s="56">
        <v>1.98</v>
      </c>
      <c r="L901" s="15">
        <f t="shared" si="106"/>
        <v>0</v>
      </c>
      <c r="M901" s="16">
        <f t="shared" si="107"/>
        <v>186.217218</v>
      </c>
      <c r="N901" s="17">
        <f t="shared" si="104"/>
        <v>1.98</v>
      </c>
      <c r="O901" s="17">
        <f t="shared" si="108"/>
        <v>15840</v>
      </c>
      <c r="P901" s="18">
        <f t="shared" si="109"/>
        <v>1489737.7439999999</v>
      </c>
      <c r="R901" s="66"/>
      <c r="S901" s="48"/>
      <c r="T901" s="20"/>
      <c r="U901" s="20"/>
      <c r="V901" s="20"/>
      <c r="W901" s="20"/>
      <c r="X901" s="20"/>
      <c r="Y901" s="20"/>
      <c r="Z901" s="20"/>
      <c r="AA901" s="20"/>
    </row>
    <row r="902" spans="1:27" ht="12.75">
      <c r="A902" s="54"/>
      <c r="B902" s="10">
        <v>45943</v>
      </c>
      <c r="C902" s="11">
        <f>VLOOKUP(B:B,'Курс валют'!A:D,4,0)</f>
        <v>94.049099999999996</v>
      </c>
      <c r="D902" s="57" t="s">
        <v>2029</v>
      </c>
      <c r="E902" s="64" t="s">
        <v>58</v>
      </c>
      <c r="F902" s="58">
        <v>1100</v>
      </c>
      <c r="G902" s="58">
        <v>1112.73</v>
      </c>
      <c r="H902" s="56">
        <v>441</v>
      </c>
      <c r="I902" s="58">
        <f t="shared" si="105"/>
        <v>12.730000000000018</v>
      </c>
      <c r="J902" s="14">
        <f t="shared" si="110"/>
        <v>1.157272727272729</v>
      </c>
      <c r="K902" s="56">
        <v>3.54</v>
      </c>
      <c r="L902" s="15">
        <f t="shared" si="106"/>
        <v>40.090909090909086</v>
      </c>
      <c r="M902" s="16">
        <f t="shared" si="107"/>
        <v>218.31019088727268</v>
      </c>
      <c r="N902" s="17">
        <f t="shared" si="104"/>
        <v>2.3212363636363635</v>
      </c>
      <c r="O902" s="17">
        <f t="shared" si="108"/>
        <v>2553.3599999999997</v>
      </c>
      <c r="P902" s="18">
        <f t="shared" si="109"/>
        <v>240141.20997599995</v>
      </c>
      <c r="R902" s="66"/>
      <c r="S902" s="48"/>
      <c r="T902" s="20"/>
      <c r="U902" s="20"/>
      <c r="V902" s="20"/>
      <c r="W902" s="20"/>
      <c r="X902" s="20"/>
      <c r="Y902" s="20"/>
      <c r="Z902" s="20"/>
      <c r="AA902" s="20"/>
    </row>
    <row r="903" spans="1:27" ht="12.75">
      <c r="A903" s="54"/>
      <c r="B903" s="10">
        <v>45944</v>
      </c>
      <c r="C903" s="11">
        <f>VLOOKUP(B:B,'Курс валют'!A:D,4,0)</f>
        <v>93.918099999999995</v>
      </c>
      <c r="D903" s="57" t="s">
        <v>2030</v>
      </c>
      <c r="E903" s="64" t="s">
        <v>51</v>
      </c>
      <c r="F903" s="58">
        <v>12000</v>
      </c>
      <c r="G903" s="57">
        <v>12140.7</v>
      </c>
      <c r="H903" s="56">
        <v>0</v>
      </c>
      <c r="I903" s="58">
        <f t="shared" si="105"/>
        <v>140.70000000000073</v>
      </c>
      <c r="J903" s="14">
        <f t="shared" si="110"/>
        <v>1.1725000000000061</v>
      </c>
      <c r="K903" s="56">
        <v>1.89</v>
      </c>
      <c r="L903" s="15">
        <f t="shared" si="106"/>
        <v>0</v>
      </c>
      <c r="M903" s="16">
        <f t="shared" si="107"/>
        <v>177.50520899999998</v>
      </c>
      <c r="N903" s="17">
        <f t="shared" si="104"/>
        <v>1.89</v>
      </c>
      <c r="O903" s="17">
        <f t="shared" si="108"/>
        <v>22680</v>
      </c>
      <c r="P903" s="18">
        <f t="shared" si="109"/>
        <v>2130062.5079999999</v>
      </c>
      <c r="R903" s="66"/>
      <c r="S903" s="48"/>
      <c r="T903" s="20"/>
      <c r="U903" s="20"/>
      <c r="V903" s="20"/>
      <c r="W903" s="20"/>
      <c r="X903" s="20"/>
      <c r="Y903" s="20"/>
      <c r="Z903" s="20"/>
      <c r="AA903" s="20"/>
    </row>
    <row r="904" spans="1:27" ht="12.75">
      <c r="A904" s="54"/>
      <c r="B904" s="10">
        <v>45945</v>
      </c>
      <c r="C904" s="11">
        <f>VLOOKUP(B:B,'Курс валют'!A:D,4,0)</f>
        <v>92.681600000000003</v>
      </c>
      <c r="D904" s="57" t="s">
        <v>2031</v>
      </c>
      <c r="E904" s="50" t="s">
        <v>51</v>
      </c>
      <c r="F904" s="58">
        <v>4000</v>
      </c>
      <c r="G904" s="57">
        <v>4046.9</v>
      </c>
      <c r="H904" s="56">
        <v>0</v>
      </c>
      <c r="I904" s="58">
        <f t="shared" si="105"/>
        <v>46.900000000000091</v>
      </c>
      <c r="J904" s="14">
        <f t="shared" si="110"/>
        <v>1.1725000000000023</v>
      </c>
      <c r="K904" s="56">
        <v>1.89</v>
      </c>
      <c r="L904" s="15">
        <f t="shared" si="106"/>
        <v>0</v>
      </c>
      <c r="M904" s="16">
        <f t="shared" si="107"/>
        <v>175.16822400000001</v>
      </c>
      <c r="N904" s="17">
        <f t="shared" si="104"/>
        <v>1.89</v>
      </c>
      <c r="O904" s="17">
        <f t="shared" si="108"/>
        <v>7560</v>
      </c>
      <c r="P904" s="18">
        <f t="shared" si="109"/>
        <v>700672.89600000007</v>
      </c>
      <c r="R904" s="66"/>
      <c r="S904" s="48"/>
      <c r="T904" s="20"/>
      <c r="U904" s="20"/>
      <c r="V904" s="20"/>
      <c r="W904" s="20"/>
      <c r="X904" s="20"/>
      <c r="Y904" s="20"/>
      <c r="Z904" s="20"/>
      <c r="AA904" s="20"/>
    </row>
    <row r="905" spans="1:27" ht="12.75">
      <c r="A905" s="54"/>
      <c r="B905" s="10">
        <v>45945</v>
      </c>
      <c r="C905" s="11">
        <f>VLOOKUP(B:B,'Курс валют'!A:D,4,0)</f>
        <v>92.681600000000003</v>
      </c>
      <c r="D905" s="57" t="s">
        <v>2032</v>
      </c>
      <c r="E905" s="50" t="s">
        <v>95</v>
      </c>
      <c r="F905" s="58">
        <v>7740</v>
      </c>
      <c r="G905" s="57">
        <v>7817.4</v>
      </c>
      <c r="H905" s="56">
        <v>0</v>
      </c>
      <c r="I905" s="58">
        <f t="shared" si="105"/>
        <v>77.399999999999636</v>
      </c>
      <c r="J905" s="14">
        <f t="shared" si="110"/>
        <v>0.99999999999999534</v>
      </c>
      <c r="K905" s="56">
        <v>2.04</v>
      </c>
      <c r="L905" s="15">
        <f t="shared" si="106"/>
        <v>0</v>
      </c>
      <c r="M905" s="16">
        <f t="shared" si="107"/>
        <v>189.07046399999999</v>
      </c>
      <c r="N905" s="17">
        <f t="shared" si="104"/>
        <v>2.04</v>
      </c>
      <c r="O905" s="17">
        <f t="shared" si="108"/>
        <v>15789.6</v>
      </c>
      <c r="P905" s="18">
        <f t="shared" si="109"/>
        <v>1463405.39136</v>
      </c>
      <c r="R905" s="66" t="s">
        <v>2033</v>
      </c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>
      <c r="A906" s="54"/>
      <c r="B906" s="10">
        <v>45946</v>
      </c>
      <c r="C906" s="11">
        <f>VLOOKUP(B:B,'Курс валют'!A:D,4,0)</f>
        <v>91.725800000000007</v>
      </c>
      <c r="D906" s="57" t="s">
        <v>2034</v>
      </c>
      <c r="E906" s="50" t="s">
        <v>70</v>
      </c>
      <c r="F906" s="58">
        <v>1600</v>
      </c>
      <c r="G906" s="57">
        <v>1600</v>
      </c>
      <c r="H906" s="56">
        <v>0</v>
      </c>
      <c r="I906" s="58">
        <f t="shared" si="105"/>
        <v>0</v>
      </c>
      <c r="J906" s="14">
        <f t="shared" si="110"/>
        <v>0</v>
      </c>
      <c r="K906" s="56">
        <v>2.4900000000000002</v>
      </c>
      <c r="L906" s="15">
        <f t="shared" si="106"/>
        <v>0</v>
      </c>
      <c r="M906" s="16">
        <f t="shared" si="107"/>
        <v>228.39724200000003</v>
      </c>
      <c r="N906" s="17">
        <f t="shared" si="104"/>
        <v>2.4900000000000002</v>
      </c>
      <c r="O906" s="17">
        <f t="shared" si="108"/>
        <v>3984.0000000000005</v>
      </c>
      <c r="P906" s="18">
        <f t="shared" si="109"/>
        <v>365435.58720000007</v>
      </c>
      <c r="R906" s="66" t="s">
        <v>1267</v>
      </c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>
      <c r="A907" s="54"/>
      <c r="B907" s="122">
        <v>45946</v>
      </c>
      <c r="C907" s="11">
        <f>VLOOKUP(B:B,'Курс валют'!A:D,4,0)</f>
        <v>91.725800000000007</v>
      </c>
      <c r="D907" s="57" t="s">
        <v>2035</v>
      </c>
      <c r="E907" s="50" t="s">
        <v>15</v>
      </c>
      <c r="F907" s="58">
        <v>11000</v>
      </c>
      <c r="G907" s="57">
        <v>11119</v>
      </c>
      <c r="H907" s="56">
        <v>5069</v>
      </c>
      <c r="I907" s="58">
        <f t="shared" si="105"/>
        <v>119</v>
      </c>
      <c r="J907" s="14">
        <f t="shared" si="110"/>
        <v>1.0818181818181818</v>
      </c>
      <c r="K907" s="56">
        <v>3.52</v>
      </c>
      <c r="L907" s="15">
        <f t="shared" si="106"/>
        <v>46.081818181818178</v>
      </c>
      <c r="M907" s="16">
        <f t="shared" si="107"/>
        <v>194.37731019927273</v>
      </c>
      <c r="N907" s="17">
        <f t="shared" si="104"/>
        <v>2.1191127272727273</v>
      </c>
      <c r="O907" s="17">
        <f t="shared" si="108"/>
        <v>23310.240000000002</v>
      </c>
      <c r="P907" s="18">
        <f t="shared" si="109"/>
        <v>2138150.4121920001</v>
      </c>
      <c r="R907" s="65"/>
      <c r="S907" s="19"/>
      <c r="T907" s="20"/>
      <c r="U907" s="20"/>
      <c r="V907" s="20"/>
      <c r="W907" s="20"/>
      <c r="X907" s="20"/>
      <c r="Y907" s="20"/>
      <c r="Z907" s="20"/>
      <c r="AA907" s="20"/>
    </row>
    <row r="908" spans="1:27" ht="12.75">
      <c r="A908" s="54"/>
      <c r="B908" s="74">
        <v>45947</v>
      </c>
      <c r="C908" s="11">
        <f>VLOOKUP(B:B,'Курс валют'!A:D,4,0)</f>
        <v>92.083399999999997</v>
      </c>
      <c r="D908" s="57" t="s">
        <v>2036</v>
      </c>
      <c r="E908" s="50" t="s">
        <v>15</v>
      </c>
      <c r="F908" s="58">
        <v>11000</v>
      </c>
      <c r="G908" s="57">
        <v>11119</v>
      </c>
      <c r="H908" s="56">
        <v>5838</v>
      </c>
      <c r="I908" s="58">
        <f t="shared" si="105"/>
        <v>119</v>
      </c>
      <c r="J908" s="14">
        <f t="shared" si="110"/>
        <v>1.0818181818181818</v>
      </c>
      <c r="K908" s="56">
        <v>3.59</v>
      </c>
      <c r="L908" s="15">
        <f t="shared" si="106"/>
        <v>53.072727272727271</v>
      </c>
      <c r="M908" s="16">
        <f t="shared" si="107"/>
        <v>182.01104389381817</v>
      </c>
      <c r="N908" s="17">
        <f t="shared" si="104"/>
        <v>1.9765890909090909</v>
      </c>
      <c r="O908" s="17">
        <f t="shared" si="108"/>
        <v>21742.48</v>
      </c>
      <c r="P908" s="18">
        <f t="shared" si="109"/>
        <v>2002121.4828319999</v>
      </c>
      <c r="R908" s="66"/>
      <c r="S908" s="19"/>
      <c r="T908" s="20"/>
      <c r="U908" s="20"/>
      <c r="V908" s="20"/>
      <c r="W908" s="20"/>
      <c r="X908" s="20"/>
      <c r="Y908" s="20"/>
      <c r="Z908" s="20"/>
      <c r="AA908" s="20"/>
    </row>
    <row r="909" spans="1:27" ht="12.75">
      <c r="A909" s="54"/>
      <c r="B909" s="74">
        <v>45948</v>
      </c>
      <c r="C909" s="11">
        <f>VLOOKUP(B:B,'Курс валют'!A:D,4,0)</f>
        <v>94.583500000000001</v>
      </c>
      <c r="D909" s="57" t="s">
        <v>2037</v>
      </c>
      <c r="E909" s="50" t="s">
        <v>15</v>
      </c>
      <c r="F909" s="58">
        <v>11000</v>
      </c>
      <c r="G909" s="57">
        <v>11119</v>
      </c>
      <c r="H909" s="56">
        <v>4870</v>
      </c>
      <c r="I909" s="58">
        <f t="shared" si="105"/>
        <v>119</v>
      </c>
      <c r="J909" s="14">
        <f t="shared" si="110"/>
        <v>1.0818181818181818</v>
      </c>
      <c r="K909" s="56">
        <v>3.4</v>
      </c>
      <c r="L909" s="15">
        <f t="shared" si="106"/>
        <v>44.272727272727273</v>
      </c>
      <c r="M909" s="16">
        <f t="shared" si="107"/>
        <v>194.2848272</v>
      </c>
      <c r="N909" s="17">
        <f t="shared" si="104"/>
        <v>2.0541090909090909</v>
      </c>
      <c r="O909" s="17">
        <f t="shared" si="108"/>
        <v>22595.200000000001</v>
      </c>
      <c r="P909" s="18">
        <f t="shared" si="109"/>
        <v>2137133.0992000001</v>
      </c>
      <c r="R909" s="66"/>
      <c r="S909" s="19"/>
      <c r="T909" s="20"/>
      <c r="U909" s="20"/>
      <c r="V909" s="20"/>
      <c r="W909" s="20"/>
      <c r="X909" s="20"/>
      <c r="Y909" s="20"/>
      <c r="Z909" s="20"/>
      <c r="AA909" s="20"/>
    </row>
    <row r="910" spans="1:27" ht="12.75">
      <c r="A910" s="54"/>
      <c r="B910" s="10">
        <v>45948</v>
      </c>
      <c r="C910" s="11">
        <f>VLOOKUP(B:B,'Курс валют'!A:D,4,0)</f>
        <v>94.583500000000001</v>
      </c>
      <c r="D910" s="57" t="s">
        <v>2038</v>
      </c>
      <c r="E910" s="50" t="s">
        <v>50</v>
      </c>
      <c r="F910" s="58">
        <v>9600</v>
      </c>
      <c r="G910" s="57">
        <v>9701.64</v>
      </c>
      <c r="H910" s="56">
        <v>0</v>
      </c>
      <c r="I910" s="58">
        <f t="shared" si="105"/>
        <v>101.63999999999942</v>
      </c>
      <c r="J910" s="14">
        <f t="shared" si="110"/>
        <v>1.0587499999999939</v>
      </c>
      <c r="K910" s="56">
        <v>1.9</v>
      </c>
      <c r="L910" s="15">
        <f t="shared" si="106"/>
        <v>0</v>
      </c>
      <c r="M910" s="16">
        <f t="shared" si="107"/>
        <v>179.70865000000001</v>
      </c>
      <c r="N910" s="17">
        <f t="shared" si="104"/>
        <v>1.9</v>
      </c>
      <c r="O910" s="17">
        <f t="shared" si="108"/>
        <v>18240</v>
      </c>
      <c r="P910" s="18">
        <f t="shared" si="109"/>
        <v>1725203.04</v>
      </c>
      <c r="R910" s="66"/>
      <c r="S910" s="19"/>
      <c r="T910" s="20"/>
      <c r="U910" s="20"/>
      <c r="V910" s="20"/>
      <c r="W910" s="20"/>
      <c r="X910" s="20"/>
      <c r="Y910" s="20"/>
      <c r="Z910" s="20"/>
      <c r="AA910" s="20"/>
    </row>
    <row r="911" spans="1:27" ht="12.75">
      <c r="A911" s="54"/>
      <c r="B911" s="74">
        <v>45949</v>
      </c>
      <c r="C911" s="11">
        <f>VLOOKUP(B:B,'Курс валют'!A:D,4,0)</f>
        <v>94.583500000000001</v>
      </c>
      <c r="D911" s="57" t="s">
        <v>2039</v>
      </c>
      <c r="E911" s="50" t="s">
        <v>15</v>
      </c>
      <c r="F911" s="58">
        <v>11000</v>
      </c>
      <c r="G911" s="52">
        <v>11055.6</v>
      </c>
      <c r="H911" s="56">
        <v>4840</v>
      </c>
      <c r="I911" s="13">
        <f t="shared" si="105"/>
        <v>55.600000000000364</v>
      </c>
      <c r="J911" s="14">
        <f t="shared" si="110"/>
        <v>0.50545454545454882</v>
      </c>
      <c r="K911" s="56">
        <v>3.38</v>
      </c>
      <c r="L911" s="15">
        <f t="shared" si="106"/>
        <v>44</v>
      </c>
      <c r="M911" s="16">
        <f t="shared" si="107"/>
        <v>193.17734040000002</v>
      </c>
      <c r="N911" s="17">
        <f t="shared" si="104"/>
        <v>2.0424000000000002</v>
      </c>
      <c r="O911" s="17">
        <f t="shared" si="108"/>
        <v>22466.400000000001</v>
      </c>
      <c r="P911" s="18">
        <f t="shared" si="109"/>
        <v>2124950.7444000002</v>
      </c>
      <c r="R911" s="65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>
      <c r="A912" s="54"/>
      <c r="B912" s="10">
        <v>45949</v>
      </c>
      <c r="C912" s="11">
        <f>VLOOKUP(B:B,'Курс валют'!A:D,4,0)</f>
        <v>94.583500000000001</v>
      </c>
      <c r="D912" s="57" t="s">
        <v>2040</v>
      </c>
      <c r="E912" s="50" t="s">
        <v>51</v>
      </c>
      <c r="F912" s="58">
        <v>5600</v>
      </c>
      <c r="G912" s="57">
        <v>5635.84</v>
      </c>
      <c r="H912" s="56">
        <v>0</v>
      </c>
      <c r="I912" s="58">
        <f t="shared" si="105"/>
        <v>35.840000000000146</v>
      </c>
      <c r="J912" s="14">
        <f t="shared" si="110"/>
        <v>0.64000000000000268</v>
      </c>
      <c r="K912" s="56">
        <v>1.88</v>
      </c>
      <c r="L912" s="15">
        <f t="shared" si="106"/>
        <v>0</v>
      </c>
      <c r="M912" s="16">
        <f t="shared" si="107"/>
        <v>177.81698</v>
      </c>
      <c r="N912" s="17">
        <f t="shared" si="104"/>
        <v>1.88</v>
      </c>
      <c r="O912" s="17">
        <f t="shared" si="108"/>
        <v>10528</v>
      </c>
      <c r="P912" s="18">
        <f t="shared" si="109"/>
        <v>995775.08799999999</v>
      </c>
      <c r="R912" s="66"/>
      <c r="S912" s="19"/>
      <c r="T912" s="20"/>
      <c r="U912" s="20"/>
      <c r="V912" s="20"/>
      <c r="W912" s="20"/>
      <c r="X912" s="20"/>
      <c r="Y912" s="20"/>
      <c r="Z912" s="20"/>
      <c r="AA912" s="20"/>
    </row>
    <row r="913" spans="1:27" ht="12.75">
      <c r="A913" s="54"/>
      <c r="B913" s="123">
        <v>45950</v>
      </c>
      <c r="C913" s="11">
        <f>VLOOKUP(B:B,'Курс валют'!A:D,4,0)</f>
        <v>94.583500000000001</v>
      </c>
      <c r="D913" s="57" t="s">
        <v>2041</v>
      </c>
      <c r="E913" s="50" t="s">
        <v>15</v>
      </c>
      <c r="F913" s="58">
        <v>11000</v>
      </c>
      <c r="G913" s="57">
        <v>11055.6</v>
      </c>
      <c r="H913" s="56">
        <v>4840</v>
      </c>
      <c r="I913" s="58">
        <f t="shared" si="105"/>
        <v>55.600000000000364</v>
      </c>
      <c r="J913" s="14">
        <f t="shared" si="110"/>
        <v>0.50545454545454882</v>
      </c>
      <c r="K913" s="56">
        <v>3.38</v>
      </c>
      <c r="L913" s="15">
        <f t="shared" si="106"/>
        <v>44</v>
      </c>
      <c r="M913" s="16">
        <f t="shared" si="107"/>
        <v>193.17734040000002</v>
      </c>
      <c r="N913" s="17">
        <f t="shared" si="104"/>
        <v>2.0424000000000002</v>
      </c>
      <c r="O913" s="17">
        <f t="shared" si="108"/>
        <v>22466.400000000001</v>
      </c>
      <c r="P913" s="18">
        <f t="shared" si="109"/>
        <v>2124950.7444000002</v>
      </c>
      <c r="R913" s="66"/>
      <c r="S913" s="19"/>
      <c r="T913" s="20"/>
      <c r="U913" s="20"/>
      <c r="V913" s="20"/>
      <c r="W913" s="20"/>
      <c r="X913" s="20"/>
      <c r="Y913" s="20"/>
      <c r="Z913" s="20"/>
      <c r="AA913" s="20"/>
    </row>
    <row r="914" spans="1:27" ht="12.75">
      <c r="A914" s="54"/>
      <c r="B914" s="10">
        <v>45950</v>
      </c>
      <c r="C914" s="11">
        <f>VLOOKUP(B:B,'Курс валют'!A:D,4,0)</f>
        <v>94.583500000000001</v>
      </c>
      <c r="D914" s="57" t="s">
        <v>2042</v>
      </c>
      <c r="E914" s="50" t="s">
        <v>51</v>
      </c>
      <c r="F914" s="58">
        <v>2400</v>
      </c>
      <c r="G914" s="57">
        <v>2415.36</v>
      </c>
      <c r="H914" s="56">
        <v>0</v>
      </c>
      <c r="I914" s="58">
        <f t="shared" si="105"/>
        <v>15.360000000000127</v>
      </c>
      <c r="J914" s="14">
        <f t="shared" si="110"/>
        <v>0.64000000000000534</v>
      </c>
      <c r="K914" s="56">
        <v>1.87</v>
      </c>
      <c r="L914" s="15">
        <f t="shared" si="106"/>
        <v>0</v>
      </c>
      <c r="M914" s="16">
        <f t="shared" si="107"/>
        <v>176.87114500000001</v>
      </c>
      <c r="N914" s="17">
        <f t="shared" ref="N914:N942" si="111">(F914*K914-H914*3.04)/F914</f>
        <v>1.87</v>
      </c>
      <c r="O914" s="17">
        <f t="shared" si="108"/>
        <v>4488</v>
      </c>
      <c r="P914" s="18">
        <f t="shared" si="109"/>
        <v>424490.74800000002</v>
      </c>
      <c r="R914" s="66"/>
      <c r="S914" s="19"/>
      <c r="T914" s="20"/>
      <c r="U914" s="20"/>
      <c r="V914" s="20"/>
      <c r="W914" s="20"/>
      <c r="X914" s="20"/>
      <c r="Y914" s="20"/>
      <c r="Z914" s="20"/>
      <c r="AA914" s="20"/>
    </row>
    <row r="915" spans="1:27" ht="12.75">
      <c r="A915" s="54"/>
      <c r="B915" s="74">
        <v>45951</v>
      </c>
      <c r="C915" s="11">
        <f>VLOOKUP(B:B,'Курс валют'!A:D,4,0)</f>
        <v>94.384500000000003</v>
      </c>
      <c r="D915" s="57" t="s">
        <v>2043</v>
      </c>
      <c r="E915" s="50" t="s">
        <v>15</v>
      </c>
      <c r="F915" s="58">
        <v>11000</v>
      </c>
      <c r="G915" s="52">
        <v>11055.6</v>
      </c>
      <c r="H915" s="56">
        <v>4840</v>
      </c>
      <c r="I915" s="13">
        <f t="shared" si="105"/>
        <v>55.600000000000364</v>
      </c>
      <c r="J915" s="14">
        <f t="shared" si="110"/>
        <v>0.50545454545454882</v>
      </c>
      <c r="K915" s="56">
        <v>3.38</v>
      </c>
      <c r="L915" s="15">
        <f t="shared" si="106"/>
        <v>44</v>
      </c>
      <c r="M915" s="16">
        <f t="shared" si="107"/>
        <v>192.77090280000002</v>
      </c>
      <c r="N915" s="17">
        <f t="shared" si="111"/>
        <v>2.0424000000000002</v>
      </c>
      <c r="O915" s="17">
        <f t="shared" si="108"/>
        <v>22466.400000000001</v>
      </c>
      <c r="P915" s="18">
        <f t="shared" si="109"/>
        <v>2120479.9308000002</v>
      </c>
      <c r="R915" s="66"/>
      <c r="S915" s="19"/>
      <c r="T915" s="20"/>
      <c r="U915" s="20"/>
      <c r="V915" s="20"/>
      <c r="W915" s="20"/>
      <c r="X915" s="20"/>
      <c r="Y915" s="20"/>
      <c r="Z915" s="20"/>
      <c r="AA915" s="20"/>
    </row>
    <row r="916" spans="1:27" ht="12.75">
      <c r="A916" s="54"/>
      <c r="B916" s="10">
        <v>45951</v>
      </c>
      <c r="C916" s="11">
        <f>VLOOKUP(B:B,'Курс валют'!A:D,4,0)</f>
        <v>94.384500000000003</v>
      </c>
      <c r="D916" s="57" t="s">
        <v>2044</v>
      </c>
      <c r="E916" s="50" t="s">
        <v>50</v>
      </c>
      <c r="F916" s="58">
        <v>4800</v>
      </c>
      <c r="G916" s="57">
        <v>4833.84</v>
      </c>
      <c r="H916" s="56">
        <v>0</v>
      </c>
      <c r="I916" s="58">
        <f t="shared" si="105"/>
        <v>33.840000000000146</v>
      </c>
      <c r="J916" s="14">
        <f t="shared" si="110"/>
        <v>0.70500000000000307</v>
      </c>
      <c r="K916" s="56">
        <v>1.88</v>
      </c>
      <c r="L916" s="15">
        <f t="shared" si="106"/>
        <v>0</v>
      </c>
      <c r="M916" s="16">
        <f t="shared" si="107"/>
        <v>177.44286</v>
      </c>
      <c r="N916" s="17">
        <f t="shared" si="111"/>
        <v>1.88</v>
      </c>
      <c r="O916" s="17">
        <f t="shared" si="108"/>
        <v>9024</v>
      </c>
      <c r="P916" s="18">
        <f t="shared" si="109"/>
        <v>851725.728</v>
      </c>
      <c r="R916" s="66"/>
      <c r="S916" s="19"/>
      <c r="T916" s="20"/>
      <c r="U916" s="20"/>
      <c r="V916" s="20"/>
      <c r="W916" s="20"/>
      <c r="X916" s="20"/>
      <c r="Y916" s="20"/>
      <c r="Z916" s="20"/>
      <c r="AA916" s="20"/>
    </row>
    <row r="917" spans="1:27" ht="12.75">
      <c r="A917" s="54"/>
      <c r="B917" s="10">
        <v>45952</v>
      </c>
      <c r="C917" s="11">
        <f>VLOOKUP(B:B,'Курс валют'!A:D,4,0)</f>
        <v>94.665599999999998</v>
      </c>
      <c r="D917" s="57" t="s">
        <v>2045</v>
      </c>
      <c r="E917" s="50" t="s">
        <v>52</v>
      </c>
      <c r="F917" s="58">
        <v>1000</v>
      </c>
      <c r="G917" s="52">
        <v>1009.52</v>
      </c>
      <c r="H917" s="56">
        <v>0</v>
      </c>
      <c r="I917" s="13">
        <f t="shared" si="105"/>
        <v>9.5199999999999818</v>
      </c>
      <c r="J917" s="14">
        <f t="shared" si="110"/>
        <v>0.95199999999999818</v>
      </c>
      <c r="K917" s="56">
        <v>2.62</v>
      </c>
      <c r="L917" s="15">
        <f t="shared" si="106"/>
        <v>0</v>
      </c>
      <c r="M917" s="16">
        <f t="shared" si="107"/>
        <v>248.02387200000001</v>
      </c>
      <c r="N917" s="17">
        <f t="shared" si="111"/>
        <v>2.62</v>
      </c>
      <c r="O917" s="17">
        <f t="shared" si="108"/>
        <v>2620</v>
      </c>
      <c r="P917" s="18">
        <f t="shared" si="109"/>
        <v>248023.872</v>
      </c>
      <c r="R917" s="66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>
      <c r="A918" s="54"/>
      <c r="B918" s="10">
        <v>45952</v>
      </c>
      <c r="C918" s="11">
        <f>VLOOKUP(B:B,'Курс валют'!A:D,4,0)</f>
        <v>94.665599999999998</v>
      </c>
      <c r="D918" s="57" t="s">
        <v>2046</v>
      </c>
      <c r="E918" s="50" t="s">
        <v>89</v>
      </c>
      <c r="F918" s="58">
        <v>1000</v>
      </c>
      <c r="G918" s="57">
        <v>1009.52</v>
      </c>
      <c r="H918" s="56">
        <v>0</v>
      </c>
      <c r="I918" s="58">
        <f t="shared" si="105"/>
        <v>9.5199999999999818</v>
      </c>
      <c r="J918" s="14">
        <f t="shared" si="110"/>
        <v>0.95199999999999818</v>
      </c>
      <c r="K918" s="56">
        <v>2.73</v>
      </c>
      <c r="L918" s="15">
        <f t="shared" si="106"/>
        <v>0</v>
      </c>
      <c r="M918" s="16">
        <f t="shared" si="107"/>
        <v>258.43708800000002</v>
      </c>
      <c r="N918" s="17">
        <f t="shared" si="111"/>
        <v>2.73</v>
      </c>
      <c r="O918" s="17">
        <f t="shared" si="108"/>
        <v>2730</v>
      </c>
      <c r="P918" s="18">
        <f t="shared" si="109"/>
        <v>258437.08799999999</v>
      </c>
      <c r="R918" s="66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>
      <c r="A919" s="54"/>
      <c r="B919" s="74">
        <v>45952</v>
      </c>
      <c r="C919" s="11">
        <f>VLOOKUP(B:B,'Курс валют'!A:D,4,0)</f>
        <v>94.665599999999998</v>
      </c>
      <c r="D919" s="57" t="s">
        <v>2047</v>
      </c>
      <c r="E919" s="50" t="s">
        <v>15</v>
      </c>
      <c r="F919" s="58">
        <v>8800</v>
      </c>
      <c r="G919" s="57">
        <v>8844.48</v>
      </c>
      <c r="H919" s="56">
        <v>2745</v>
      </c>
      <c r="I919" s="58">
        <f t="shared" si="105"/>
        <v>44.479999999999563</v>
      </c>
      <c r="J919" s="14">
        <f t="shared" si="110"/>
        <v>0.50545454545454049</v>
      </c>
      <c r="K919" s="56">
        <v>2.99</v>
      </c>
      <c r="L919" s="15">
        <f t="shared" si="106"/>
        <v>31.19318181818182</v>
      </c>
      <c r="M919" s="16">
        <f t="shared" si="107"/>
        <v>210.70357281818184</v>
      </c>
      <c r="N919" s="17">
        <f>(F919*K919-H919*2.45)/F919</f>
        <v>2.2257670454545457</v>
      </c>
      <c r="O919" s="17">
        <f t="shared" si="108"/>
        <v>19586.750000000004</v>
      </c>
      <c r="P919" s="18">
        <f t="shared" si="109"/>
        <v>1854191.4408000002</v>
      </c>
      <c r="S919" s="19"/>
      <c r="T919" s="20"/>
      <c r="U919" s="20"/>
      <c r="V919" s="20"/>
      <c r="W919" s="20"/>
      <c r="X919" s="20"/>
      <c r="Y919" s="20"/>
      <c r="Z919" s="20"/>
      <c r="AA919" s="20"/>
    </row>
    <row r="920" spans="1:27" ht="12.75">
      <c r="A920" s="54"/>
      <c r="B920" s="10">
        <v>45953</v>
      </c>
      <c r="C920" s="11">
        <f>VLOOKUP(B:B,'Курс валют'!A:D,4,0)</f>
        <v>94.754300000000001</v>
      </c>
      <c r="D920" s="57" t="s">
        <v>2048</v>
      </c>
      <c r="E920" s="50" t="s">
        <v>58</v>
      </c>
      <c r="F920" s="58">
        <v>11000</v>
      </c>
      <c r="G920" s="57">
        <v>11057.2</v>
      </c>
      <c r="H920" s="49">
        <v>0</v>
      </c>
      <c r="I920" s="58">
        <f t="shared" si="105"/>
        <v>57.200000000000728</v>
      </c>
      <c r="J920" s="14">
        <f t="shared" si="110"/>
        <v>0.52000000000000668</v>
      </c>
      <c r="K920" s="56">
        <v>2.21</v>
      </c>
      <c r="L920" s="15">
        <f t="shared" si="106"/>
        <v>0</v>
      </c>
      <c r="M920" s="16">
        <f t="shared" si="107"/>
        <v>209.40700299999997</v>
      </c>
      <c r="N920" s="17">
        <f t="shared" ref="N920:N983" si="112">(F920*K920-H920*3.04)/F920</f>
        <v>2.21</v>
      </c>
      <c r="O920" s="17">
        <f t="shared" si="108"/>
        <v>24310</v>
      </c>
      <c r="P920" s="18">
        <f t="shared" si="109"/>
        <v>2303477.0329999998</v>
      </c>
      <c r="R920" s="66"/>
      <c r="S920" s="19"/>
      <c r="T920" s="20"/>
      <c r="U920" s="20"/>
      <c r="V920" s="20"/>
      <c r="W920" s="20"/>
      <c r="X920" s="20"/>
      <c r="Y920" s="20"/>
      <c r="Z920" s="20"/>
      <c r="AA920" s="20"/>
    </row>
    <row r="921" spans="1:27" ht="12.75">
      <c r="A921" s="54"/>
      <c r="B921" s="10">
        <v>45953</v>
      </c>
      <c r="C921" s="11">
        <f>VLOOKUP(B:B,'Курс валют'!A:D,4,0)</f>
        <v>94.754300000000001</v>
      </c>
      <c r="D921" s="57" t="s">
        <v>2049</v>
      </c>
      <c r="E921" s="50" t="s">
        <v>68</v>
      </c>
      <c r="F921" s="58">
        <v>4000</v>
      </c>
      <c r="G921" s="57">
        <v>4015.05</v>
      </c>
      <c r="H921" s="49">
        <v>0</v>
      </c>
      <c r="I921" s="58">
        <f t="shared" si="105"/>
        <v>15.050000000000182</v>
      </c>
      <c r="J921" s="14">
        <f t="shared" si="110"/>
        <v>0.37625000000000453</v>
      </c>
      <c r="K921" s="56">
        <v>1.91</v>
      </c>
      <c r="L921" s="15">
        <f t="shared" si="106"/>
        <v>0</v>
      </c>
      <c r="M921" s="16">
        <f t="shared" si="107"/>
        <v>180.98071299999998</v>
      </c>
      <c r="N921" s="17">
        <f t="shared" si="112"/>
        <v>1.91</v>
      </c>
      <c r="O921" s="17">
        <f t="shared" si="108"/>
        <v>7640</v>
      </c>
      <c r="P921" s="18">
        <f t="shared" si="109"/>
        <v>723922.85199999996</v>
      </c>
      <c r="R921" s="65"/>
      <c r="S921" s="19"/>
      <c r="T921" s="20"/>
      <c r="U921" s="20"/>
      <c r="V921" s="20"/>
      <c r="W921" s="20"/>
      <c r="X921" s="20"/>
      <c r="Y921" s="20"/>
      <c r="Z921" s="20"/>
      <c r="AA921" s="20"/>
    </row>
    <row r="922" spans="1:27" ht="12.75">
      <c r="A922" s="54"/>
      <c r="B922" s="10">
        <v>45954</v>
      </c>
      <c r="C922" s="11">
        <f>VLOOKUP(B:B,'Курс валют'!A:D,4,0)</f>
        <v>94.388900000000007</v>
      </c>
      <c r="D922" s="57" t="s">
        <v>2050</v>
      </c>
      <c r="E922" s="50" t="s">
        <v>58</v>
      </c>
      <c r="F922" s="58">
        <v>7700</v>
      </c>
      <c r="G922" s="57">
        <v>7740.04</v>
      </c>
      <c r="H922" s="49">
        <v>0</v>
      </c>
      <c r="I922" s="58">
        <f t="shared" si="105"/>
        <v>40.039999999999964</v>
      </c>
      <c r="J922" s="14">
        <f t="shared" si="110"/>
        <v>0.51999999999999957</v>
      </c>
      <c r="K922" s="56">
        <v>2.21</v>
      </c>
      <c r="L922" s="15">
        <f t="shared" si="106"/>
        <v>0</v>
      </c>
      <c r="M922" s="16">
        <f t="shared" si="107"/>
        <v>208.599469</v>
      </c>
      <c r="N922" s="17">
        <f t="shared" si="112"/>
        <v>2.21</v>
      </c>
      <c r="O922" s="17">
        <f t="shared" si="108"/>
        <v>17017</v>
      </c>
      <c r="P922" s="18">
        <f t="shared" si="109"/>
        <v>1606215.9113</v>
      </c>
      <c r="R922" s="65"/>
      <c r="S922" s="19"/>
      <c r="T922" s="20"/>
      <c r="U922" s="20"/>
      <c r="V922" s="20"/>
      <c r="W922" s="20"/>
      <c r="X922" s="20"/>
      <c r="Y922" s="20"/>
      <c r="Z922" s="20"/>
      <c r="AA922" s="20"/>
    </row>
    <row r="923" spans="1:27" ht="12.75">
      <c r="A923" s="54"/>
      <c r="B923" s="10">
        <v>45954</v>
      </c>
      <c r="C923" s="11">
        <f>VLOOKUP(B:B,'Курс валют'!A:D,4,0)</f>
        <v>94.388900000000007</v>
      </c>
      <c r="D923" s="57" t="s">
        <v>2051</v>
      </c>
      <c r="E923" s="50" t="s">
        <v>52</v>
      </c>
      <c r="F923" s="58">
        <v>1000</v>
      </c>
      <c r="G923" s="57">
        <v>1009.52</v>
      </c>
      <c r="H923" s="49">
        <v>0</v>
      </c>
      <c r="I923" s="58">
        <f t="shared" si="105"/>
        <v>9.5199999999999818</v>
      </c>
      <c r="J923" s="14">
        <f t="shared" si="110"/>
        <v>0.95199999999999818</v>
      </c>
      <c r="K923" s="56">
        <v>2.58</v>
      </c>
      <c r="L923" s="15">
        <f t="shared" si="106"/>
        <v>0</v>
      </c>
      <c r="M923" s="16">
        <f t="shared" si="107"/>
        <v>243.52336200000002</v>
      </c>
      <c r="N923" s="17">
        <f t="shared" si="112"/>
        <v>2.58</v>
      </c>
      <c r="O923" s="17">
        <f t="shared" si="108"/>
        <v>2580</v>
      </c>
      <c r="P923" s="18">
        <f t="shared" si="109"/>
        <v>243523.36200000002</v>
      </c>
      <c r="R923" s="65"/>
      <c r="S923" s="19"/>
      <c r="T923" s="20"/>
      <c r="U923" s="20"/>
      <c r="V923" s="20"/>
      <c r="W923" s="20"/>
      <c r="X923" s="20"/>
      <c r="Y923" s="20"/>
      <c r="Z923" s="20"/>
      <c r="AA923" s="20"/>
    </row>
    <row r="924" spans="1:27" ht="12.75">
      <c r="A924" s="54"/>
      <c r="B924" s="10">
        <v>45954</v>
      </c>
      <c r="C924" s="11">
        <f>VLOOKUP(B:B,'Курс валют'!A:D,4,0)</f>
        <v>94.388900000000007</v>
      </c>
      <c r="D924" s="57" t="s">
        <v>2052</v>
      </c>
      <c r="E924" s="50" t="s">
        <v>89</v>
      </c>
      <c r="F924" s="58">
        <v>1000</v>
      </c>
      <c r="G924" s="57">
        <v>1009.52</v>
      </c>
      <c r="H924" s="49">
        <v>0</v>
      </c>
      <c r="I924" s="58">
        <f t="shared" si="105"/>
        <v>9.5199999999999818</v>
      </c>
      <c r="J924" s="14">
        <f t="shared" si="110"/>
        <v>0.95199999999999818</v>
      </c>
      <c r="K924" s="56">
        <v>2.77</v>
      </c>
      <c r="L924" s="15">
        <f t="shared" si="106"/>
        <v>0</v>
      </c>
      <c r="M924" s="16">
        <f t="shared" si="107"/>
        <v>261.45725300000004</v>
      </c>
      <c r="N924" s="17">
        <f t="shared" si="112"/>
        <v>2.77</v>
      </c>
      <c r="O924" s="17">
        <f t="shared" si="108"/>
        <v>2770</v>
      </c>
      <c r="P924" s="18">
        <f t="shared" si="109"/>
        <v>261457.25300000003</v>
      </c>
      <c r="R924" s="65"/>
      <c r="S924" s="19"/>
      <c r="T924" s="20"/>
      <c r="U924" s="20"/>
      <c r="V924" s="20"/>
      <c r="W924" s="20"/>
      <c r="X924" s="20"/>
      <c r="Y924" s="20"/>
      <c r="Z924" s="20"/>
      <c r="AA924" s="20"/>
    </row>
    <row r="925" spans="1:27" ht="12.75">
      <c r="A925" s="54"/>
      <c r="B925" s="10">
        <v>45955</v>
      </c>
      <c r="C925" s="11">
        <f>VLOOKUP(B:B,'Курс валют'!A:D,4,0)</f>
        <v>94.081999999999994</v>
      </c>
      <c r="D925" s="57" t="s">
        <v>2053</v>
      </c>
      <c r="E925" s="50" t="s">
        <v>58</v>
      </c>
      <c r="F925" s="58">
        <v>3300</v>
      </c>
      <c r="G925" s="57">
        <v>3317.16</v>
      </c>
      <c r="H925" s="56">
        <v>0</v>
      </c>
      <c r="I925" s="58">
        <f t="shared" si="105"/>
        <v>17.159999999999854</v>
      </c>
      <c r="J925" s="14">
        <f t="shared" si="110"/>
        <v>0.51999999999999558</v>
      </c>
      <c r="K925" s="53">
        <v>2.21</v>
      </c>
      <c r="L925" s="15">
        <f t="shared" si="106"/>
        <v>0</v>
      </c>
      <c r="M925" s="16">
        <f t="shared" si="107"/>
        <v>207.92121999999998</v>
      </c>
      <c r="N925" s="17">
        <f t="shared" si="112"/>
        <v>2.21</v>
      </c>
      <c r="O925" s="17">
        <f t="shared" si="108"/>
        <v>7293</v>
      </c>
      <c r="P925" s="18">
        <f t="shared" si="109"/>
        <v>686140.02599999995</v>
      </c>
      <c r="R925" s="65"/>
      <c r="S925" s="19"/>
      <c r="T925" s="20"/>
      <c r="U925" s="20"/>
      <c r="V925" s="20"/>
      <c r="W925" s="20"/>
      <c r="X925" s="20"/>
      <c r="Y925" s="20"/>
      <c r="Z925" s="20"/>
      <c r="AA925" s="20"/>
    </row>
    <row r="926" spans="1:27" ht="12.75">
      <c r="A926" s="54"/>
      <c r="B926" s="74">
        <v>45955</v>
      </c>
      <c r="C926" s="11">
        <f>VLOOKUP(B:B,'Курс валют'!A:D,4,0)</f>
        <v>94.081999999999994</v>
      </c>
      <c r="D926" s="57" t="s">
        <v>2054</v>
      </c>
      <c r="E926" s="50" t="s">
        <v>15</v>
      </c>
      <c r="F926" s="58">
        <v>6600</v>
      </c>
      <c r="G926" s="57">
        <v>6633.36</v>
      </c>
      <c r="H926" s="56">
        <v>0</v>
      </c>
      <c r="I926" s="58">
        <f t="shared" si="105"/>
        <v>33.359999999999673</v>
      </c>
      <c r="J926" s="14">
        <f t="shared" si="110"/>
        <v>0.50545454545454049</v>
      </c>
      <c r="K926" s="53">
        <v>2.12</v>
      </c>
      <c r="L926" s="15">
        <f t="shared" si="106"/>
        <v>0</v>
      </c>
      <c r="M926" s="16">
        <f t="shared" si="107"/>
        <v>199.45383999999996</v>
      </c>
      <c r="N926" s="17">
        <f t="shared" si="112"/>
        <v>2.12</v>
      </c>
      <c r="O926" s="17">
        <f t="shared" si="108"/>
        <v>13992</v>
      </c>
      <c r="P926" s="18">
        <f t="shared" si="109"/>
        <v>1316395.3439999998</v>
      </c>
      <c r="R926" s="65"/>
      <c r="S926" s="19"/>
      <c r="T926" s="20"/>
      <c r="U926" s="20"/>
      <c r="V926" s="20"/>
      <c r="W926" s="20"/>
      <c r="X926" s="20"/>
      <c r="Y926" s="20"/>
      <c r="Z926" s="20"/>
      <c r="AA926" s="20"/>
    </row>
    <row r="927" spans="1:27" ht="12.75">
      <c r="A927" s="54"/>
      <c r="B927" s="10">
        <v>45955</v>
      </c>
      <c r="C927" s="11">
        <f>VLOOKUP(B:B,'Курс валют'!A:D,4,0)</f>
        <v>94.081999999999994</v>
      </c>
      <c r="D927" s="57" t="s">
        <v>2055</v>
      </c>
      <c r="E927" s="50" t="s">
        <v>66</v>
      </c>
      <c r="F927" s="58">
        <v>4000</v>
      </c>
      <c r="G927" s="57">
        <v>4049.65</v>
      </c>
      <c r="H927" s="56">
        <v>0</v>
      </c>
      <c r="I927" s="58">
        <f t="shared" si="105"/>
        <v>49.650000000000091</v>
      </c>
      <c r="J927" s="14">
        <f t="shared" si="110"/>
        <v>1.2412500000000022</v>
      </c>
      <c r="K927" s="56">
        <v>1.92</v>
      </c>
      <c r="L927" s="15">
        <f t="shared" si="106"/>
        <v>0</v>
      </c>
      <c r="M927" s="16">
        <f t="shared" si="107"/>
        <v>180.63744</v>
      </c>
      <c r="N927" s="17">
        <f t="shared" si="112"/>
        <v>1.92</v>
      </c>
      <c r="O927" s="17">
        <f t="shared" si="108"/>
        <v>7680</v>
      </c>
      <c r="P927" s="18">
        <f t="shared" si="109"/>
        <v>722549.76000000001</v>
      </c>
      <c r="R927" s="66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>
      <c r="A928" s="54"/>
      <c r="B928" s="74">
        <v>45956</v>
      </c>
      <c r="C928" s="11">
        <f>VLOOKUP(B:B,'Курс валют'!A:D,4,0)</f>
        <v>94.081999999999994</v>
      </c>
      <c r="D928" s="57" t="s">
        <v>2056</v>
      </c>
      <c r="E928" s="55" t="s">
        <v>15</v>
      </c>
      <c r="F928" s="58">
        <v>15400</v>
      </c>
      <c r="G928" s="57">
        <v>15477.84</v>
      </c>
      <c r="H928" s="56">
        <v>0</v>
      </c>
      <c r="I928" s="58">
        <f t="shared" si="105"/>
        <v>77.840000000000146</v>
      </c>
      <c r="J928" s="14">
        <f t="shared" si="110"/>
        <v>0.50545454545454649</v>
      </c>
      <c r="K928" s="56">
        <v>2.19</v>
      </c>
      <c r="L928" s="15">
        <f t="shared" si="106"/>
        <v>0</v>
      </c>
      <c r="M928" s="16">
        <f t="shared" si="107"/>
        <v>206.03957999999997</v>
      </c>
      <c r="N928" s="17">
        <f t="shared" si="112"/>
        <v>2.19</v>
      </c>
      <c r="O928" s="17">
        <f t="shared" si="108"/>
        <v>33726</v>
      </c>
      <c r="P928" s="18">
        <f t="shared" si="109"/>
        <v>3173009.5319999997</v>
      </c>
      <c r="R928" s="66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>
      <c r="A929" s="54"/>
      <c r="B929" s="74">
        <v>45957</v>
      </c>
      <c r="C929" s="11">
        <f>VLOOKUP(B:B,'Курс валют'!A:D,4,0)</f>
        <v>94.081999999999994</v>
      </c>
      <c r="D929" s="57" t="s">
        <v>2057</v>
      </c>
      <c r="E929" s="50" t="s">
        <v>15</v>
      </c>
      <c r="F929" s="58">
        <v>15400</v>
      </c>
      <c r="G929" s="58">
        <v>15533.84</v>
      </c>
      <c r="H929" s="22">
        <v>6292</v>
      </c>
      <c r="I929" s="58">
        <f t="shared" si="105"/>
        <v>133.84000000000015</v>
      </c>
      <c r="J929" s="14">
        <f t="shared" si="110"/>
        <v>0.86909090909091002</v>
      </c>
      <c r="K929" s="56">
        <v>3.48</v>
      </c>
      <c r="L929" s="15">
        <f t="shared" si="106"/>
        <v>40.857142857142861</v>
      </c>
      <c r="M929" s="16">
        <f t="shared" si="107"/>
        <v>210.55013988571426</v>
      </c>
      <c r="N929" s="17">
        <f t="shared" si="112"/>
        <v>2.237942857142857</v>
      </c>
      <c r="O929" s="17">
        <f t="shared" si="108"/>
        <v>34464.32</v>
      </c>
      <c r="P929" s="18">
        <f t="shared" si="109"/>
        <v>3242472.1542399996</v>
      </c>
      <c r="R929" s="65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>
      <c r="A930" s="54"/>
      <c r="B930" s="74">
        <v>45958</v>
      </c>
      <c r="C930" s="11">
        <f>VLOOKUP(B:B,'Курс валют'!A:D,4,0)</f>
        <v>92.023300000000006</v>
      </c>
      <c r="D930" s="57" t="s">
        <v>2058</v>
      </c>
      <c r="E930" s="50" t="s">
        <v>15</v>
      </c>
      <c r="F930" s="58">
        <v>8800</v>
      </c>
      <c r="G930" s="58">
        <v>8844.48</v>
      </c>
      <c r="H930" s="22">
        <v>3872</v>
      </c>
      <c r="I930" s="58">
        <f t="shared" si="105"/>
        <v>44.479999999999563</v>
      </c>
      <c r="J930" s="14">
        <f t="shared" si="110"/>
        <v>0.50545454545454049</v>
      </c>
      <c r="K930" s="56">
        <v>3.58</v>
      </c>
      <c r="L930" s="15">
        <f t="shared" si="106"/>
        <v>44</v>
      </c>
      <c r="M930" s="16">
        <f t="shared" si="107"/>
        <v>206.35304791999999</v>
      </c>
      <c r="N930" s="17">
        <f t="shared" si="112"/>
        <v>2.2423999999999999</v>
      </c>
      <c r="O930" s="17">
        <f t="shared" si="108"/>
        <v>19733.12</v>
      </c>
      <c r="P930" s="18">
        <f t="shared" si="109"/>
        <v>1815906.8216959999</v>
      </c>
      <c r="R930" s="65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>
      <c r="A931" s="54"/>
      <c r="B931" s="10">
        <v>45958</v>
      </c>
      <c r="C931" s="11">
        <f>VLOOKUP(B:B,'Курс валют'!A:D,4,0)</f>
        <v>92.023300000000006</v>
      </c>
      <c r="D931" s="57" t="s">
        <v>2059</v>
      </c>
      <c r="E931" s="55" t="s">
        <v>51</v>
      </c>
      <c r="F931" s="58">
        <v>4800</v>
      </c>
      <c r="G931" s="58">
        <v>4830.72</v>
      </c>
      <c r="H931" s="56">
        <v>0</v>
      </c>
      <c r="I931" s="58">
        <f t="shared" si="105"/>
        <v>30.720000000000255</v>
      </c>
      <c r="J931" s="14">
        <f t="shared" si="110"/>
        <v>0.64000000000000534</v>
      </c>
      <c r="K931" s="56">
        <v>1.85</v>
      </c>
      <c r="L931" s="15">
        <f t="shared" si="106"/>
        <v>0</v>
      </c>
      <c r="M931" s="16">
        <f t="shared" si="107"/>
        <v>170.24310500000001</v>
      </c>
      <c r="N931" s="17">
        <f t="shared" si="112"/>
        <v>1.85</v>
      </c>
      <c r="O931" s="17">
        <f t="shared" si="108"/>
        <v>8880</v>
      </c>
      <c r="P931" s="18">
        <f t="shared" si="109"/>
        <v>817166.9040000001</v>
      </c>
      <c r="R931" s="66"/>
      <c r="S931" s="19"/>
      <c r="T931" s="20"/>
      <c r="U931" s="20"/>
      <c r="V931" s="20"/>
      <c r="W931" s="20"/>
      <c r="X931" s="20"/>
      <c r="Y931" s="20"/>
      <c r="Z931" s="20"/>
      <c r="AA931" s="20"/>
    </row>
    <row r="932" spans="1:27" ht="12.75">
      <c r="A932" s="54"/>
      <c r="B932" s="74">
        <v>45959</v>
      </c>
      <c r="C932" s="11">
        <f>VLOOKUP(B:B,'Курс валют'!A:D,4,0)</f>
        <v>92.939499999999995</v>
      </c>
      <c r="D932" s="57" t="s">
        <v>2060</v>
      </c>
      <c r="E932" s="55" t="s">
        <v>15</v>
      </c>
      <c r="F932" s="58">
        <v>8800</v>
      </c>
      <c r="G932" s="58">
        <v>8844.48</v>
      </c>
      <c r="H932" s="22">
        <v>3872</v>
      </c>
      <c r="I932" s="58">
        <f t="shared" si="105"/>
        <v>44.479999999999563</v>
      </c>
      <c r="J932" s="14">
        <f t="shared" si="110"/>
        <v>0.50545454545454049</v>
      </c>
      <c r="K932" s="56">
        <v>3.57</v>
      </c>
      <c r="L932" s="15">
        <f t="shared" si="106"/>
        <v>44</v>
      </c>
      <c r="M932" s="16">
        <f t="shared" si="107"/>
        <v>207.47813979999998</v>
      </c>
      <c r="N932" s="17">
        <f t="shared" si="112"/>
        <v>2.2323999999999997</v>
      </c>
      <c r="O932" s="17">
        <f t="shared" si="108"/>
        <v>19645.12</v>
      </c>
      <c r="P932" s="18">
        <f t="shared" si="109"/>
        <v>1825807.6302399999</v>
      </c>
      <c r="R932" s="66"/>
      <c r="S932" s="19"/>
      <c r="T932" s="20"/>
      <c r="U932" s="20"/>
      <c r="V932" s="20"/>
      <c r="W932" s="20"/>
      <c r="X932" s="20"/>
      <c r="Y932" s="20"/>
      <c r="Z932" s="20"/>
      <c r="AA932" s="20"/>
    </row>
    <row r="933" spans="1:27" ht="12.75">
      <c r="A933" s="54"/>
      <c r="B933" s="10">
        <v>45959</v>
      </c>
      <c r="C933" s="11">
        <f>VLOOKUP(B:B,'Курс валют'!A:D,4,0)</f>
        <v>92.939499999999995</v>
      </c>
      <c r="D933" s="57" t="s">
        <v>2061</v>
      </c>
      <c r="E933" s="55" t="s">
        <v>51</v>
      </c>
      <c r="F933" s="58">
        <v>3200</v>
      </c>
      <c r="G933" s="58">
        <v>3244.8</v>
      </c>
      <c r="H933" s="56">
        <v>0</v>
      </c>
      <c r="I933" s="58">
        <f t="shared" si="105"/>
        <v>44.800000000000182</v>
      </c>
      <c r="J933" s="14">
        <f t="shared" si="110"/>
        <v>1.4000000000000057</v>
      </c>
      <c r="K933" s="56">
        <v>1.8</v>
      </c>
      <c r="L933" s="15">
        <f t="shared" si="106"/>
        <v>0</v>
      </c>
      <c r="M933" s="16">
        <f t="shared" si="107"/>
        <v>167.2911</v>
      </c>
      <c r="N933" s="17">
        <f t="shared" si="112"/>
        <v>1.8</v>
      </c>
      <c r="O933" s="17">
        <f t="shared" si="108"/>
        <v>5760</v>
      </c>
      <c r="P933" s="18">
        <f t="shared" si="109"/>
        <v>535331.52</v>
      </c>
      <c r="R933" s="66"/>
      <c r="S933" s="19"/>
      <c r="T933" s="20"/>
      <c r="U933" s="20"/>
      <c r="V933" s="20"/>
      <c r="W933" s="20"/>
      <c r="X933" s="20"/>
      <c r="Y933" s="20"/>
      <c r="Z933" s="20"/>
      <c r="AA933" s="20"/>
    </row>
    <row r="934" spans="1:27" ht="12.75">
      <c r="A934" s="54"/>
      <c r="B934" s="10">
        <v>45959</v>
      </c>
      <c r="C934" s="11">
        <f>VLOOKUP(B:B,'Курс валют'!A:D,4,0)</f>
        <v>92.939499999999995</v>
      </c>
      <c r="D934" s="57" t="s">
        <v>2062</v>
      </c>
      <c r="E934" s="55" t="s">
        <v>50</v>
      </c>
      <c r="F934" s="58">
        <v>1600</v>
      </c>
      <c r="G934" s="58">
        <v>1617.68</v>
      </c>
      <c r="H934" s="56">
        <v>0</v>
      </c>
      <c r="I934" s="58">
        <f t="shared" si="105"/>
        <v>17.680000000000064</v>
      </c>
      <c r="J934" s="14">
        <f t="shared" si="110"/>
        <v>1.105000000000004</v>
      </c>
      <c r="K934" s="56">
        <v>1.87</v>
      </c>
      <c r="L934" s="15">
        <f t="shared" si="106"/>
        <v>0</v>
      </c>
      <c r="M934" s="16">
        <f t="shared" si="107"/>
        <v>173.796865</v>
      </c>
      <c r="N934" s="17">
        <f t="shared" si="112"/>
        <v>1.87</v>
      </c>
      <c r="O934" s="17">
        <f t="shared" si="108"/>
        <v>2992</v>
      </c>
      <c r="P934" s="18">
        <f t="shared" si="109"/>
        <v>278074.984</v>
      </c>
      <c r="R934" s="66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>
      <c r="A935" s="54"/>
      <c r="B935" s="74">
        <v>45960</v>
      </c>
      <c r="C935" s="11">
        <f>VLOOKUP(B:B,'Курс валют'!A:D,4,0)</f>
        <v>92.246600000000001</v>
      </c>
      <c r="D935" s="57" t="s">
        <v>2063</v>
      </c>
      <c r="E935" s="55" t="s">
        <v>15</v>
      </c>
      <c r="F935" s="58">
        <v>220</v>
      </c>
      <c r="G935" s="58">
        <v>222</v>
      </c>
      <c r="H935" s="56">
        <v>97.2</v>
      </c>
      <c r="I935" s="58">
        <f t="shared" si="105"/>
        <v>2</v>
      </c>
      <c r="J935" s="14">
        <f t="shared" si="110"/>
        <v>0.90909090909090906</v>
      </c>
      <c r="K935" s="56">
        <v>3.46</v>
      </c>
      <c r="L935" s="15">
        <f t="shared" si="106"/>
        <v>44.18181818181818</v>
      </c>
      <c r="M935" s="16">
        <f t="shared" si="107"/>
        <v>195.2743117236364</v>
      </c>
      <c r="N935" s="17">
        <f t="shared" si="112"/>
        <v>2.1168727272727277</v>
      </c>
      <c r="O935" s="17">
        <f t="shared" si="108"/>
        <v>465.7120000000001</v>
      </c>
      <c r="P935" s="18">
        <f t="shared" si="109"/>
        <v>42960.348579200006</v>
      </c>
      <c r="R935" s="66" t="s">
        <v>2064</v>
      </c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>
      <c r="A936" s="54"/>
      <c r="B936" s="10">
        <v>45960</v>
      </c>
      <c r="C936" s="11">
        <f>VLOOKUP(B:B,'Курс валют'!A:D,4,0)</f>
        <v>92.246600000000001</v>
      </c>
      <c r="D936" s="57" t="s">
        <v>2065</v>
      </c>
      <c r="E936" s="55" t="s">
        <v>207</v>
      </c>
      <c r="F936" s="58">
        <v>20</v>
      </c>
      <c r="G936" s="58">
        <v>22</v>
      </c>
      <c r="H936" s="56">
        <v>0</v>
      </c>
      <c r="I936" s="58">
        <f t="shared" si="105"/>
        <v>2</v>
      </c>
      <c r="J936" s="14">
        <f t="shared" si="110"/>
        <v>10</v>
      </c>
      <c r="K936" s="56">
        <v>2.87</v>
      </c>
      <c r="L936" s="15">
        <f t="shared" si="106"/>
        <v>0</v>
      </c>
      <c r="M936" s="16">
        <f t="shared" si="107"/>
        <v>264.74774200000002</v>
      </c>
      <c r="N936" s="17">
        <f t="shared" si="112"/>
        <v>2.87</v>
      </c>
      <c r="O936" s="17">
        <f t="shared" si="108"/>
        <v>57.400000000000006</v>
      </c>
      <c r="P936" s="18">
        <f t="shared" si="109"/>
        <v>5294.9548400000003</v>
      </c>
      <c r="R936" s="66" t="s">
        <v>2066</v>
      </c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>
      <c r="A937" s="54"/>
      <c r="B937" s="10">
        <v>45960</v>
      </c>
      <c r="C937" s="11">
        <f>VLOOKUP(B:B,'Курс валют'!A:D,4,0)</f>
        <v>92.246600000000001</v>
      </c>
      <c r="D937" s="57" t="s">
        <v>2067</v>
      </c>
      <c r="E937" s="55" t="s">
        <v>50</v>
      </c>
      <c r="F937" s="58">
        <v>200</v>
      </c>
      <c r="G937" s="58">
        <v>202</v>
      </c>
      <c r="H937" s="56">
        <v>0</v>
      </c>
      <c r="I937" s="58">
        <f t="shared" si="105"/>
        <v>2</v>
      </c>
      <c r="J937" s="14">
        <f t="shared" si="110"/>
        <v>1</v>
      </c>
      <c r="K937" s="56">
        <v>1.88</v>
      </c>
      <c r="L937" s="15">
        <f t="shared" si="106"/>
        <v>0</v>
      </c>
      <c r="M937" s="16">
        <f t="shared" si="107"/>
        <v>173.42360799999997</v>
      </c>
      <c r="N937" s="17">
        <f t="shared" si="112"/>
        <v>1.88</v>
      </c>
      <c r="O937" s="17">
        <f t="shared" si="108"/>
        <v>376</v>
      </c>
      <c r="P937" s="18">
        <f t="shared" si="109"/>
        <v>34684.721599999997</v>
      </c>
      <c r="R937" s="66" t="s">
        <v>2066</v>
      </c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>
      <c r="A938" s="54"/>
      <c r="B938" s="10">
        <v>45960</v>
      </c>
      <c r="C938" s="11">
        <f>VLOOKUP(B:B,'Курс валют'!A:D,4,0)</f>
        <v>92.246600000000001</v>
      </c>
      <c r="D938" s="57" t="s">
        <v>2068</v>
      </c>
      <c r="E938" s="55" t="s">
        <v>50</v>
      </c>
      <c r="F938" s="58">
        <v>3200</v>
      </c>
      <c r="G938" s="58">
        <v>3208.16</v>
      </c>
      <c r="H938" s="56">
        <v>0</v>
      </c>
      <c r="I938" s="58">
        <f t="shared" si="105"/>
        <v>8.1599999999998545</v>
      </c>
      <c r="J938" s="14">
        <f t="shared" si="110"/>
        <v>0.25499999999999545</v>
      </c>
      <c r="K938" s="56">
        <v>1.88</v>
      </c>
      <c r="L938" s="15">
        <f t="shared" si="106"/>
        <v>0</v>
      </c>
      <c r="M938" s="16">
        <f t="shared" si="107"/>
        <v>173.42360799999997</v>
      </c>
      <c r="N938" s="17">
        <f t="shared" si="112"/>
        <v>1.88</v>
      </c>
      <c r="O938" s="17">
        <f t="shared" si="108"/>
        <v>6016</v>
      </c>
      <c r="P938" s="18">
        <f t="shared" si="109"/>
        <v>554955.54559999995</v>
      </c>
      <c r="R938" s="66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>
      <c r="A939" s="54"/>
      <c r="B939" s="10">
        <v>45960</v>
      </c>
      <c r="C939" s="11">
        <f>VLOOKUP(B:B,'Курс валют'!A:D,4,0)</f>
        <v>92.246600000000001</v>
      </c>
      <c r="D939" s="57" t="s">
        <v>2069</v>
      </c>
      <c r="E939" s="55" t="s">
        <v>66</v>
      </c>
      <c r="F939" s="58">
        <v>4000</v>
      </c>
      <c r="G939" s="58">
        <v>4013.65</v>
      </c>
      <c r="H939" s="56">
        <v>0</v>
      </c>
      <c r="I939" s="58">
        <f t="shared" si="105"/>
        <v>13.650000000000091</v>
      </c>
      <c r="J939" s="14">
        <f t="shared" si="110"/>
        <v>0.34125000000000227</v>
      </c>
      <c r="K939" s="56">
        <v>1.91</v>
      </c>
      <c r="L939" s="15">
        <f t="shared" si="106"/>
        <v>0</v>
      </c>
      <c r="M939" s="16">
        <f t="shared" si="107"/>
        <v>176.19100599999999</v>
      </c>
      <c r="N939" s="17">
        <f t="shared" si="112"/>
        <v>1.91</v>
      </c>
      <c r="O939" s="17">
        <f t="shared" si="108"/>
        <v>7640</v>
      </c>
      <c r="P939" s="18">
        <f t="shared" si="109"/>
        <v>704764.02399999998</v>
      </c>
      <c r="R939" s="66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>
      <c r="A940" s="54"/>
      <c r="B940" s="10">
        <v>45961</v>
      </c>
      <c r="C940" s="11">
        <f>VLOOKUP(B:B,'Курс валют'!A:D,4,0)</f>
        <v>93.389399999999995</v>
      </c>
      <c r="D940" s="57" t="s">
        <v>2070</v>
      </c>
      <c r="E940" s="64" t="s">
        <v>50</v>
      </c>
      <c r="F940" s="58">
        <v>8000</v>
      </c>
      <c r="G940" s="58">
        <v>8020.5</v>
      </c>
      <c r="H940" s="56">
        <v>0</v>
      </c>
      <c r="I940" s="58">
        <f t="shared" si="105"/>
        <v>20.5</v>
      </c>
      <c r="J940" s="14">
        <f t="shared" si="110"/>
        <v>0.25625000000000003</v>
      </c>
      <c r="K940" s="56">
        <v>1.87</v>
      </c>
      <c r="L940" s="15">
        <f t="shared" si="106"/>
        <v>0</v>
      </c>
      <c r="M940" s="16">
        <f t="shared" si="107"/>
        <v>174.63817799999998</v>
      </c>
      <c r="N940" s="17">
        <f t="shared" si="112"/>
        <v>1.87</v>
      </c>
      <c r="O940" s="17">
        <f t="shared" si="108"/>
        <v>14960</v>
      </c>
      <c r="P940" s="18">
        <f t="shared" si="109"/>
        <v>1397105.4239999999</v>
      </c>
      <c r="R940" s="66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>
      <c r="A941" s="54"/>
      <c r="B941" s="10">
        <v>45961</v>
      </c>
      <c r="C941" s="11">
        <f>VLOOKUP(B:B,'Курс валют'!A:D,4,0)</f>
        <v>93.389399999999995</v>
      </c>
      <c r="D941" s="57" t="s">
        <v>2071</v>
      </c>
      <c r="E941" s="55" t="s">
        <v>119</v>
      </c>
      <c r="F941" s="58">
        <v>115.9</v>
      </c>
      <c r="G941" s="58">
        <v>120</v>
      </c>
      <c r="H941" s="56">
        <v>0</v>
      </c>
      <c r="I941" s="58">
        <f t="shared" si="105"/>
        <v>4.0999999999999943</v>
      </c>
      <c r="J941" s="14">
        <f t="shared" si="110"/>
        <v>3.5375323554788562</v>
      </c>
      <c r="K941" s="56">
        <v>1.98</v>
      </c>
      <c r="L941" s="15">
        <f t="shared" si="106"/>
        <v>0</v>
      </c>
      <c r="M941" s="16">
        <f t="shared" si="107"/>
        <v>184.911012</v>
      </c>
      <c r="N941" s="17">
        <f t="shared" si="112"/>
        <v>1.98</v>
      </c>
      <c r="O941" s="17">
        <f t="shared" si="108"/>
        <v>229.482</v>
      </c>
      <c r="P941" s="18">
        <f t="shared" si="109"/>
        <v>21431.1862908</v>
      </c>
      <c r="R941" s="66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>
      <c r="A942" s="54"/>
      <c r="B942" s="10">
        <v>45961</v>
      </c>
      <c r="C942" s="11">
        <f>VLOOKUP(B:B,'Курс валют'!A:D,4,0)</f>
        <v>93.389399999999995</v>
      </c>
      <c r="D942" s="57" t="s">
        <v>2072</v>
      </c>
      <c r="E942" s="55" t="s">
        <v>119</v>
      </c>
      <c r="F942" s="58">
        <v>115.9</v>
      </c>
      <c r="G942" s="58">
        <v>120</v>
      </c>
      <c r="H942" s="56">
        <v>0</v>
      </c>
      <c r="I942" s="58">
        <f t="shared" si="105"/>
        <v>4.0999999999999943</v>
      </c>
      <c r="J942" s="14">
        <f t="shared" si="110"/>
        <v>3.5375323554788562</v>
      </c>
      <c r="K942" s="56">
        <v>1.98</v>
      </c>
      <c r="L942" s="15">
        <f t="shared" si="106"/>
        <v>0</v>
      </c>
      <c r="M942" s="16">
        <f t="shared" si="107"/>
        <v>184.911012</v>
      </c>
      <c r="N942" s="17">
        <f t="shared" si="112"/>
        <v>1.98</v>
      </c>
      <c r="O942" s="17">
        <f t="shared" si="108"/>
        <v>229.482</v>
      </c>
      <c r="P942" s="18">
        <f t="shared" si="109"/>
        <v>21431.1862908</v>
      </c>
      <c r="R942" s="66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>
      <c r="A943" s="10"/>
      <c r="B943" s="10">
        <v>45962</v>
      </c>
      <c r="C943" s="11">
        <f>VLOOKUP(B:B,'Курс валют'!A:D,4,0)</f>
        <v>93.389300000000006</v>
      </c>
      <c r="D943" s="45" t="s">
        <v>1819</v>
      </c>
      <c r="E943" s="62" t="s">
        <v>15</v>
      </c>
      <c r="F943" s="11">
        <v>11000</v>
      </c>
      <c r="G943" s="11">
        <v>11094</v>
      </c>
      <c r="H943" s="56">
        <v>4840</v>
      </c>
      <c r="I943" s="58">
        <f t="shared" ref="I943:I1006" si="113">G943-F943</f>
        <v>94</v>
      </c>
      <c r="J943" s="14">
        <f t="shared" si="110"/>
        <v>0.8545454545454545</v>
      </c>
      <c r="K943" s="46">
        <v>3.6</v>
      </c>
      <c r="L943" s="15">
        <f t="shared" ref="L943:L1006" si="114">H943/F943*100</f>
        <v>44</v>
      </c>
      <c r="M943" s="16">
        <f t="shared" ref="M943:M1006" si="115">P943/F943</f>
        <v>211.28395232</v>
      </c>
      <c r="N943" s="17">
        <f t="shared" si="112"/>
        <v>2.2624</v>
      </c>
      <c r="O943" s="17">
        <f t="shared" ref="O943:O1006" si="116">N943*F943</f>
        <v>24886.399999999998</v>
      </c>
      <c r="P943" s="18">
        <f t="shared" ref="P943:P1006" si="117">O943*C943</f>
        <v>2324123.4755199999</v>
      </c>
      <c r="R943" s="66"/>
      <c r="S943" s="19"/>
      <c r="T943" s="20"/>
      <c r="U943" s="20"/>
      <c r="V943" s="20"/>
      <c r="W943" s="20"/>
      <c r="X943" s="20"/>
      <c r="Y943" s="20"/>
      <c r="Z943" s="20"/>
      <c r="AA943" s="20"/>
    </row>
    <row r="944" spans="1:27" ht="12.75">
      <c r="A944" s="10"/>
      <c r="B944" s="71">
        <v>45963</v>
      </c>
      <c r="C944" s="11">
        <f>VLOOKUP(B:B,'Курс валют'!A:D,4,0)</f>
        <v>93.384799999999998</v>
      </c>
      <c r="D944" s="57" t="s">
        <v>1820</v>
      </c>
      <c r="E944" s="12" t="s">
        <v>56</v>
      </c>
      <c r="F944" s="58">
        <v>2000</v>
      </c>
      <c r="G944" s="58">
        <v>2024.96</v>
      </c>
      <c r="H944" s="56">
        <v>0</v>
      </c>
      <c r="I944" s="58">
        <f t="shared" si="113"/>
        <v>24.960000000000036</v>
      </c>
      <c r="J944" s="14">
        <f t="shared" si="110"/>
        <v>1.248000000000002</v>
      </c>
      <c r="K944" s="56">
        <v>2.2999999999999998</v>
      </c>
      <c r="L944" s="15">
        <f t="shared" si="114"/>
        <v>0</v>
      </c>
      <c r="M944" s="16">
        <f t="shared" si="115"/>
        <v>214.78504000000001</v>
      </c>
      <c r="N944" s="17">
        <f t="shared" si="112"/>
        <v>2.2999999999999998</v>
      </c>
      <c r="O944" s="17">
        <f t="shared" si="116"/>
        <v>4600</v>
      </c>
      <c r="P944" s="18">
        <f t="shared" si="117"/>
        <v>429570.08</v>
      </c>
      <c r="R944" s="66"/>
      <c r="S944" s="19"/>
      <c r="T944" s="20"/>
      <c r="U944" s="20"/>
      <c r="V944" s="20"/>
      <c r="W944" s="20"/>
      <c r="X944" s="20"/>
      <c r="Y944" s="20"/>
      <c r="Z944" s="20"/>
      <c r="AA944" s="20"/>
    </row>
    <row r="945" spans="1:27" ht="12.75">
      <c r="A945" s="10"/>
      <c r="B945" s="10">
        <v>45963</v>
      </c>
      <c r="C945" s="11">
        <f>VLOOKUP(B:B,'Курс валют'!A:D,4,0)</f>
        <v>93.384799999999998</v>
      </c>
      <c r="D945" s="57" t="s">
        <v>1821</v>
      </c>
      <c r="E945" s="12" t="s">
        <v>15</v>
      </c>
      <c r="F945" s="58">
        <v>11000</v>
      </c>
      <c r="G945" s="58">
        <v>11094</v>
      </c>
      <c r="H945" s="56">
        <v>4840</v>
      </c>
      <c r="I945" s="58">
        <f t="shared" si="113"/>
        <v>94</v>
      </c>
      <c r="J945" s="14">
        <f t="shared" si="110"/>
        <v>0.8545454545454545</v>
      </c>
      <c r="K945" s="56">
        <v>3.67</v>
      </c>
      <c r="L945" s="15">
        <f t="shared" si="114"/>
        <v>44</v>
      </c>
      <c r="M945" s="16">
        <f t="shared" si="115"/>
        <v>217.81070751999999</v>
      </c>
      <c r="N945" s="17">
        <f t="shared" si="112"/>
        <v>2.3324000000000003</v>
      </c>
      <c r="O945" s="17">
        <f t="shared" si="116"/>
        <v>25656.400000000001</v>
      </c>
      <c r="P945" s="18">
        <f t="shared" si="117"/>
        <v>2395917.78272</v>
      </c>
      <c r="R945" s="66"/>
      <c r="S945" s="19"/>
      <c r="T945" s="20"/>
      <c r="U945" s="20"/>
      <c r="V945" s="20"/>
      <c r="W945" s="20"/>
      <c r="X945" s="20"/>
      <c r="Y945" s="20"/>
      <c r="Z945" s="20"/>
      <c r="AA945" s="20"/>
    </row>
    <row r="946" spans="1:27" ht="12.75">
      <c r="A946" s="10"/>
      <c r="B946" s="71">
        <v>45964</v>
      </c>
      <c r="C946" s="11">
        <f>VLOOKUP(B:B,'Курс валют'!A:D,4,0)</f>
        <v>93.384799999999998</v>
      </c>
      <c r="D946" s="57" t="s">
        <v>1822</v>
      </c>
      <c r="E946" s="26" t="s">
        <v>56</v>
      </c>
      <c r="F946" s="58">
        <v>2000</v>
      </c>
      <c r="G946" s="58">
        <v>2024.96</v>
      </c>
      <c r="H946" s="56">
        <v>0</v>
      </c>
      <c r="I946" s="58">
        <f t="shared" si="113"/>
        <v>24.960000000000036</v>
      </c>
      <c r="J946" s="14">
        <f t="shared" si="110"/>
        <v>1.248000000000002</v>
      </c>
      <c r="K946" s="56">
        <v>2.2999999999999998</v>
      </c>
      <c r="L946" s="15">
        <f t="shared" si="114"/>
        <v>0</v>
      </c>
      <c r="M946" s="16">
        <f t="shared" si="115"/>
        <v>214.78504000000001</v>
      </c>
      <c r="N946" s="17">
        <f t="shared" si="112"/>
        <v>2.2999999999999998</v>
      </c>
      <c r="O946" s="17">
        <f t="shared" si="116"/>
        <v>4600</v>
      </c>
      <c r="P946" s="18">
        <f t="shared" si="117"/>
        <v>429570.08</v>
      </c>
      <c r="R946" s="66"/>
      <c r="S946" s="19"/>
      <c r="T946" s="20"/>
      <c r="U946" s="20"/>
      <c r="V946" s="20"/>
      <c r="W946" s="20"/>
      <c r="X946" s="20"/>
      <c r="Y946" s="20"/>
      <c r="Z946" s="20"/>
      <c r="AA946" s="20"/>
    </row>
    <row r="947" spans="1:27" ht="12.75">
      <c r="A947" s="10"/>
      <c r="B947" s="10">
        <v>45964</v>
      </c>
      <c r="C947" s="11">
        <f>VLOOKUP(B:B,'Курс валют'!A:D,4,0)</f>
        <v>93.384799999999998</v>
      </c>
      <c r="D947" s="57" t="s">
        <v>1823</v>
      </c>
      <c r="E947" s="26" t="s">
        <v>15</v>
      </c>
      <c r="F947" s="58">
        <v>11000</v>
      </c>
      <c r="G947" s="58">
        <v>11094</v>
      </c>
      <c r="H947" s="56">
        <v>4838.5</v>
      </c>
      <c r="I947" s="58">
        <f t="shared" si="113"/>
        <v>94</v>
      </c>
      <c r="J947" s="14">
        <f t="shared" si="110"/>
        <v>0.8545454545454545</v>
      </c>
      <c r="K947" s="56">
        <v>3.68</v>
      </c>
      <c r="L947" s="15">
        <f t="shared" si="114"/>
        <v>43.986363636363635</v>
      </c>
      <c r="M947" s="16">
        <f t="shared" si="115"/>
        <v>218.78326776436361</v>
      </c>
      <c r="N947" s="17">
        <f t="shared" si="112"/>
        <v>2.3428145454545453</v>
      </c>
      <c r="O947" s="17">
        <f t="shared" si="116"/>
        <v>25770.959999999999</v>
      </c>
      <c r="P947" s="18">
        <f t="shared" si="117"/>
        <v>2406615.9454079997</v>
      </c>
      <c r="R947" s="66"/>
      <c r="S947" s="19"/>
      <c r="T947" s="20"/>
      <c r="U947" s="20"/>
      <c r="V947" s="20"/>
      <c r="W947" s="20"/>
      <c r="X947" s="20"/>
      <c r="Y947" s="20"/>
      <c r="Z947" s="20"/>
      <c r="AA947" s="20"/>
    </row>
    <row r="948" spans="1:27" ht="12.75">
      <c r="A948" s="10"/>
      <c r="B948" s="71">
        <v>45965</v>
      </c>
      <c r="C948" s="11">
        <f>VLOOKUP(B:B,'Курс валют'!A:D,4,0)</f>
        <v>93.384799999999998</v>
      </c>
      <c r="D948" s="57" t="s">
        <v>1824</v>
      </c>
      <c r="E948" s="26" t="s">
        <v>56</v>
      </c>
      <c r="F948" s="58">
        <v>2000</v>
      </c>
      <c r="G948" s="58">
        <v>2024.96</v>
      </c>
      <c r="H948" s="56">
        <v>0</v>
      </c>
      <c r="I948" s="58">
        <f t="shared" si="113"/>
        <v>24.960000000000036</v>
      </c>
      <c r="J948" s="14">
        <f t="shared" si="110"/>
        <v>1.248000000000002</v>
      </c>
      <c r="K948" s="56">
        <v>2.2999999999999998</v>
      </c>
      <c r="L948" s="15">
        <f t="shared" si="114"/>
        <v>0</v>
      </c>
      <c r="M948" s="16">
        <f t="shared" si="115"/>
        <v>214.78504000000001</v>
      </c>
      <c r="N948" s="17">
        <f t="shared" si="112"/>
        <v>2.2999999999999998</v>
      </c>
      <c r="O948" s="17">
        <f t="shared" si="116"/>
        <v>4600</v>
      </c>
      <c r="P948" s="18">
        <f t="shared" si="117"/>
        <v>429570.08</v>
      </c>
      <c r="R948" s="66"/>
      <c r="S948" s="19"/>
      <c r="T948" s="20"/>
      <c r="U948" s="20"/>
      <c r="V948" s="20"/>
      <c r="W948" s="20"/>
      <c r="X948" s="20"/>
      <c r="Y948" s="20"/>
      <c r="Z948" s="20"/>
      <c r="AA948" s="20"/>
    </row>
    <row r="949" spans="1:27" ht="12.75">
      <c r="A949" s="10"/>
      <c r="B949" s="10">
        <v>45965</v>
      </c>
      <c r="C949" s="11">
        <f>VLOOKUP(B:B,'Курс валют'!A:D,4,0)</f>
        <v>93.384799999999998</v>
      </c>
      <c r="D949" s="57" t="s">
        <v>1825</v>
      </c>
      <c r="E949" s="21" t="s">
        <v>15</v>
      </c>
      <c r="F949" s="58">
        <v>11000</v>
      </c>
      <c r="G949" s="58">
        <v>11094</v>
      </c>
      <c r="H949" s="56">
        <v>4840</v>
      </c>
      <c r="I949" s="58">
        <f t="shared" si="113"/>
        <v>94</v>
      </c>
      <c r="J949" s="14">
        <f t="shared" si="110"/>
        <v>0.8545454545454545</v>
      </c>
      <c r="K949" s="56">
        <v>3.68</v>
      </c>
      <c r="L949" s="15">
        <f t="shared" si="114"/>
        <v>44</v>
      </c>
      <c r="M949" s="16">
        <f t="shared" si="115"/>
        <v>218.74455552000003</v>
      </c>
      <c r="N949" s="17">
        <f t="shared" si="112"/>
        <v>2.3424</v>
      </c>
      <c r="O949" s="17">
        <f t="shared" si="116"/>
        <v>25766.400000000001</v>
      </c>
      <c r="P949" s="18">
        <f t="shared" si="117"/>
        <v>2406190.1107200002</v>
      </c>
      <c r="R949" s="66"/>
      <c r="S949" s="19"/>
      <c r="T949" s="20"/>
      <c r="U949" s="20"/>
      <c r="V949" s="20"/>
      <c r="W949" s="20"/>
      <c r="X949" s="20"/>
      <c r="Y949" s="20"/>
      <c r="Z949" s="20"/>
      <c r="AA949" s="20"/>
    </row>
    <row r="950" spans="1:27" ht="12.75">
      <c r="A950" s="10"/>
      <c r="B950" s="71">
        <v>45966</v>
      </c>
      <c r="C950" s="11">
        <f>VLOOKUP(B:B,'Курс валют'!A:D,4,0)</f>
        <v>93.384799999999998</v>
      </c>
      <c r="D950" s="57" t="s">
        <v>1826</v>
      </c>
      <c r="E950" s="21" t="s">
        <v>56</v>
      </c>
      <c r="F950" s="58">
        <v>2000</v>
      </c>
      <c r="G950" s="58">
        <v>2024.96</v>
      </c>
      <c r="H950" s="56">
        <v>0</v>
      </c>
      <c r="I950" s="58">
        <f t="shared" si="113"/>
        <v>24.960000000000036</v>
      </c>
      <c r="J950" s="14">
        <f t="shared" si="110"/>
        <v>1.248000000000002</v>
      </c>
      <c r="K950" s="56">
        <v>2.2999999999999998</v>
      </c>
      <c r="L950" s="15">
        <f t="shared" si="114"/>
        <v>0</v>
      </c>
      <c r="M950" s="16">
        <f t="shared" si="115"/>
        <v>214.78504000000001</v>
      </c>
      <c r="N950" s="17">
        <f t="shared" si="112"/>
        <v>2.2999999999999998</v>
      </c>
      <c r="O950" s="17">
        <f t="shared" si="116"/>
        <v>4600</v>
      </c>
      <c r="P950" s="18">
        <f t="shared" si="117"/>
        <v>429570.08</v>
      </c>
      <c r="R950" s="66"/>
      <c r="S950" s="19"/>
      <c r="T950" s="20"/>
      <c r="U950" s="20"/>
      <c r="V950" s="20"/>
      <c r="W950" s="20"/>
      <c r="X950" s="20"/>
      <c r="Y950" s="20"/>
      <c r="Z950" s="20"/>
      <c r="AA950" s="20"/>
    </row>
    <row r="951" spans="1:27" ht="12.75">
      <c r="A951" s="10"/>
      <c r="B951" s="72">
        <v>45966</v>
      </c>
      <c r="C951" s="11">
        <f>VLOOKUP(B:B,'Курс валют'!A:D,4,0)</f>
        <v>93.384799999999998</v>
      </c>
      <c r="D951" s="57" t="s">
        <v>1827</v>
      </c>
      <c r="E951" s="21" t="s">
        <v>58</v>
      </c>
      <c r="F951" s="58">
        <v>11000</v>
      </c>
      <c r="G951" s="58">
        <v>11133</v>
      </c>
      <c r="H951" s="56">
        <v>4381</v>
      </c>
      <c r="I951" s="58">
        <f t="shared" si="113"/>
        <v>133</v>
      </c>
      <c r="J951" s="14">
        <f t="shared" si="110"/>
        <v>1.2090909090909092</v>
      </c>
      <c r="K951" s="56">
        <v>3.59</v>
      </c>
      <c r="L951" s="15">
        <f t="shared" si="114"/>
        <v>39.827272727272728</v>
      </c>
      <c r="M951" s="16">
        <f t="shared" si="115"/>
        <v>222.18587029527271</v>
      </c>
      <c r="N951" s="17">
        <f t="shared" si="112"/>
        <v>2.3792509090909091</v>
      </c>
      <c r="O951" s="17">
        <f t="shared" si="116"/>
        <v>26171.759999999998</v>
      </c>
      <c r="P951" s="18">
        <f t="shared" si="117"/>
        <v>2444044.5732479999</v>
      </c>
      <c r="R951" s="66"/>
      <c r="S951" s="19"/>
      <c r="T951" s="20"/>
      <c r="U951" s="20"/>
      <c r="V951" s="20"/>
      <c r="W951" s="20"/>
      <c r="X951" s="20"/>
      <c r="Y951" s="20"/>
      <c r="Z951" s="20"/>
      <c r="AA951" s="20"/>
    </row>
    <row r="952" spans="1:27" ht="12.75">
      <c r="A952" s="10"/>
      <c r="B952" s="10">
        <v>45967</v>
      </c>
      <c r="C952" s="11">
        <f>VLOOKUP(B:B,'Курс валют'!A:D,4,0)</f>
        <v>93.513099999999994</v>
      </c>
      <c r="D952" s="57" t="s">
        <v>1828</v>
      </c>
      <c r="E952" s="68" t="s">
        <v>15</v>
      </c>
      <c r="F952" s="58">
        <v>1100</v>
      </c>
      <c r="G952" s="58">
        <v>1112.3</v>
      </c>
      <c r="H952" s="56">
        <v>484</v>
      </c>
      <c r="I952" s="58">
        <f t="shared" si="113"/>
        <v>12.299999999999955</v>
      </c>
      <c r="J952" s="14">
        <f t="shared" si="110"/>
        <v>1.1181818181818139</v>
      </c>
      <c r="K952" s="56">
        <v>3.69</v>
      </c>
      <c r="L952" s="15">
        <f t="shared" si="114"/>
        <v>44</v>
      </c>
      <c r="M952" s="16">
        <f t="shared" si="115"/>
        <v>219.98021643999999</v>
      </c>
      <c r="N952" s="17">
        <f t="shared" si="112"/>
        <v>2.3523999999999998</v>
      </c>
      <c r="O952" s="17">
        <f t="shared" si="116"/>
        <v>2587.64</v>
      </c>
      <c r="P952" s="18">
        <f t="shared" si="117"/>
        <v>241978.23808399998</v>
      </c>
      <c r="R952" s="66" t="s">
        <v>1829</v>
      </c>
      <c r="S952" s="19"/>
      <c r="T952" s="20"/>
      <c r="U952" s="20"/>
      <c r="V952" s="20"/>
      <c r="W952" s="20"/>
      <c r="X952" s="20"/>
      <c r="Y952" s="20"/>
      <c r="Z952" s="20"/>
      <c r="AA952" s="20"/>
    </row>
    <row r="953" spans="1:27" ht="12.75">
      <c r="A953" s="10"/>
      <c r="B953" s="10">
        <v>45967</v>
      </c>
      <c r="C953" s="11">
        <f>VLOOKUP(B:B,'Курс валют'!A:D,4,0)</f>
        <v>93.513099999999994</v>
      </c>
      <c r="D953" s="57" t="s">
        <v>1830</v>
      </c>
      <c r="E953" s="21" t="s">
        <v>51</v>
      </c>
      <c r="F953" s="58">
        <v>6400</v>
      </c>
      <c r="G953" s="58">
        <v>6432.4</v>
      </c>
      <c r="H953" s="22">
        <v>0</v>
      </c>
      <c r="I953" s="58">
        <f t="shared" si="113"/>
        <v>32.399999999999636</v>
      </c>
      <c r="J953" s="14">
        <f t="shared" ref="J953:J1016" si="118">I953/F953*100</f>
        <v>0.50624999999999432</v>
      </c>
      <c r="K953" s="56">
        <v>1.92</v>
      </c>
      <c r="L953" s="15">
        <f t="shared" si="114"/>
        <v>0</v>
      </c>
      <c r="M953" s="16">
        <f t="shared" si="115"/>
        <v>179.54515199999997</v>
      </c>
      <c r="N953" s="17">
        <f t="shared" si="112"/>
        <v>1.92</v>
      </c>
      <c r="O953" s="17">
        <f t="shared" si="116"/>
        <v>12288</v>
      </c>
      <c r="P953" s="18">
        <f t="shared" si="117"/>
        <v>1149088.9727999999</v>
      </c>
      <c r="R953" s="66"/>
      <c r="S953" s="19"/>
      <c r="T953" s="20"/>
      <c r="U953" s="20"/>
      <c r="V953" s="20"/>
      <c r="W953" s="20"/>
      <c r="X953" s="20"/>
      <c r="Y953" s="20"/>
      <c r="Z953" s="20"/>
      <c r="AA953" s="20"/>
    </row>
    <row r="954" spans="1:27" ht="12.75">
      <c r="A954" s="10"/>
      <c r="B954" s="71">
        <v>45967</v>
      </c>
      <c r="C954" s="11">
        <f>VLOOKUP(B:B,'Курс валют'!A:D,4,0)</f>
        <v>93.513099999999994</v>
      </c>
      <c r="D954" s="57" t="s">
        <v>1831</v>
      </c>
      <c r="E954" s="21" t="s">
        <v>70</v>
      </c>
      <c r="F954" s="58">
        <v>2000</v>
      </c>
      <c r="G954" s="58">
        <v>2024.96</v>
      </c>
      <c r="H954" s="56">
        <v>298.69</v>
      </c>
      <c r="I954" s="58">
        <f t="shared" si="113"/>
        <v>24.960000000000036</v>
      </c>
      <c r="J954" s="14">
        <f t="shared" si="118"/>
        <v>1.248000000000002</v>
      </c>
      <c r="K954" s="56">
        <v>2.42</v>
      </c>
      <c r="L954" s="15">
        <f t="shared" si="114"/>
        <v>14.9345</v>
      </c>
      <c r="M954" s="16">
        <f t="shared" si="115"/>
        <v>183.84593168471997</v>
      </c>
      <c r="N954" s="17">
        <f t="shared" si="112"/>
        <v>1.9659911999999999</v>
      </c>
      <c r="O954" s="17">
        <f t="shared" si="116"/>
        <v>3931.9823999999999</v>
      </c>
      <c r="P954" s="18">
        <f t="shared" si="117"/>
        <v>367691.86336943996</v>
      </c>
      <c r="R954" s="66" t="s">
        <v>1832</v>
      </c>
      <c r="S954" s="19"/>
      <c r="T954" s="20"/>
      <c r="U954" s="20"/>
      <c r="V954" s="20"/>
      <c r="W954" s="20"/>
      <c r="X954" s="20"/>
      <c r="Y954" s="20"/>
      <c r="Z954" s="20"/>
      <c r="AA954" s="20"/>
    </row>
    <row r="955" spans="1:27" ht="12.75">
      <c r="A955" s="10"/>
      <c r="B955" s="10">
        <v>45968</v>
      </c>
      <c r="C955" s="11">
        <f>VLOOKUP(B:B,'Курс валют'!A:D,4,0)</f>
        <v>93.764099999999999</v>
      </c>
      <c r="D955" s="57" t="s">
        <v>1833</v>
      </c>
      <c r="E955" s="21" t="s">
        <v>51</v>
      </c>
      <c r="F955" s="58">
        <v>4000</v>
      </c>
      <c r="G955" s="58">
        <v>4018.55</v>
      </c>
      <c r="H955" s="56">
        <v>0</v>
      </c>
      <c r="I955" s="58">
        <f t="shared" si="113"/>
        <v>18.550000000000182</v>
      </c>
      <c r="J955" s="14">
        <f t="shared" si="118"/>
        <v>0.46375000000000455</v>
      </c>
      <c r="K955" s="56">
        <v>1.91</v>
      </c>
      <c r="L955" s="15">
        <f t="shared" si="114"/>
        <v>0</v>
      </c>
      <c r="M955" s="16">
        <f t="shared" si="115"/>
        <v>179.08943100000002</v>
      </c>
      <c r="N955" s="17">
        <f t="shared" si="112"/>
        <v>1.91</v>
      </c>
      <c r="O955" s="17">
        <f t="shared" si="116"/>
        <v>7640</v>
      </c>
      <c r="P955" s="18">
        <f t="shared" si="117"/>
        <v>716357.72400000005</v>
      </c>
      <c r="R955" s="66"/>
      <c r="S955" s="19"/>
      <c r="T955" s="20"/>
      <c r="U955" s="20"/>
      <c r="V955" s="20"/>
      <c r="W955" s="20"/>
      <c r="X955" s="20"/>
      <c r="Y955" s="20"/>
      <c r="Z955" s="20"/>
      <c r="AA955" s="20"/>
    </row>
    <row r="956" spans="1:27" ht="12.75">
      <c r="A956" s="10"/>
      <c r="B956" s="73">
        <v>45968</v>
      </c>
      <c r="C956" s="11">
        <f>VLOOKUP(B:B,'Курс валют'!A:D,4,0)</f>
        <v>93.764099999999999</v>
      </c>
      <c r="D956" s="57" t="s">
        <v>1834</v>
      </c>
      <c r="E956" s="21" t="s">
        <v>78</v>
      </c>
      <c r="F956" s="58">
        <v>2000</v>
      </c>
      <c r="G956" s="58">
        <v>2024.15</v>
      </c>
      <c r="H956" s="56">
        <v>0</v>
      </c>
      <c r="I956" s="58">
        <f t="shared" si="113"/>
        <v>24.150000000000091</v>
      </c>
      <c r="J956" s="14">
        <f t="shared" si="118"/>
        <v>1.2075000000000047</v>
      </c>
      <c r="K956" s="56">
        <v>2.2999999999999998</v>
      </c>
      <c r="L956" s="15">
        <f t="shared" si="114"/>
        <v>0</v>
      </c>
      <c r="M956" s="16">
        <f t="shared" si="115"/>
        <v>215.65743000000001</v>
      </c>
      <c r="N956" s="17">
        <f t="shared" si="112"/>
        <v>2.2999999999999998</v>
      </c>
      <c r="O956" s="17">
        <f t="shared" si="116"/>
        <v>4600</v>
      </c>
      <c r="P956" s="18">
        <f t="shared" si="117"/>
        <v>431314.86</v>
      </c>
      <c r="R956" s="66"/>
      <c r="S956" s="19"/>
      <c r="T956" s="20"/>
      <c r="U956" s="20"/>
      <c r="V956" s="20"/>
      <c r="W956" s="20"/>
      <c r="X956" s="20"/>
      <c r="Y956" s="20"/>
      <c r="Z956" s="20"/>
      <c r="AA956" s="20"/>
    </row>
    <row r="957" spans="1:27" ht="12.75">
      <c r="A957" s="10"/>
      <c r="B957" s="10">
        <v>45968</v>
      </c>
      <c r="C957" s="11">
        <f>VLOOKUP(B:B,'Курс валют'!A:D,4,0)</f>
        <v>93.764099999999999</v>
      </c>
      <c r="D957" s="57" t="s">
        <v>1835</v>
      </c>
      <c r="E957" s="21" t="s">
        <v>68</v>
      </c>
      <c r="F957" s="58">
        <v>4000</v>
      </c>
      <c r="G957" s="58">
        <v>4018.05</v>
      </c>
      <c r="H957" s="56">
        <v>152.04</v>
      </c>
      <c r="I957" s="58">
        <f t="shared" si="113"/>
        <v>18.050000000000182</v>
      </c>
      <c r="J957" s="14">
        <f t="shared" si="118"/>
        <v>0.45125000000000454</v>
      </c>
      <c r="K957" s="56">
        <v>2.12</v>
      </c>
      <c r="L957" s="15">
        <f t="shared" si="114"/>
        <v>3.8009999999999997</v>
      </c>
      <c r="M957" s="16">
        <f t="shared" si="115"/>
        <v>187.94541273935999</v>
      </c>
      <c r="N957" s="17">
        <f t="shared" si="112"/>
        <v>2.0044496000000001</v>
      </c>
      <c r="O957" s="17">
        <f t="shared" si="116"/>
        <v>8017.7984000000006</v>
      </c>
      <c r="P957" s="18">
        <f t="shared" si="117"/>
        <v>751781.65095744003</v>
      </c>
      <c r="R957" s="66"/>
      <c r="S957" s="19"/>
      <c r="T957" s="20"/>
      <c r="U957" s="20"/>
      <c r="V957" s="20"/>
      <c r="W957" s="20"/>
      <c r="X957" s="20"/>
      <c r="Y957" s="20"/>
      <c r="Z957" s="20"/>
      <c r="AA957" s="20"/>
    </row>
    <row r="958" spans="1:27" ht="12.75">
      <c r="A958" s="10"/>
      <c r="B958" s="10">
        <v>45969</v>
      </c>
      <c r="C958" s="11">
        <f>VLOOKUP(B:B,'Курс валют'!A:D,4,0)</f>
        <v>93.836500000000001</v>
      </c>
      <c r="D958" s="57" t="s">
        <v>1836</v>
      </c>
      <c r="E958" s="21" t="s">
        <v>50</v>
      </c>
      <c r="F958" s="58">
        <v>8000</v>
      </c>
      <c r="G958" s="58">
        <v>8058</v>
      </c>
      <c r="H958" s="56">
        <v>0</v>
      </c>
      <c r="I958" s="58">
        <f t="shared" si="113"/>
        <v>58</v>
      </c>
      <c r="J958" s="14">
        <f t="shared" si="118"/>
        <v>0.72500000000000009</v>
      </c>
      <c r="K958" s="56">
        <v>1.92</v>
      </c>
      <c r="L958" s="15">
        <f t="shared" si="114"/>
        <v>0</v>
      </c>
      <c r="M958" s="16">
        <f t="shared" si="115"/>
        <v>180.16608000000002</v>
      </c>
      <c r="N958" s="17">
        <f t="shared" si="112"/>
        <v>1.92</v>
      </c>
      <c r="O958" s="17">
        <f t="shared" si="116"/>
        <v>15360</v>
      </c>
      <c r="P958" s="18">
        <f t="shared" si="117"/>
        <v>1441328.6400000001</v>
      </c>
      <c r="R958" s="66"/>
      <c r="S958" s="19"/>
      <c r="T958" s="20"/>
      <c r="U958" s="20"/>
      <c r="V958" s="20"/>
      <c r="W958" s="20"/>
      <c r="X958" s="20"/>
      <c r="Y958" s="20"/>
      <c r="Z958" s="20"/>
      <c r="AA958" s="20"/>
    </row>
    <row r="959" spans="1:27" ht="12.75">
      <c r="A959" s="54"/>
      <c r="B959" s="10">
        <v>45970</v>
      </c>
      <c r="C959" s="11">
        <f>VLOOKUP(B:B,'Курс валют'!A:D,4,0)</f>
        <v>93.836500000000001</v>
      </c>
      <c r="D959" s="57" t="s">
        <v>1837</v>
      </c>
      <c r="E959" s="21" t="s">
        <v>50</v>
      </c>
      <c r="F959" s="58">
        <v>8000</v>
      </c>
      <c r="G959" s="58">
        <v>8056.6</v>
      </c>
      <c r="H959" s="56">
        <v>0</v>
      </c>
      <c r="I959" s="58">
        <f t="shared" si="113"/>
        <v>56.600000000000364</v>
      </c>
      <c r="J959" s="14">
        <f t="shared" si="118"/>
        <v>0.70750000000000457</v>
      </c>
      <c r="K959" s="56">
        <v>1.93</v>
      </c>
      <c r="L959" s="15">
        <f t="shared" si="114"/>
        <v>0</v>
      </c>
      <c r="M959" s="16">
        <f t="shared" si="115"/>
        <v>181.104445</v>
      </c>
      <c r="N959" s="17">
        <f t="shared" si="112"/>
        <v>1.93</v>
      </c>
      <c r="O959" s="17">
        <f t="shared" si="116"/>
        <v>15440</v>
      </c>
      <c r="P959" s="18">
        <f t="shared" si="117"/>
        <v>1448835.56</v>
      </c>
      <c r="R959" s="65"/>
      <c r="S959" s="19"/>
      <c r="T959" s="24"/>
      <c r="U959" s="24"/>
      <c r="V959" s="24"/>
      <c r="W959" s="24"/>
      <c r="X959" s="24"/>
      <c r="Y959" s="24"/>
      <c r="Z959" s="24"/>
      <c r="AA959" s="24"/>
    </row>
    <row r="960" spans="1:27" ht="12.75">
      <c r="A960" s="54"/>
      <c r="B960" s="10">
        <v>45970</v>
      </c>
      <c r="C960" s="11">
        <f>VLOOKUP(B:B,'Курс валют'!A:D,4,0)</f>
        <v>93.836500000000001</v>
      </c>
      <c r="D960" s="57" t="s">
        <v>1838</v>
      </c>
      <c r="E960" s="26" t="s">
        <v>108</v>
      </c>
      <c r="F960" s="58">
        <v>200</v>
      </c>
      <c r="G960" s="58">
        <v>202.3</v>
      </c>
      <c r="H960" s="56">
        <v>62.5</v>
      </c>
      <c r="I960" s="58">
        <f t="shared" si="113"/>
        <v>2.3000000000000114</v>
      </c>
      <c r="J960" s="14">
        <f t="shared" si="118"/>
        <v>1.1500000000000057</v>
      </c>
      <c r="K960" s="56">
        <v>3.34</v>
      </c>
      <c r="L960" s="15">
        <f t="shared" si="114"/>
        <v>31.25</v>
      </c>
      <c r="M960" s="16">
        <f t="shared" si="115"/>
        <v>224.26923500000001</v>
      </c>
      <c r="N960" s="17">
        <f t="shared" si="112"/>
        <v>2.39</v>
      </c>
      <c r="O960" s="17">
        <f t="shared" si="116"/>
        <v>478</v>
      </c>
      <c r="P960" s="18">
        <f t="shared" si="117"/>
        <v>44853.847000000002</v>
      </c>
      <c r="R960" s="65"/>
      <c r="S960" s="19"/>
      <c r="T960" s="20"/>
      <c r="U960" s="20"/>
      <c r="V960" s="20"/>
      <c r="W960" s="20"/>
      <c r="X960" s="20"/>
      <c r="Y960" s="20"/>
      <c r="Z960" s="20"/>
      <c r="AA960" s="20"/>
    </row>
    <row r="961" spans="1:27" ht="12.75">
      <c r="A961" s="54"/>
      <c r="B961" s="10">
        <v>45971</v>
      </c>
      <c r="C961" s="11">
        <f>VLOOKUP(B:B,'Курс валют'!A:D,4,0)</f>
        <v>93.836500000000001</v>
      </c>
      <c r="D961" s="57" t="s">
        <v>1839</v>
      </c>
      <c r="E961" s="26" t="s">
        <v>107</v>
      </c>
      <c r="F961" s="58">
        <v>120</v>
      </c>
      <c r="G961" s="58">
        <v>121.11</v>
      </c>
      <c r="H961" s="56">
        <v>0</v>
      </c>
      <c r="I961" s="58">
        <f t="shared" si="113"/>
        <v>1.1099999999999994</v>
      </c>
      <c r="J961" s="14">
        <f t="shared" si="118"/>
        <v>0.9249999999999996</v>
      </c>
      <c r="K961" s="56">
        <v>2.67</v>
      </c>
      <c r="L961" s="15">
        <f t="shared" si="114"/>
        <v>0</v>
      </c>
      <c r="M961" s="16">
        <f t="shared" si="115"/>
        <v>250.54345499999999</v>
      </c>
      <c r="N961" s="17">
        <f t="shared" si="112"/>
        <v>2.67</v>
      </c>
      <c r="O961" s="17">
        <f t="shared" si="116"/>
        <v>320.39999999999998</v>
      </c>
      <c r="P961" s="18">
        <f t="shared" si="117"/>
        <v>30065.214599999999</v>
      </c>
      <c r="R961" s="65"/>
      <c r="S961" s="19"/>
      <c r="T961" s="20"/>
      <c r="U961" s="20"/>
      <c r="V961" s="20"/>
      <c r="W961" s="20"/>
      <c r="X961" s="20"/>
      <c r="Y961" s="20"/>
      <c r="Z961" s="20"/>
      <c r="AA961" s="20"/>
    </row>
    <row r="962" spans="1:27" ht="12.75">
      <c r="A962" s="54"/>
      <c r="B962" s="10">
        <v>45971</v>
      </c>
      <c r="C962" s="11">
        <f>VLOOKUP(B:B,'Курс валют'!A:D,4,0)</f>
        <v>93.836500000000001</v>
      </c>
      <c r="D962" s="57" t="s">
        <v>1840</v>
      </c>
      <c r="E962" s="26" t="s">
        <v>106</v>
      </c>
      <c r="F962" s="58">
        <v>200</v>
      </c>
      <c r="G962" s="58">
        <v>203</v>
      </c>
      <c r="H962" s="56">
        <v>0</v>
      </c>
      <c r="I962" s="58">
        <f t="shared" si="113"/>
        <v>3</v>
      </c>
      <c r="J962" s="14">
        <f t="shared" si="118"/>
        <v>1.5</v>
      </c>
      <c r="K962" s="56">
        <v>2.57</v>
      </c>
      <c r="L962" s="15">
        <f t="shared" si="114"/>
        <v>0</v>
      </c>
      <c r="M962" s="16">
        <f t="shared" si="115"/>
        <v>241.15980500000001</v>
      </c>
      <c r="N962" s="17">
        <f t="shared" si="112"/>
        <v>2.57</v>
      </c>
      <c r="O962" s="17">
        <f t="shared" si="116"/>
        <v>514</v>
      </c>
      <c r="P962" s="18">
        <f t="shared" si="117"/>
        <v>48231.961000000003</v>
      </c>
      <c r="R962" s="66"/>
      <c r="S962" s="19"/>
      <c r="T962" s="24"/>
      <c r="U962" s="24"/>
      <c r="V962" s="24"/>
      <c r="W962" s="24"/>
      <c r="X962" s="24"/>
      <c r="Y962" s="24"/>
      <c r="Z962" s="24"/>
      <c r="AA962" s="24"/>
    </row>
    <row r="963" spans="1:27" ht="12.75">
      <c r="A963" s="54"/>
      <c r="B963" s="71">
        <v>45971</v>
      </c>
      <c r="C963" s="11">
        <f>VLOOKUP(B:B,'Курс валют'!A:D,4,0)</f>
        <v>93.836500000000001</v>
      </c>
      <c r="D963" s="57" t="s">
        <v>1841</v>
      </c>
      <c r="E963" s="26" t="s">
        <v>60</v>
      </c>
      <c r="F963" s="58">
        <v>1800</v>
      </c>
      <c r="G963" s="58">
        <v>1822.92</v>
      </c>
      <c r="H963" s="56">
        <v>719.5</v>
      </c>
      <c r="I963" s="58">
        <f t="shared" si="113"/>
        <v>22.920000000000073</v>
      </c>
      <c r="J963" s="14">
        <f t="shared" si="118"/>
        <v>1.2733333333333374</v>
      </c>
      <c r="K963" s="56">
        <v>3.09</v>
      </c>
      <c r="L963" s="15">
        <f t="shared" si="114"/>
        <v>39.972222222222221</v>
      </c>
      <c r="M963" s="16">
        <f t="shared" si="115"/>
        <v>175.92884071111109</v>
      </c>
      <c r="N963" s="17">
        <f t="shared" si="112"/>
        <v>1.8748444444444443</v>
      </c>
      <c r="O963" s="17">
        <f t="shared" si="116"/>
        <v>3374.72</v>
      </c>
      <c r="P963" s="18">
        <f t="shared" si="117"/>
        <v>316671.91327999998</v>
      </c>
      <c r="R963" s="65"/>
      <c r="S963" s="19"/>
      <c r="T963" s="24"/>
      <c r="U963" s="24"/>
      <c r="V963" s="24"/>
      <c r="W963" s="24"/>
      <c r="X963" s="24"/>
      <c r="Y963" s="24"/>
      <c r="Z963" s="24"/>
      <c r="AA963" s="24"/>
    </row>
    <row r="964" spans="1:27" ht="12.75">
      <c r="A964" s="54"/>
      <c r="B964" s="74">
        <v>45971</v>
      </c>
      <c r="C964" s="11">
        <f>VLOOKUP(B:B,'Курс валют'!A:D,4,0)</f>
        <v>93.836500000000001</v>
      </c>
      <c r="D964" s="57" t="s">
        <v>1842</v>
      </c>
      <c r="E964" s="26" t="s">
        <v>101</v>
      </c>
      <c r="F964" s="58">
        <v>3200</v>
      </c>
      <c r="G964" s="58">
        <v>3229</v>
      </c>
      <c r="H964" s="56">
        <v>0</v>
      </c>
      <c r="I964" s="58">
        <f t="shared" si="113"/>
        <v>29</v>
      </c>
      <c r="J964" s="14">
        <f t="shared" si="118"/>
        <v>0.90624999999999989</v>
      </c>
      <c r="K964" s="56">
        <v>2.63</v>
      </c>
      <c r="L964" s="15">
        <f t="shared" si="114"/>
        <v>0</v>
      </c>
      <c r="M964" s="16">
        <f t="shared" si="115"/>
        <v>246.789995</v>
      </c>
      <c r="N964" s="17">
        <f t="shared" si="112"/>
        <v>2.63</v>
      </c>
      <c r="O964" s="17">
        <f t="shared" si="116"/>
        <v>8416</v>
      </c>
      <c r="P964" s="18">
        <f t="shared" si="117"/>
        <v>789727.98400000005</v>
      </c>
      <c r="R964" s="66"/>
      <c r="S964" s="19"/>
      <c r="T964" s="24"/>
      <c r="U964" s="24"/>
      <c r="V964" s="24"/>
      <c r="W964" s="24"/>
      <c r="X964" s="24"/>
      <c r="Y964" s="24"/>
      <c r="Z964" s="24"/>
      <c r="AA964" s="24"/>
    </row>
    <row r="965" spans="1:27" ht="12.75">
      <c r="A965" s="54"/>
      <c r="B965" s="10">
        <v>45972</v>
      </c>
      <c r="C965" s="11">
        <f>VLOOKUP(B:B,'Курс валют'!A:D,4,0)</f>
        <v>93.928700000000006</v>
      </c>
      <c r="D965" s="57" t="s">
        <v>1843</v>
      </c>
      <c r="E965" s="50" t="s">
        <v>68</v>
      </c>
      <c r="F965" s="58">
        <v>200</v>
      </c>
      <c r="G965" s="58">
        <v>201.66</v>
      </c>
      <c r="H965" s="56">
        <v>19.829999999999998</v>
      </c>
      <c r="I965" s="58">
        <f t="shared" si="113"/>
        <v>1.6599999999999966</v>
      </c>
      <c r="J965" s="14">
        <f t="shared" si="118"/>
        <v>0.82999999999999829</v>
      </c>
      <c r="K965" s="56">
        <v>2.2000000000000002</v>
      </c>
      <c r="L965" s="15">
        <f t="shared" si="114"/>
        <v>9.9149999999999991</v>
      </c>
      <c r="M965" s="16">
        <f t="shared" si="115"/>
        <v>178.33152696080003</v>
      </c>
      <c r="N965" s="17">
        <f t="shared" si="112"/>
        <v>1.8985840000000003</v>
      </c>
      <c r="O965" s="17">
        <f t="shared" si="116"/>
        <v>379.71680000000003</v>
      </c>
      <c r="P965" s="18">
        <f t="shared" si="117"/>
        <v>35666.305392160008</v>
      </c>
      <c r="R965" s="66" t="s">
        <v>1844</v>
      </c>
      <c r="S965" s="19"/>
      <c r="T965" s="20"/>
      <c r="U965" s="20"/>
      <c r="V965" s="20"/>
      <c r="W965" s="20"/>
      <c r="X965" s="20"/>
      <c r="Y965" s="20"/>
      <c r="Z965" s="20"/>
      <c r="AA965" s="20"/>
    </row>
    <row r="966" spans="1:27" ht="12.75">
      <c r="A966" s="54"/>
      <c r="B966" s="10">
        <v>45972</v>
      </c>
      <c r="C966" s="11">
        <f>VLOOKUP(B:B,'Курс валют'!A:D,4,0)</f>
        <v>93.928700000000006</v>
      </c>
      <c r="D966" s="57" t="s">
        <v>1845</v>
      </c>
      <c r="E966" s="64" t="s">
        <v>65</v>
      </c>
      <c r="F966" s="58">
        <v>8000</v>
      </c>
      <c r="G966" s="58">
        <v>8025</v>
      </c>
      <c r="H966" s="56">
        <v>757.5</v>
      </c>
      <c r="I966" s="58">
        <f t="shared" si="113"/>
        <v>25</v>
      </c>
      <c r="J966" s="14">
        <f t="shared" si="118"/>
        <v>0.3125</v>
      </c>
      <c r="K966" s="56">
        <v>2.2799999999999998</v>
      </c>
      <c r="L966" s="15">
        <f t="shared" si="114"/>
        <v>9.46875</v>
      </c>
      <c r="M966" s="16">
        <f t="shared" si="115"/>
        <v>187.12005970500002</v>
      </c>
      <c r="N966" s="17">
        <f t="shared" si="112"/>
        <v>1.9921500000000001</v>
      </c>
      <c r="O966" s="17">
        <f t="shared" si="116"/>
        <v>15937.2</v>
      </c>
      <c r="P966" s="18">
        <f t="shared" si="117"/>
        <v>1496960.4776400002</v>
      </c>
      <c r="R966" s="66"/>
      <c r="S966" s="19"/>
      <c r="T966" s="20"/>
      <c r="U966" s="20"/>
      <c r="V966" s="20"/>
      <c r="W966" s="20"/>
      <c r="X966" s="20"/>
      <c r="Y966" s="20"/>
      <c r="Z966" s="20"/>
      <c r="AA966" s="20"/>
    </row>
    <row r="967" spans="1:27" ht="12.75">
      <c r="A967" s="54"/>
      <c r="B967" s="10">
        <v>45973</v>
      </c>
      <c r="C967" s="11">
        <f>VLOOKUP(B:B,'Курс валют'!A:D,4,0)</f>
        <v>94.195400000000006</v>
      </c>
      <c r="D967" s="57" t="s">
        <v>1846</v>
      </c>
      <c r="E967" s="50" t="s">
        <v>65</v>
      </c>
      <c r="F967" s="58">
        <v>8000</v>
      </c>
      <c r="G967" s="58">
        <v>8023.8</v>
      </c>
      <c r="H967" s="56">
        <v>757.5</v>
      </c>
      <c r="I967" s="58">
        <f t="shared" si="113"/>
        <v>23.800000000000182</v>
      </c>
      <c r="J967" s="14">
        <f t="shared" si="118"/>
        <v>0.29750000000000226</v>
      </c>
      <c r="K967" s="56">
        <v>2.2400000000000002</v>
      </c>
      <c r="L967" s="15">
        <f t="shared" si="114"/>
        <v>9.46875</v>
      </c>
      <c r="M967" s="16">
        <f t="shared" si="115"/>
        <v>183.88355011000002</v>
      </c>
      <c r="N967" s="17">
        <f t="shared" si="112"/>
        <v>1.9521500000000001</v>
      </c>
      <c r="O967" s="17">
        <f t="shared" si="116"/>
        <v>15617.2</v>
      </c>
      <c r="P967" s="18">
        <f t="shared" si="117"/>
        <v>1471068.4008800001</v>
      </c>
      <c r="R967" s="66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5" customHeight="1">
      <c r="A968" s="54"/>
      <c r="B968" s="71">
        <v>45973</v>
      </c>
      <c r="C968" s="11">
        <f>VLOOKUP(B:B,'Курс валют'!A:D,4,0)</f>
        <v>94.195400000000006</v>
      </c>
      <c r="D968" s="57" t="s">
        <v>1847</v>
      </c>
      <c r="E968" s="50" t="s">
        <v>60</v>
      </c>
      <c r="F968" s="58">
        <v>1800</v>
      </c>
      <c r="G968" s="58">
        <v>1810.22</v>
      </c>
      <c r="H968" s="56">
        <v>719.5</v>
      </c>
      <c r="I968" s="58">
        <f t="shared" si="113"/>
        <v>10.220000000000027</v>
      </c>
      <c r="J968" s="14">
        <f t="shared" si="118"/>
        <v>0.56777777777777927</v>
      </c>
      <c r="K968" s="56">
        <v>3.06</v>
      </c>
      <c r="L968" s="15">
        <f t="shared" si="114"/>
        <v>39.972222222222221</v>
      </c>
      <c r="M968" s="16">
        <f t="shared" si="115"/>
        <v>173.77586038222222</v>
      </c>
      <c r="N968" s="17">
        <f t="shared" si="112"/>
        <v>1.8448444444444443</v>
      </c>
      <c r="O968" s="17">
        <f t="shared" si="116"/>
        <v>3320.72</v>
      </c>
      <c r="P968" s="18">
        <f t="shared" si="117"/>
        <v>312796.54868800001</v>
      </c>
      <c r="R968" s="66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>
      <c r="A969" s="54"/>
      <c r="B969" s="75">
        <v>45974</v>
      </c>
      <c r="C969" s="11">
        <f>VLOOKUP(B:B,'Курс валют'!A:D,4,0)</f>
        <v>94.189300000000003</v>
      </c>
      <c r="D969" s="57" t="s">
        <v>1848</v>
      </c>
      <c r="E969" s="50" t="s">
        <v>101</v>
      </c>
      <c r="F969" s="58">
        <v>3200</v>
      </c>
      <c r="G969" s="58">
        <v>3226.8</v>
      </c>
      <c r="H969" s="56">
        <v>0</v>
      </c>
      <c r="I969" s="58">
        <f t="shared" si="113"/>
        <v>26.800000000000182</v>
      </c>
      <c r="J969" s="14">
        <f t="shared" si="118"/>
        <v>0.83750000000000557</v>
      </c>
      <c r="K969" s="56">
        <v>2.65</v>
      </c>
      <c r="L969" s="15">
        <f t="shared" si="114"/>
        <v>0</v>
      </c>
      <c r="M969" s="16">
        <f t="shared" si="115"/>
        <v>249.60164499999999</v>
      </c>
      <c r="N969" s="17">
        <f t="shared" si="112"/>
        <v>2.65</v>
      </c>
      <c r="O969" s="17">
        <f t="shared" si="116"/>
        <v>8480</v>
      </c>
      <c r="P969" s="18">
        <f t="shared" si="117"/>
        <v>798725.26399999997</v>
      </c>
      <c r="R969" s="66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>
      <c r="A970" s="54"/>
      <c r="B970" s="74">
        <v>45974</v>
      </c>
      <c r="C970" s="11">
        <f>VLOOKUP(B:B,'Курс валют'!A:D,4,0)</f>
        <v>94.189300000000003</v>
      </c>
      <c r="D970" s="57" t="s">
        <v>1849</v>
      </c>
      <c r="E970" s="50" t="s">
        <v>68</v>
      </c>
      <c r="F970" s="58">
        <v>4000</v>
      </c>
      <c r="G970" s="58">
        <v>4022.15</v>
      </c>
      <c r="H970" s="56">
        <v>75.8</v>
      </c>
      <c r="I970" s="58">
        <f t="shared" si="113"/>
        <v>22.150000000000091</v>
      </c>
      <c r="J970" s="14">
        <f t="shared" si="118"/>
        <v>0.5537500000000023</v>
      </c>
      <c r="K970" s="56">
        <v>1.95</v>
      </c>
      <c r="L970" s="15">
        <f t="shared" si="114"/>
        <v>1.8949999999999998</v>
      </c>
      <c r="M970" s="16">
        <f t="shared" si="115"/>
        <v>178.24307780560002</v>
      </c>
      <c r="N970" s="17">
        <f t="shared" si="112"/>
        <v>1.8923920000000001</v>
      </c>
      <c r="O970" s="17">
        <f t="shared" si="116"/>
        <v>7569.5680000000002</v>
      </c>
      <c r="P970" s="18">
        <f t="shared" si="117"/>
        <v>712972.31122240005</v>
      </c>
      <c r="R970" s="66"/>
      <c r="S970" s="48"/>
      <c r="T970" s="20"/>
      <c r="U970" s="20"/>
      <c r="V970" s="20"/>
      <c r="W970" s="20"/>
      <c r="X970" s="20"/>
      <c r="Y970" s="20"/>
      <c r="Z970" s="20"/>
      <c r="AA970" s="20"/>
    </row>
    <row r="971" spans="1:27" ht="12.75">
      <c r="A971" s="54"/>
      <c r="B971" s="10">
        <v>45975</v>
      </c>
      <c r="C971" s="11">
        <f>VLOOKUP(B:B,'Курс валют'!A:D,4,0)</f>
        <v>93.695300000000003</v>
      </c>
      <c r="D971" s="57" t="s">
        <v>1850</v>
      </c>
      <c r="E971" s="64" t="s">
        <v>15</v>
      </c>
      <c r="F971" s="63">
        <v>880</v>
      </c>
      <c r="G971" s="63">
        <v>882.76</v>
      </c>
      <c r="H971" s="49">
        <f>319+77</f>
        <v>396</v>
      </c>
      <c r="I971" s="58">
        <f t="shared" si="113"/>
        <v>2.7599999999999909</v>
      </c>
      <c r="J971" s="14">
        <f t="shared" si="118"/>
        <v>0.3136363636363626</v>
      </c>
      <c r="K971" s="49">
        <v>3.72</v>
      </c>
      <c r="L971" s="15">
        <f t="shared" si="114"/>
        <v>45</v>
      </c>
      <c r="M971" s="16">
        <f t="shared" si="115"/>
        <v>220.37134560000004</v>
      </c>
      <c r="N971" s="17">
        <f t="shared" si="112"/>
        <v>2.3520000000000003</v>
      </c>
      <c r="O971" s="17">
        <f t="shared" si="116"/>
        <v>2069.7600000000002</v>
      </c>
      <c r="P971" s="18">
        <f t="shared" si="117"/>
        <v>193926.78412800003</v>
      </c>
      <c r="R971" s="66" t="s">
        <v>1844</v>
      </c>
      <c r="S971" s="48"/>
      <c r="T971" s="20"/>
      <c r="U971" s="20"/>
      <c r="V971" s="20"/>
      <c r="W971" s="20"/>
      <c r="X971" s="20"/>
      <c r="Y971" s="20"/>
      <c r="Z971" s="20"/>
      <c r="AA971" s="20"/>
    </row>
    <row r="972" spans="1:27" ht="12.75">
      <c r="A972" s="54"/>
      <c r="B972" s="10">
        <v>45975</v>
      </c>
      <c r="C972" s="11">
        <f>VLOOKUP(B:B,'Курс валют'!A:D,4,0)</f>
        <v>93.695300000000003</v>
      </c>
      <c r="D972" s="57" t="s">
        <v>1851</v>
      </c>
      <c r="E972" s="64" t="s">
        <v>103</v>
      </c>
      <c r="F972" s="58">
        <v>3200</v>
      </c>
      <c r="G972" s="58">
        <v>3210.08</v>
      </c>
      <c r="H972" s="56">
        <v>303.60000000000002</v>
      </c>
      <c r="I972" s="58">
        <f t="shared" si="113"/>
        <v>10.079999999999927</v>
      </c>
      <c r="J972" s="14">
        <f t="shared" si="118"/>
        <v>0.31499999999999773</v>
      </c>
      <c r="K972" s="56">
        <v>2.2000000000000002</v>
      </c>
      <c r="L972" s="15">
        <f t="shared" si="114"/>
        <v>9.4875000000000007</v>
      </c>
      <c r="M972" s="16">
        <f t="shared" si="115"/>
        <v>179.10606157400002</v>
      </c>
      <c r="N972" s="17">
        <f t="shared" si="112"/>
        <v>1.9115800000000001</v>
      </c>
      <c r="O972" s="17">
        <f t="shared" si="116"/>
        <v>6117.0560000000005</v>
      </c>
      <c r="P972" s="18">
        <f t="shared" si="117"/>
        <v>573139.39703680004</v>
      </c>
      <c r="R972" s="66"/>
      <c r="S972" s="48"/>
      <c r="T972" s="20"/>
      <c r="U972" s="20"/>
      <c r="V972" s="20"/>
      <c r="W972" s="20"/>
      <c r="X972" s="20"/>
      <c r="Y972" s="20"/>
      <c r="Z972" s="20"/>
      <c r="AA972" s="20"/>
    </row>
    <row r="973" spans="1:27" ht="12.75">
      <c r="A973" s="54"/>
      <c r="B973" s="10">
        <v>45975</v>
      </c>
      <c r="C973" s="11">
        <f>VLOOKUP(B:B,'Курс валют'!A:D,4,0)</f>
        <v>93.695300000000003</v>
      </c>
      <c r="D973" s="57" t="s">
        <v>1852</v>
      </c>
      <c r="E973" s="64" t="s">
        <v>52</v>
      </c>
      <c r="F973" s="58">
        <v>1000</v>
      </c>
      <c r="G973" s="58">
        <v>1008.06</v>
      </c>
      <c r="H973" s="56">
        <v>0</v>
      </c>
      <c r="I973" s="58">
        <f t="shared" si="113"/>
        <v>8.0599999999999454</v>
      </c>
      <c r="J973" s="14">
        <f t="shared" si="118"/>
        <v>0.80599999999999461</v>
      </c>
      <c r="K973" s="56">
        <v>2.66</v>
      </c>
      <c r="L973" s="15">
        <f t="shared" si="114"/>
        <v>0</v>
      </c>
      <c r="M973" s="16">
        <f t="shared" si="115"/>
        <v>249.22949800000004</v>
      </c>
      <c r="N973" s="17">
        <f t="shared" si="112"/>
        <v>2.66</v>
      </c>
      <c r="O973" s="17">
        <f t="shared" si="116"/>
        <v>2660</v>
      </c>
      <c r="P973" s="18">
        <f t="shared" si="117"/>
        <v>249229.49800000002</v>
      </c>
      <c r="R973" s="66"/>
      <c r="S973" s="48"/>
      <c r="T973" s="20"/>
      <c r="U973" s="20"/>
      <c r="V973" s="20"/>
      <c r="W973" s="20"/>
      <c r="X973" s="20"/>
      <c r="Y973" s="20"/>
      <c r="Z973" s="20"/>
      <c r="AA973" s="20"/>
    </row>
    <row r="974" spans="1:27" ht="12.75">
      <c r="A974" s="54"/>
      <c r="B974" s="10">
        <v>45975</v>
      </c>
      <c r="C974" s="11">
        <f>VLOOKUP(B:B,'Курс валют'!A:D,4,0)</f>
        <v>93.695300000000003</v>
      </c>
      <c r="D974" s="57" t="s">
        <v>1853</v>
      </c>
      <c r="E974" s="64" t="s">
        <v>15</v>
      </c>
      <c r="F974" s="58">
        <v>9900</v>
      </c>
      <c r="G974" s="57">
        <v>9968.49</v>
      </c>
      <c r="H974" s="56">
        <v>77.968000000000004</v>
      </c>
      <c r="I974" s="58">
        <f t="shared" si="113"/>
        <v>68.489999999999782</v>
      </c>
      <c r="J974" s="14">
        <f t="shared" si="118"/>
        <v>0.69181818181817967</v>
      </c>
      <c r="K974" s="56">
        <v>2.4</v>
      </c>
      <c r="L974" s="15">
        <f t="shared" si="114"/>
        <v>0.78755555555555556</v>
      </c>
      <c r="M974" s="16">
        <f t="shared" si="115"/>
        <v>222.62549627704888</v>
      </c>
      <c r="N974" s="17">
        <f t="shared" si="112"/>
        <v>2.3760583111111111</v>
      </c>
      <c r="O974" s="17">
        <f t="shared" si="116"/>
        <v>23522.977279999999</v>
      </c>
      <c r="P974" s="18">
        <f t="shared" si="117"/>
        <v>2203992.413142784</v>
      </c>
      <c r="R974" s="66"/>
      <c r="S974" s="48"/>
      <c r="T974" s="20"/>
      <c r="U974" s="20"/>
      <c r="V974" s="20"/>
      <c r="W974" s="20"/>
      <c r="X974" s="20"/>
      <c r="Y974" s="20"/>
      <c r="Z974" s="20"/>
      <c r="AA974" s="20"/>
    </row>
    <row r="975" spans="1:27" ht="12.75">
      <c r="A975" s="54"/>
      <c r="B975" s="72">
        <v>45976</v>
      </c>
      <c r="C975" s="11">
        <f>VLOOKUP(B:B,'Курс валют'!A:D,4,0)</f>
        <v>95.098699999999994</v>
      </c>
      <c r="D975" s="57" t="s">
        <v>1854</v>
      </c>
      <c r="E975" s="50" t="s">
        <v>58</v>
      </c>
      <c r="F975" s="58">
        <v>11000</v>
      </c>
      <c r="G975" s="57">
        <v>11120.1</v>
      </c>
      <c r="H975" s="56">
        <v>197.1</v>
      </c>
      <c r="I975" s="58">
        <f t="shared" si="113"/>
        <v>120.10000000000036</v>
      </c>
      <c r="J975" s="14">
        <f t="shared" si="118"/>
        <v>1.0918181818181851</v>
      </c>
      <c r="K975" s="56">
        <v>2.54</v>
      </c>
      <c r="L975" s="15">
        <f t="shared" si="114"/>
        <v>1.791818181818182</v>
      </c>
      <c r="M975" s="16">
        <f t="shared" si="115"/>
        <v>236.37055077629088</v>
      </c>
      <c r="N975" s="17">
        <f t="shared" si="112"/>
        <v>2.4855287272727273</v>
      </c>
      <c r="O975" s="17">
        <f t="shared" si="116"/>
        <v>27340.815999999999</v>
      </c>
      <c r="P975" s="18">
        <f t="shared" si="117"/>
        <v>2600076.0585391996</v>
      </c>
      <c r="R975" s="66"/>
      <c r="S975" s="48"/>
      <c r="T975" s="20"/>
      <c r="U975" s="20"/>
      <c r="V975" s="20"/>
      <c r="W975" s="20"/>
      <c r="X975" s="20"/>
      <c r="Y975" s="20"/>
      <c r="Z975" s="20"/>
      <c r="AA975" s="20"/>
    </row>
    <row r="976" spans="1:27" ht="12.75">
      <c r="A976" s="54"/>
      <c r="B976" s="10">
        <v>45976</v>
      </c>
      <c r="C976" s="11">
        <f>VLOOKUP(B:B,'Курс валют'!A:D,4,0)</f>
        <v>95.098699999999994</v>
      </c>
      <c r="D976" s="57" t="s">
        <v>1855</v>
      </c>
      <c r="E976" s="50" t="s">
        <v>103</v>
      </c>
      <c r="F976" s="58">
        <v>6400</v>
      </c>
      <c r="G976" s="57">
        <v>6430.24</v>
      </c>
      <c r="H976" s="56">
        <v>608.4</v>
      </c>
      <c r="I976" s="58">
        <f t="shared" si="113"/>
        <v>30.239999999999782</v>
      </c>
      <c r="J976" s="14">
        <f t="shared" si="118"/>
        <v>0.47249999999999664</v>
      </c>
      <c r="K976" s="56">
        <v>2.21</v>
      </c>
      <c r="L976" s="15">
        <f t="shared" si="114"/>
        <v>9.5062499999999996</v>
      </c>
      <c r="M976" s="16">
        <f t="shared" si="115"/>
        <v>182.68555368699998</v>
      </c>
      <c r="N976" s="17">
        <f t="shared" si="112"/>
        <v>1.9210099999999999</v>
      </c>
      <c r="O976" s="17">
        <f t="shared" si="116"/>
        <v>12294.464</v>
      </c>
      <c r="P976" s="18">
        <f t="shared" si="117"/>
        <v>1169187.5435968</v>
      </c>
      <c r="R976" s="66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>
      <c r="A977" s="54"/>
      <c r="B977" s="10">
        <v>45977</v>
      </c>
      <c r="C977" s="11">
        <f>VLOOKUP(B:B,'Курс валют'!A:D,4,0)</f>
        <v>95.098699999999994</v>
      </c>
      <c r="D977" s="57" t="s">
        <v>1856</v>
      </c>
      <c r="E977" s="50" t="s">
        <v>103</v>
      </c>
      <c r="F977" s="58">
        <v>3200</v>
      </c>
      <c r="G977" s="57">
        <v>3215.12</v>
      </c>
      <c r="H977" s="56">
        <v>304.2</v>
      </c>
      <c r="I977" s="58">
        <f t="shared" si="113"/>
        <v>15.119999999999891</v>
      </c>
      <c r="J977" s="14">
        <f t="shared" si="118"/>
        <v>0.47249999999999664</v>
      </c>
      <c r="K977" s="56">
        <v>2.16</v>
      </c>
      <c r="L977" s="15">
        <f t="shared" si="114"/>
        <v>9.5062499999999996</v>
      </c>
      <c r="M977" s="16">
        <f t="shared" si="115"/>
        <v>177.93061868699999</v>
      </c>
      <c r="N977" s="17">
        <f t="shared" si="112"/>
        <v>1.8710100000000001</v>
      </c>
      <c r="O977" s="17">
        <f t="shared" si="116"/>
        <v>5987.232</v>
      </c>
      <c r="P977" s="18">
        <f t="shared" si="117"/>
        <v>569377.97979839996</v>
      </c>
      <c r="R977" s="66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>
      <c r="A978" s="54"/>
      <c r="B978" s="72">
        <v>45977</v>
      </c>
      <c r="C978" s="11">
        <f>VLOOKUP(B:B,'Курс валют'!A:D,4,0)</f>
        <v>95.098699999999994</v>
      </c>
      <c r="D978" s="57" t="s">
        <v>1857</v>
      </c>
      <c r="E978" s="50" t="s">
        <v>58</v>
      </c>
      <c r="F978" s="58">
        <v>11000</v>
      </c>
      <c r="G978" s="57">
        <v>11125.1</v>
      </c>
      <c r="H978" s="56">
        <v>197.1</v>
      </c>
      <c r="I978" s="58">
        <f t="shared" si="113"/>
        <v>125.10000000000036</v>
      </c>
      <c r="J978" s="14">
        <f t="shared" si="118"/>
        <v>1.1372727272727305</v>
      </c>
      <c r="K978" s="56">
        <v>2.5499999999999998</v>
      </c>
      <c r="L978" s="15">
        <f t="shared" si="114"/>
        <v>1.791818181818182</v>
      </c>
      <c r="M978" s="16">
        <f t="shared" si="115"/>
        <v>237.32153777629085</v>
      </c>
      <c r="N978" s="17">
        <f t="shared" si="112"/>
        <v>2.4955287272727267</v>
      </c>
      <c r="O978" s="17">
        <f t="shared" si="116"/>
        <v>27450.815999999995</v>
      </c>
      <c r="P978" s="18">
        <f t="shared" si="117"/>
        <v>2610536.9155391995</v>
      </c>
      <c r="R978" s="65"/>
      <c r="S978" s="19"/>
      <c r="T978" s="20"/>
      <c r="U978" s="20"/>
      <c r="V978" s="20"/>
      <c r="W978" s="20"/>
      <c r="X978" s="20"/>
      <c r="Y978" s="20"/>
      <c r="Z978" s="20"/>
      <c r="AA978" s="20"/>
    </row>
    <row r="979" spans="1:27" ht="12.75">
      <c r="A979" s="54"/>
      <c r="B979" s="10">
        <v>45978</v>
      </c>
      <c r="C979" s="11">
        <f>VLOOKUP(B:B,'Курс валют'!A:D,4,0)</f>
        <v>95.098699999999994</v>
      </c>
      <c r="D979" s="57" t="s">
        <v>1858</v>
      </c>
      <c r="E979" s="50" t="s">
        <v>51</v>
      </c>
      <c r="F979" s="58">
        <v>8000</v>
      </c>
      <c r="G979" s="57">
        <v>8039.6</v>
      </c>
      <c r="H979" s="56">
        <v>0</v>
      </c>
      <c r="I979" s="58">
        <f t="shared" si="113"/>
        <v>39.600000000000364</v>
      </c>
      <c r="J979" s="14">
        <f t="shared" si="118"/>
        <v>0.49500000000000455</v>
      </c>
      <c r="K979" s="56">
        <v>1.91</v>
      </c>
      <c r="L979" s="15">
        <f t="shared" si="114"/>
        <v>0</v>
      </c>
      <c r="M979" s="16">
        <f t="shared" si="115"/>
        <v>181.63851699999998</v>
      </c>
      <c r="N979" s="17">
        <f t="shared" si="112"/>
        <v>1.91</v>
      </c>
      <c r="O979" s="17">
        <f t="shared" si="116"/>
        <v>15280</v>
      </c>
      <c r="P979" s="18">
        <f t="shared" si="117"/>
        <v>1453108.1359999999</v>
      </c>
      <c r="R979" s="66"/>
      <c r="S979" s="19"/>
      <c r="T979" s="20"/>
      <c r="U979" s="20"/>
      <c r="V979" s="20"/>
      <c r="W979" s="20"/>
      <c r="X979" s="20"/>
      <c r="Y979" s="20"/>
      <c r="Z979" s="20"/>
      <c r="AA979" s="20"/>
    </row>
    <row r="980" spans="1:27" ht="12.75">
      <c r="A980" s="54"/>
      <c r="B980" s="10">
        <v>45979</v>
      </c>
      <c r="C980" s="11">
        <f>VLOOKUP(B:B,'Курс валют'!A:D,4,0)</f>
        <v>96.306299999999993</v>
      </c>
      <c r="D980" s="57" t="s">
        <v>1859</v>
      </c>
      <c r="E980" s="50" t="s">
        <v>51</v>
      </c>
      <c r="F980" s="58">
        <v>8000</v>
      </c>
      <c r="G980" s="57">
        <v>8042.36</v>
      </c>
      <c r="H980" s="56">
        <v>0</v>
      </c>
      <c r="I980" s="58">
        <f t="shared" si="113"/>
        <v>42.359999999999673</v>
      </c>
      <c r="J980" s="14">
        <f t="shared" si="118"/>
        <v>0.52949999999999597</v>
      </c>
      <c r="K980" s="56">
        <v>1.91</v>
      </c>
      <c r="L980" s="15">
        <f t="shared" si="114"/>
        <v>0</v>
      </c>
      <c r="M980" s="16">
        <f t="shared" si="115"/>
        <v>183.945033</v>
      </c>
      <c r="N980" s="17">
        <f t="shared" si="112"/>
        <v>1.91</v>
      </c>
      <c r="O980" s="17">
        <f t="shared" si="116"/>
        <v>15280</v>
      </c>
      <c r="P980" s="18">
        <f t="shared" si="117"/>
        <v>1471560.264</v>
      </c>
      <c r="R980" s="66"/>
      <c r="S980" s="19"/>
      <c r="T980" s="20"/>
      <c r="U980" s="20"/>
      <c r="V980" s="20"/>
      <c r="W980" s="20"/>
      <c r="X980" s="20"/>
      <c r="Y980" s="20"/>
      <c r="Z980" s="20"/>
      <c r="AA980" s="20"/>
    </row>
    <row r="981" spans="1:27" ht="12.75">
      <c r="A981" s="54"/>
      <c r="B981" s="10">
        <v>45980</v>
      </c>
      <c r="C981" s="11">
        <f>VLOOKUP(B:B,'Курс валют'!A:D,4,0)</f>
        <v>93.929500000000004</v>
      </c>
      <c r="D981" s="57" t="s">
        <v>1860</v>
      </c>
      <c r="E981" s="50" t="s">
        <v>15</v>
      </c>
      <c r="F981" s="58">
        <v>1100</v>
      </c>
      <c r="G981" s="57">
        <v>1115.51</v>
      </c>
      <c r="H981" s="56">
        <v>19.71</v>
      </c>
      <c r="I981" s="58">
        <f t="shared" si="113"/>
        <v>15.509999999999991</v>
      </c>
      <c r="J981" s="14">
        <f t="shared" si="118"/>
        <v>1.409999999999999</v>
      </c>
      <c r="K981" s="56">
        <v>2.4</v>
      </c>
      <c r="L981" s="15">
        <f t="shared" si="114"/>
        <v>1.791818181818182</v>
      </c>
      <c r="M981" s="16">
        <f t="shared" si="115"/>
        <v>220.31434058836365</v>
      </c>
      <c r="N981" s="17">
        <f t="shared" si="112"/>
        <v>2.3455287272727272</v>
      </c>
      <c r="O981" s="17">
        <f t="shared" si="116"/>
        <v>2580.0816</v>
      </c>
      <c r="P981" s="18">
        <f t="shared" si="117"/>
        <v>242345.77464720001</v>
      </c>
      <c r="R981" s="66"/>
      <c r="S981" s="19"/>
      <c r="T981" s="20"/>
      <c r="U981" s="20"/>
      <c r="V981" s="20"/>
      <c r="W981" s="20"/>
      <c r="X981" s="20"/>
      <c r="Y981" s="20"/>
      <c r="Z981" s="20"/>
      <c r="AA981" s="20"/>
    </row>
    <row r="982" spans="1:27" ht="12.75">
      <c r="A982" s="54"/>
      <c r="B982" s="10">
        <v>45980</v>
      </c>
      <c r="C982" s="11">
        <f>VLOOKUP(B:B,'Курс валют'!A:D,4,0)</f>
        <v>93.929500000000004</v>
      </c>
      <c r="D982" s="57" t="s">
        <v>1861</v>
      </c>
      <c r="E982" s="50" t="s">
        <v>51</v>
      </c>
      <c r="F982" s="58">
        <v>6400</v>
      </c>
      <c r="G982" s="52">
        <v>6427.12</v>
      </c>
      <c r="H982" s="56">
        <v>0</v>
      </c>
      <c r="I982" s="13">
        <f t="shared" si="113"/>
        <v>27.119999999999891</v>
      </c>
      <c r="J982" s="14">
        <f t="shared" si="118"/>
        <v>0.42374999999999824</v>
      </c>
      <c r="K982" s="56">
        <v>1.9</v>
      </c>
      <c r="L982" s="15">
        <f t="shared" si="114"/>
        <v>0</v>
      </c>
      <c r="M982" s="16">
        <f t="shared" si="115"/>
        <v>178.46605</v>
      </c>
      <c r="N982" s="17">
        <f t="shared" si="112"/>
        <v>1.9</v>
      </c>
      <c r="O982" s="17">
        <f t="shared" si="116"/>
        <v>12160</v>
      </c>
      <c r="P982" s="18">
        <f t="shared" si="117"/>
        <v>1142182.72</v>
      </c>
      <c r="R982" s="65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>
      <c r="A983" s="54"/>
      <c r="B983" s="10">
        <v>45980</v>
      </c>
      <c r="C983" s="11">
        <f>VLOOKUP(B:B,'Курс валют'!A:D,4,0)</f>
        <v>93.929500000000004</v>
      </c>
      <c r="D983" s="57" t="s">
        <v>1862</v>
      </c>
      <c r="E983" s="50" t="s">
        <v>103</v>
      </c>
      <c r="F983" s="58">
        <v>4800</v>
      </c>
      <c r="G983" s="57">
        <v>4826.88</v>
      </c>
      <c r="H983" s="56">
        <v>456.3</v>
      </c>
      <c r="I983" s="58">
        <f t="shared" si="113"/>
        <v>26.880000000000109</v>
      </c>
      <c r="J983" s="14">
        <f t="shared" si="118"/>
        <v>0.56000000000000227</v>
      </c>
      <c r="K983" s="56">
        <v>2.16</v>
      </c>
      <c r="L983" s="15">
        <f t="shared" si="114"/>
        <v>9.5062500000000014</v>
      </c>
      <c r="M983" s="16">
        <f t="shared" si="115"/>
        <v>175.743033795</v>
      </c>
      <c r="N983" s="17">
        <f t="shared" si="112"/>
        <v>1.8710100000000001</v>
      </c>
      <c r="O983" s="17">
        <f t="shared" si="116"/>
        <v>8980.848</v>
      </c>
      <c r="P983" s="18">
        <f t="shared" si="117"/>
        <v>843566.56221600005</v>
      </c>
      <c r="R983" s="66"/>
      <c r="S983" s="19"/>
      <c r="T983" s="20"/>
      <c r="U983" s="20"/>
      <c r="V983" s="20"/>
      <c r="W983" s="20"/>
      <c r="X983" s="20"/>
      <c r="Y983" s="20"/>
      <c r="Z983" s="20"/>
      <c r="AA983" s="20"/>
    </row>
    <row r="984" spans="1:27" ht="12.75">
      <c r="A984" s="54"/>
      <c r="B984" s="54">
        <v>45981</v>
      </c>
      <c r="C984" s="11">
        <f>VLOOKUP(B:B,'Курс валют'!A:D,4,0)</f>
        <v>93.7804</v>
      </c>
      <c r="D984" s="57" t="s">
        <v>1863</v>
      </c>
      <c r="E984" s="50" t="s">
        <v>103</v>
      </c>
      <c r="F984" s="58">
        <v>12800</v>
      </c>
      <c r="G984" s="57">
        <v>12871.68</v>
      </c>
      <c r="H984" s="56">
        <v>1216.8</v>
      </c>
      <c r="I984" s="58">
        <f t="shared" si="113"/>
        <v>71.680000000000291</v>
      </c>
      <c r="J984" s="14">
        <f t="shared" si="118"/>
        <v>0.56000000000000227</v>
      </c>
      <c r="K984" s="56">
        <v>2.12</v>
      </c>
      <c r="L984" s="15">
        <f t="shared" si="114"/>
        <v>9.5062499999999996</v>
      </c>
      <c r="M984" s="16">
        <f t="shared" si="115"/>
        <v>171.71285020399998</v>
      </c>
      <c r="N984" s="17">
        <f t="shared" ref="N984:N1005" si="119">(F984*K984-H984*3.04)/F984</f>
        <v>1.83101</v>
      </c>
      <c r="O984" s="17">
        <f t="shared" si="116"/>
        <v>23436.928</v>
      </c>
      <c r="P984" s="18">
        <f t="shared" si="117"/>
        <v>2197924.4826111998</v>
      </c>
      <c r="R984" s="66"/>
      <c r="S984" s="19"/>
      <c r="T984" s="20"/>
      <c r="U984" s="20"/>
      <c r="V984" s="20"/>
      <c r="W984" s="20"/>
      <c r="X984" s="20"/>
      <c r="Y984" s="20"/>
      <c r="Z984" s="20"/>
      <c r="AA984" s="20"/>
    </row>
    <row r="985" spans="1:27" ht="12.75">
      <c r="A985" s="54"/>
      <c r="B985" s="10">
        <v>45982</v>
      </c>
      <c r="C985" s="11">
        <f>VLOOKUP(B:B,'Курс валют'!A:D,4,0)</f>
        <v>92.604699999999994</v>
      </c>
      <c r="D985" s="57" t="s">
        <v>1864</v>
      </c>
      <c r="E985" s="50" t="s">
        <v>15</v>
      </c>
      <c r="F985" s="58">
        <v>9900</v>
      </c>
      <c r="G985" s="57">
        <v>9988.2900000000009</v>
      </c>
      <c r="H985" s="56">
        <v>177.38</v>
      </c>
      <c r="I985" s="58">
        <f t="shared" si="113"/>
        <v>88.290000000000873</v>
      </c>
      <c r="J985" s="14">
        <f t="shared" si="118"/>
        <v>0.89181818181819061</v>
      </c>
      <c r="K985" s="56">
        <v>2.46</v>
      </c>
      <c r="L985" s="15">
        <f t="shared" si="114"/>
        <v>1.7917171717171716</v>
      </c>
      <c r="M985" s="16">
        <f t="shared" si="115"/>
        <v>222.76355049237981</v>
      </c>
      <c r="N985" s="17">
        <f t="shared" si="119"/>
        <v>2.4055317979797981</v>
      </c>
      <c r="O985" s="17">
        <f t="shared" si="116"/>
        <v>23814.764800000001</v>
      </c>
      <c r="P985" s="18">
        <f t="shared" si="117"/>
        <v>2205359.1498745601</v>
      </c>
      <c r="R985" s="66"/>
      <c r="S985" s="19"/>
      <c r="T985" s="20"/>
      <c r="U985" s="20"/>
      <c r="V985" s="20"/>
      <c r="W985" s="20"/>
      <c r="X985" s="20"/>
      <c r="Y985" s="20"/>
      <c r="Z985" s="20"/>
      <c r="AA985" s="20"/>
    </row>
    <row r="986" spans="1:27" ht="12.75">
      <c r="A986" s="54"/>
      <c r="B986" s="10">
        <v>45983</v>
      </c>
      <c r="C986" s="11">
        <f>VLOOKUP(B:B,'Курс валют'!A:D,4,0)</f>
        <v>90.5625</v>
      </c>
      <c r="D986" s="57" t="s">
        <v>1865</v>
      </c>
      <c r="E986" s="50" t="s">
        <v>15</v>
      </c>
      <c r="F986" s="58">
        <v>11000</v>
      </c>
      <c r="G986" s="52">
        <v>11098.1</v>
      </c>
      <c r="H986" s="56">
        <v>197.1</v>
      </c>
      <c r="I986" s="13">
        <f t="shared" si="113"/>
        <v>98.100000000000364</v>
      </c>
      <c r="J986" s="14">
        <f t="shared" si="118"/>
        <v>0.89181818181818506</v>
      </c>
      <c r="K986" s="56">
        <v>2.44</v>
      </c>
      <c r="L986" s="15">
        <f t="shared" si="114"/>
        <v>1.791818181818182</v>
      </c>
      <c r="M986" s="16">
        <f t="shared" si="115"/>
        <v>216.03944536363633</v>
      </c>
      <c r="N986" s="17">
        <f t="shared" si="119"/>
        <v>2.3855287272727272</v>
      </c>
      <c r="O986" s="17">
        <f t="shared" si="116"/>
        <v>26240.815999999999</v>
      </c>
      <c r="P986" s="18">
        <f t="shared" si="117"/>
        <v>2376433.8989999997</v>
      </c>
      <c r="R986" s="66"/>
      <c r="S986" s="19"/>
      <c r="T986" s="20"/>
      <c r="U986" s="20"/>
      <c r="V986" s="20"/>
      <c r="W986" s="20"/>
      <c r="X986" s="20"/>
      <c r="Y986" s="20"/>
      <c r="Z986" s="20"/>
      <c r="AA986" s="20"/>
    </row>
    <row r="987" spans="1:27" ht="12.75">
      <c r="A987" s="54"/>
      <c r="B987" s="10">
        <v>45983</v>
      </c>
      <c r="C987" s="11">
        <f>VLOOKUP(B:B,'Курс валют'!A:D,4,0)</f>
        <v>90.5625</v>
      </c>
      <c r="D987" s="57" t="s">
        <v>1866</v>
      </c>
      <c r="E987" s="50" t="s">
        <v>104</v>
      </c>
      <c r="F987" s="58">
        <v>2400</v>
      </c>
      <c r="G987" s="57">
        <v>2480.7600000000002</v>
      </c>
      <c r="H987" s="56">
        <v>0</v>
      </c>
      <c r="I987" s="58">
        <f t="shared" si="113"/>
        <v>80.760000000000218</v>
      </c>
      <c r="J987" s="14">
        <f t="shared" si="118"/>
        <v>3.3650000000000091</v>
      </c>
      <c r="K987" s="56">
        <v>2.69</v>
      </c>
      <c r="L987" s="15">
        <f t="shared" si="114"/>
        <v>0</v>
      </c>
      <c r="M987" s="16">
        <f t="shared" si="115"/>
        <v>243.613125</v>
      </c>
      <c r="N987" s="17">
        <f t="shared" si="119"/>
        <v>2.69</v>
      </c>
      <c r="O987" s="17">
        <f t="shared" si="116"/>
        <v>6456</v>
      </c>
      <c r="P987" s="18">
        <f t="shared" si="117"/>
        <v>584671.5</v>
      </c>
      <c r="R987" s="66"/>
      <c r="S987" s="19"/>
      <c r="T987" s="20"/>
      <c r="U987" s="20"/>
      <c r="V987" s="20"/>
      <c r="W987" s="20"/>
      <c r="X987" s="20"/>
      <c r="Y987" s="20"/>
      <c r="Z987" s="20"/>
      <c r="AA987" s="20"/>
    </row>
    <row r="988" spans="1:27" ht="12.75">
      <c r="A988" s="54"/>
      <c r="B988" s="10">
        <v>45984</v>
      </c>
      <c r="C988" s="11">
        <f>VLOOKUP(B:B,'Курс валют'!A:D,4,0)</f>
        <v>90.5625</v>
      </c>
      <c r="D988" s="57" t="s">
        <v>1867</v>
      </c>
      <c r="E988" s="50" t="s">
        <v>115</v>
      </c>
      <c r="F988" s="58">
        <v>562.4</v>
      </c>
      <c r="G988" s="52">
        <v>571.79</v>
      </c>
      <c r="H988" s="56">
        <v>0</v>
      </c>
      <c r="I988" s="13">
        <f t="shared" si="113"/>
        <v>9.3899999999999864</v>
      </c>
      <c r="J988" s="14">
        <f t="shared" si="118"/>
        <v>1.6696301564722595</v>
      </c>
      <c r="K988" s="56">
        <v>1.44</v>
      </c>
      <c r="L988" s="15">
        <f t="shared" si="114"/>
        <v>0</v>
      </c>
      <c r="M988" s="16">
        <f t="shared" si="115"/>
        <v>130.41</v>
      </c>
      <c r="N988" s="17">
        <f t="shared" si="119"/>
        <v>1.44</v>
      </c>
      <c r="O988" s="17">
        <f t="shared" si="116"/>
        <v>809.85599999999988</v>
      </c>
      <c r="P988" s="18">
        <f t="shared" si="117"/>
        <v>73342.583999999988</v>
      </c>
      <c r="R988" s="66" t="s">
        <v>1868</v>
      </c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>
      <c r="A989" s="54"/>
      <c r="B989" s="10">
        <v>45984</v>
      </c>
      <c r="C989" s="11">
        <f>VLOOKUP(B:B,'Курс валют'!A:D,4,0)</f>
        <v>90.5625</v>
      </c>
      <c r="D989" s="57" t="s">
        <v>1869</v>
      </c>
      <c r="E989" s="50" t="s">
        <v>104</v>
      </c>
      <c r="F989" s="58">
        <v>2400</v>
      </c>
      <c r="G989" s="57">
        <v>2490.7600000000002</v>
      </c>
      <c r="H989" s="56">
        <v>0</v>
      </c>
      <c r="I989" s="58">
        <f t="shared" si="113"/>
        <v>90.760000000000218</v>
      </c>
      <c r="J989" s="14">
        <f t="shared" si="118"/>
        <v>3.7816666666666756</v>
      </c>
      <c r="K989" s="56">
        <v>2.7</v>
      </c>
      <c r="L989" s="15">
        <f t="shared" si="114"/>
        <v>0</v>
      </c>
      <c r="M989" s="16">
        <f t="shared" si="115"/>
        <v>244.51875000000001</v>
      </c>
      <c r="N989" s="17">
        <f t="shared" si="119"/>
        <v>2.7</v>
      </c>
      <c r="O989" s="17">
        <f t="shared" si="116"/>
        <v>6480</v>
      </c>
      <c r="P989" s="18">
        <f t="shared" si="117"/>
        <v>586845</v>
      </c>
      <c r="R989" s="66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>
      <c r="A990" s="54"/>
      <c r="B990" s="10">
        <v>45985</v>
      </c>
      <c r="C990" s="11">
        <f>VLOOKUP(B:B,'Курс валют'!A:D,4,0)</f>
        <v>90.5625</v>
      </c>
      <c r="D990" s="57" t="s">
        <v>1870</v>
      </c>
      <c r="E990" s="50" t="s">
        <v>104</v>
      </c>
      <c r="F990" s="58">
        <v>2320</v>
      </c>
      <c r="G990" s="57">
        <v>2407.13</v>
      </c>
      <c r="H990" s="56">
        <v>0</v>
      </c>
      <c r="I990" s="58">
        <f t="shared" si="113"/>
        <v>87.130000000000109</v>
      </c>
      <c r="J990" s="14">
        <f t="shared" si="118"/>
        <v>3.7556034482758669</v>
      </c>
      <c r="K990" s="56">
        <v>2.71</v>
      </c>
      <c r="L990" s="15">
        <f t="shared" si="114"/>
        <v>0</v>
      </c>
      <c r="M990" s="16">
        <f t="shared" si="115"/>
        <v>245.42437499999997</v>
      </c>
      <c r="N990" s="17">
        <f>(F990*K990-H990*2.45)/F990</f>
        <v>2.71</v>
      </c>
      <c r="O990" s="17">
        <f t="shared" si="116"/>
        <v>6287.2</v>
      </c>
      <c r="P990" s="18">
        <f t="shared" si="117"/>
        <v>569384.54999999993</v>
      </c>
      <c r="R990" s="66" t="s">
        <v>1871</v>
      </c>
      <c r="S990" s="19"/>
      <c r="T990" s="20"/>
      <c r="U990" s="20"/>
      <c r="V990" s="20"/>
      <c r="W990" s="20"/>
      <c r="X990" s="20"/>
      <c r="Y990" s="20"/>
      <c r="Z990" s="20"/>
      <c r="AA990" s="20"/>
    </row>
    <row r="991" spans="1:27" ht="12.75">
      <c r="A991" s="54"/>
      <c r="B991" s="10">
        <v>45985</v>
      </c>
      <c r="C991" s="11">
        <f>VLOOKUP(B:B,'Курс валют'!A:D,4,0)</f>
        <v>90.5625</v>
      </c>
      <c r="D991" s="57" t="s">
        <v>1872</v>
      </c>
      <c r="E991" s="50" t="s">
        <v>15</v>
      </c>
      <c r="F991" s="58">
        <v>6600</v>
      </c>
      <c r="G991" s="57">
        <v>6708.36</v>
      </c>
      <c r="H991" s="49">
        <v>118.26</v>
      </c>
      <c r="I991" s="58">
        <f t="shared" si="113"/>
        <v>108.35999999999967</v>
      </c>
      <c r="J991" s="14">
        <f t="shared" si="118"/>
        <v>1.641818181818177</v>
      </c>
      <c r="K991" s="56">
        <v>2.4700000000000002</v>
      </c>
      <c r="L991" s="15">
        <f t="shared" si="114"/>
        <v>1.791818181818182</v>
      </c>
      <c r="M991" s="16">
        <f t="shared" si="115"/>
        <v>218.75632036363638</v>
      </c>
      <c r="N991" s="17">
        <f t="shared" ref="N991:N1049" si="120">(F991*K991-H991*3.04)/F991</f>
        <v>2.4155287272727275</v>
      </c>
      <c r="O991" s="17">
        <f t="shared" si="116"/>
        <v>15942.489600000001</v>
      </c>
      <c r="P991" s="18">
        <f t="shared" si="117"/>
        <v>1443791.7144000002</v>
      </c>
      <c r="R991" s="66"/>
      <c r="S991" s="19"/>
      <c r="T991" s="20"/>
      <c r="U991" s="20"/>
      <c r="V991" s="20"/>
      <c r="W991" s="20"/>
      <c r="X991" s="20"/>
      <c r="Y991" s="20"/>
      <c r="Z991" s="20"/>
      <c r="AA991" s="20"/>
    </row>
    <row r="992" spans="1:27" ht="12.75">
      <c r="A992" s="54"/>
      <c r="B992" s="10">
        <v>45985</v>
      </c>
      <c r="C992" s="11">
        <f>VLOOKUP(B:B,'Курс валют'!A:D,4,0)</f>
        <v>90.5625</v>
      </c>
      <c r="D992" s="57" t="s">
        <v>1873</v>
      </c>
      <c r="E992" s="50" t="s">
        <v>15</v>
      </c>
      <c r="F992" s="58">
        <v>4400</v>
      </c>
      <c r="G992" s="57">
        <v>4457.3999999999996</v>
      </c>
      <c r="H992" s="49">
        <f>62.8+97+94.46*3</f>
        <v>443.18</v>
      </c>
      <c r="I992" s="58">
        <f t="shared" si="113"/>
        <v>57.399999999999636</v>
      </c>
      <c r="J992" s="14">
        <f t="shared" si="118"/>
        <v>1.3045454545454462</v>
      </c>
      <c r="K992" s="56">
        <v>2.72</v>
      </c>
      <c r="L992" s="15">
        <f t="shared" si="114"/>
        <v>10.072272727272727</v>
      </c>
      <c r="M992" s="16">
        <f t="shared" si="115"/>
        <v>218.60002595454543</v>
      </c>
      <c r="N992" s="17">
        <f t="shared" si="120"/>
        <v>2.4138029090909092</v>
      </c>
      <c r="O992" s="17">
        <f t="shared" si="116"/>
        <v>10620.7328</v>
      </c>
      <c r="P992" s="18">
        <f t="shared" si="117"/>
        <v>961840.11419999995</v>
      </c>
      <c r="R992" s="65"/>
      <c r="S992" s="19"/>
      <c r="T992" s="20"/>
      <c r="U992" s="20"/>
      <c r="V992" s="20"/>
      <c r="W992" s="20"/>
      <c r="X992" s="20"/>
      <c r="Y992" s="20"/>
      <c r="Z992" s="20"/>
      <c r="AA992" s="20"/>
    </row>
    <row r="993" spans="1:27" ht="12.75">
      <c r="A993" s="54"/>
      <c r="B993" s="10">
        <v>45986</v>
      </c>
      <c r="C993" s="11">
        <f>VLOOKUP(B:B,'Курс валют'!A:D,4,0)</f>
        <v>91.367199999999997</v>
      </c>
      <c r="D993" s="57" t="s">
        <v>1874</v>
      </c>
      <c r="E993" s="50" t="s">
        <v>68</v>
      </c>
      <c r="F993" s="58">
        <v>1647</v>
      </c>
      <c r="G993" s="57">
        <v>1660.6610000000001</v>
      </c>
      <c r="H993" s="49">
        <v>180</v>
      </c>
      <c r="I993" s="58">
        <f t="shared" si="113"/>
        <v>13.661000000000058</v>
      </c>
      <c r="J993" s="14">
        <f t="shared" si="118"/>
        <v>0.82944748026715587</v>
      </c>
      <c r="K993" s="56">
        <v>2.21</v>
      </c>
      <c r="L993" s="15">
        <f t="shared" si="114"/>
        <v>10.928961748633879</v>
      </c>
      <c r="M993" s="16">
        <f t="shared" si="115"/>
        <v>171.56563353005467</v>
      </c>
      <c r="N993" s="17">
        <f t="shared" si="120"/>
        <v>1.87775956284153</v>
      </c>
      <c r="O993" s="17">
        <f t="shared" si="116"/>
        <v>3092.67</v>
      </c>
      <c r="P993" s="18">
        <f t="shared" si="117"/>
        <v>282568.59842400003</v>
      </c>
      <c r="R993" s="65"/>
      <c r="S993" s="19"/>
      <c r="T993" s="20"/>
      <c r="U993" s="20"/>
      <c r="V993" s="20"/>
      <c r="W993" s="20"/>
      <c r="X993" s="20"/>
      <c r="Y993" s="20"/>
      <c r="Z993" s="20"/>
      <c r="AA993" s="20"/>
    </row>
    <row r="994" spans="1:27" ht="12.75">
      <c r="A994" s="54"/>
      <c r="B994" s="10">
        <v>45986</v>
      </c>
      <c r="C994" s="11">
        <f>VLOOKUP(B:B,'Курс валют'!A:D,4,0)</f>
        <v>91.367199999999997</v>
      </c>
      <c r="D994" s="57" t="s">
        <v>1875</v>
      </c>
      <c r="E994" s="50" t="s">
        <v>52</v>
      </c>
      <c r="F994" s="58">
        <v>3000</v>
      </c>
      <c r="G994" s="57">
        <v>3033.3</v>
      </c>
      <c r="H994" s="49">
        <v>0</v>
      </c>
      <c r="I994" s="58">
        <f t="shared" si="113"/>
        <v>33.300000000000182</v>
      </c>
      <c r="J994" s="14">
        <f t="shared" si="118"/>
        <v>1.1100000000000061</v>
      </c>
      <c r="K994" s="56">
        <v>2.7</v>
      </c>
      <c r="L994" s="15">
        <f t="shared" si="114"/>
        <v>0</v>
      </c>
      <c r="M994" s="16">
        <f t="shared" si="115"/>
        <v>246.69144000000003</v>
      </c>
      <c r="N994" s="17">
        <f t="shared" si="120"/>
        <v>2.7</v>
      </c>
      <c r="O994" s="17">
        <f t="shared" si="116"/>
        <v>8100.0000000000009</v>
      </c>
      <c r="P994" s="18">
        <f t="shared" si="117"/>
        <v>740074.32000000007</v>
      </c>
      <c r="R994" s="65"/>
      <c r="S994" s="19"/>
      <c r="T994" s="20"/>
      <c r="U994" s="20"/>
      <c r="V994" s="20"/>
      <c r="W994" s="20"/>
      <c r="X994" s="20"/>
      <c r="Y994" s="20"/>
      <c r="Z994" s="20"/>
      <c r="AA994" s="20"/>
    </row>
    <row r="995" spans="1:27" ht="12.75">
      <c r="A995" s="54"/>
      <c r="B995" s="10">
        <v>45987</v>
      </c>
      <c r="C995" s="11">
        <f>VLOOKUP(B:B,'Курс валют'!A:D,4,0)</f>
        <v>90.969800000000006</v>
      </c>
      <c r="D995" s="57" t="s">
        <v>1876</v>
      </c>
      <c r="E995" s="50" t="s">
        <v>50</v>
      </c>
      <c r="F995" s="58">
        <v>800</v>
      </c>
      <c r="G995" s="57">
        <v>804.79</v>
      </c>
      <c r="H995" s="49">
        <v>0</v>
      </c>
      <c r="I995" s="58">
        <f t="shared" si="113"/>
        <v>4.7899999999999636</v>
      </c>
      <c r="J995" s="14">
        <f t="shared" si="118"/>
        <v>0.59874999999999545</v>
      </c>
      <c r="K995" s="56">
        <v>1.95</v>
      </c>
      <c r="L995" s="15">
        <f t="shared" si="114"/>
        <v>0</v>
      </c>
      <c r="M995" s="16">
        <f t="shared" si="115"/>
        <v>177.39111</v>
      </c>
      <c r="N995" s="17">
        <f t="shared" si="120"/>
        <v>1.95</v>
      </c>
      <c r="O995" s="17">
        <f t="shared" si="116"/>
        <v>1560</v>
      </c>
      <c r="P995" s="18">
        <f t="shared" si="117"/>
        <v>141912.88800000001</v>
      </c>
      <c r="R995" s="65"/>
      <c r="S995" s="19"/>
      <c r="T995" s="20"/>
      <c r="U995" s="20"/>
      <c r="V995" s="20"/>
      <c r="W995" s="20"/>
      <c r="X995" s="20"/>
      <c r="Y995" s="20"/>
      <c r="Z995" s="20"/>
      <c r="AA995" s="20"/>
    </row>
    <row r="996" spans="1:27" ht="12.75">
      <c r="A996" s="54"/>
      <c r="B996" s="10">
        <v>45988</v>
      </c>
      <c r="C996" s="11">
        <f>VLOOKUP(B:B,'Курс валют'!A:D,4,0)</f>
        <v>91.5047</v>
      </c>
      <c r="D996" s="57" t="s">
        <v>1877</v>
      </c>
      <c r="E996" s="50" t="s">
        <v>106</v>
      </c>
      <c r="F996" s="58">
        <v>1000</v>
      </c>
      <c r="G996" s="57">
        <v>1009</v>
      </c>
      <c r="H996" s="56">
        <v>0</v>
      </c>
      <c r="I996" s="58">
        <f t="shared" si="113"/>
        <v>9</v>
      </c>
      <c r="J996" s="14">
        <f t="shared" si="118"/>
        <v>0.89999999999999991</v>
      </c>
      <c r="K996" s="53">
        <v>2.5099999999999998</v>
      </c>
      <c r="L996" s="15">
        <f t="shared" si="114"/>
        <v>0</v>
      </c>
      <c r="M996" s="16">
        <f t="shared" si="115"/>
        <v>229.67679699999999</v>
      </c>
      <c r="N996" s="17">
        <f t="shared" si="120"/>
        <v>2.5099999999999998</v>
      </c>
      <c r="O996" s="17">
        <f t="shared" si="116"/>
        <v>2510</v>
      </c>
      <c r="P996" s="18">
        <f t="shared" si="117"/>
        <v>229676.79699999999</v>
      </c>
      <c r="R996" s="65"/>
      <c r="S996" s="19"/>
      <c r="T996" s="20"/>
      <c r="U996" s="20"/>
      <c r="V996" s="20"/>
      <c r="W996" s="20"/>
      <c r="X996" s="20"/>
      <c r="Y996" s="20"/>
      <c r="Z996" s="20"/>
      <c r="AA996" s="20"/>
    </row>
    <row r="997" spans="1:27" ht="12.75">
      <c r="A997" s="54"/>
      <c r="B997" s="10">
        <v>45988</v>
      </c>
      <c r="C997" s="11">
        <f>VLOOKUP(B:B,'Курс валют'!A:D,4,0)</f>
        <v>91.5047</v>
      </c>
      <c r="D997" s="57" t="s">
        <v>1878</v>
      </c>
      <c r="E997" s="50" t="s">
        <v>95</v>
      </c>
      <c r="F997" s="58">
        <v>360</v>
      </c>
      <c r="G997" s="57">
        <v>361</v>
      </c>
      <c r="H997" s="56">
        <v>0</v>
      </c>
      <c r="I997" s="58">
        <f t="shared" si="113"/>
        <v>1</v>
      </c>
      <c r="J997" s="14">
        <f t="shared" si="118"/>
        <v>0.27777777777777779</v>
      </c>
      <c r="K997" s="53">
        <v>2.0499999999999998</v>
      </c>
      <c r="L997" s="15">
        <f t="shared" si="114"/>
        <v>0</v>
      </c>
      <c r="M997" s="16">
        <f t="shared" si="115"/>
        <v>187.58463499999999</v>
      </c>
      <c r="N997" s="17">
        <f t="shared" si="120"/>
        <v>2.0499999999999998</v>
      </c>
      <c r="O997" s="17">
        <f t="shared" si="116"/>
        <v>737.99999999999989</v>
      </c>
      <c r="P997" s="18">
        <f t="shared" si="117"/>
        <v>67530.468599999993</v>
      </c>
      <c r="R997" s="65"/>
      <c r="S997" s="19"/>
      <c r="T997" s="20"/>
      <c r="U997" s="20"/>
      <c r="V997" s="20"/>
      <c r="W997" s="20"/>
      <c r="X997" s="20"/>
      <c r="Y997" s="20"/>
      <c r="Z997" s="20"/>
      <c r="AA997" s="20"/>
    </row>
    <row r="998" spans="1:27" ht="12.75">
      <c r="A998" s="54"/>
      <c r="B998" s="67">
        <v>45988</v>
      </c>
      <c r="C998" s="11">
        <f>VLOOKUP(B:B,'Курс валют'!A:D,4,0)</f>
        <v>91.5047</v>
      </c>
      <c r="D998" s="57" t="s">
        <v>1879</v>
      </c>
      <c r="E998" s="50" t="s">
        <v>15</v>
      </c>
      <c r="F998" s="58">
        <v>1100</v>
      </c>
      <c r="G998" s="57">
        <v>1111.31</v>
      </c>
      <c r="H998" s="56">
        <f>19.71</f>
        <v>19.71</v>
      </c>
      <c r="I998" s="58">
        <f t="shared" si="113"/>
        <v>11.309999999999945</v>
      </c>
      <c r="J998" s="14">
        <f t="shared" si="118"/>
        <v>1.0281818181818132</v>
      </c>
      <c r="K998" s="56">
        <v>2.54</v>
      </c>
      <c r="L998" s="15">
        <f t="shared" si="114"/>
        <v>1.791818181818182</v>
      </c>
      <c r="M998" s="16">
        <f t="shared" si="115"/>
        <v>227.43756053047272</v>
      </c>
      <c r="N998" s="17">
        <f t="shared" si="120"/>
        <v>2.4855287272727273</v>
      </c>
      <c r="O998" s="17">
        <f t="shared" si="116"/>
        <v>2734.0816</v>
      </c>
      <c r="P998" s="18">
        <f t="shared" si="117"/>
        <v>250181.31658352001</v>
      </c>
      <c r="R998" s="66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>
      <c r="A999" s="54"/>
      <c r="B999" s="10">
        <v>45988</v>
      </c>
      <c r="C999" s="11">
        <f>VLOOKUP(B:B,'Курс валют'!A:D,4,0)</f>
        <v>91.5047</v>
      </c>
      <c r="D999" s="57" t="s">
        <v>1880</v>
      </c>
      <c r="E999" s="55" t="s">
        <v>65</v>
      </c>
      <c r="F999" s="58">
        <v>4000</v>
      </c>
      <c r="G999" s="57">
        <v>4022.45</v>
      </c>
      <c r="H999" s="56">
        <v>379.4</v>
      </c>
      <c r="I999" s="58">
        <f t="shared" si="113"/>
        <v>22.449999999999818</v>
      </c>
      <c r="J999" s="14">
        <f t="shared" si="118"/>
        <v>0.56124999999999547</v>
      </c>
      <c r="K999" s="56">
        <v>2.16</v>
      </c>
      <c r="L999" s="15">
        <f t="shared" si="114"/>
        <v>9.4849999999999994</v>
      </c>
      <c r="M999" s="16">
        <f t="shared" si="115"/>
        <v>171.2653207832</v>
      </c>
      <c r="N999" s="17">
        <f t="shared" si="120"/>
        <v>1.871656</v>
      </c>
      <c r="O999" s="17">
        <f t="shared" si="116"/>
        <v>7486.6239999999998</v>
      </c>
      <c r="P999" s="18">
        <f t="shared" si="117"/>
        <v>685061.28313280002</v>
      </c>
      <c r="R999" s="66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>
      <c r="A1000" s="54"/>
      <c r="B1000" s="73">
        <v>45988</v>
      </c>
      <c r="C1000" s="11">
        <f>VLOOKUP(B:B,'Курс валют'!A:D,4,0)</f>
        <v>91.5047</v>
      </c>
      <c r="D1000" s="57" t="s">
        <v>1881</v>
      </c>
      <c r="E1000" s="50" t="s">
        <v>78</v>
      </c>
      <c r="F1000" s="58">
        <v>2000</v>
      </c>
      <c r="G1000" s="58">
        <v>2062.15</v>
      </c>
      <c r="H1000" s="22">
        <v>0</v>
      </c>
      <c r="I1000" s="58">
        <f t="shared" si="113"/>
        <v>62.150000000000091</v>
      </c>
      <c r="J1000" s="14">
        <f t="shared" si="118"/>
        <v>3.1075000000000048</v>
      </c>
      <c r="K1000" s="56">
        <v>2.36</v>
      </c>
      <c r="L1000" s="15">
        <f t="shared" si="114"/>
        <v>0</v>
      </c>
      <c r="M1000" s="16">
        <f t="shared" si="115"/>
        <v>215.95109200000002</v>
      </c>
      <c r="N1000" s="17">
        <f t="shared" si="120"/>
        <v>2.36</v>
      </c>
      <c r="O1000" s="17">
        <f t="shared" si="116"/>
        <v>4720</v>
      </c>
      <c r="P1000" s="18">
        <f t="shared" si="117"/>
        <v>431902.18400000001</v>
      </c>
      <c r="R1000" s="65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 spans="1:27" ht="12.75">
      <c r="A1001" s="54"/>
      <c r="B1001" s="10">
        <v>45989</v>
      </c>
      <c r="C1001" s="11">
        <f>VLOOKUP(B:B,'Курс валют'!A:D,4,0)</f>
        <v>90.787999999999997</v>
      </c>
      <c r="D1001" s="57" t="s">
        <v>1882</v>
      </c>
      <c r="E1001" s="50" t="s">
        <v>61</v>
      </c>
      <c r="F1001" s="58">
        <v>2200</v>
      </c>
      <c r="G1001" s="58">
        <v>2244.44</v>
      </c>
      <c r="H1001" s="22">
        <v>0</v>
      </c>
      <c r="I1001" s="58">
        <f t="shared" si="113"/>
        <v>44.440000000000055</v>
      </c>
      <c r="J1001" s="14">
        <f t="shared" si="118"/>
        <v>2.0200000000000022</v>
      </c>
      <c r="K1001" s="56">
        <v>2.56</v>
      </c>
      <c r="L1001" s="15">
        <f t="shared" si="114"/>
        <v>0</v>
      </c>
      <c r="M1001" s="16">
        <f t="shared" si="115"/>
        <v>232.41728000000001</v>
      </c>
      <c r="N1001" s="17">
        <f t="shared" si="120"/>
        <v>2.56</v>
      </c>
      <c r="O1001" s="17">
        <f t="shared" si="116"/>
        <v>5632</v>
      </c>
      <c r="P1001" s="18">
        <f t="shared" si="117"/>
        <v>511318.016</v>
      </c>
      <c r="R1001" s="65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 spans="1:27" ht="12.75">
      <c r="A1002" s="54"/>
      <c r="B1002" s="10">
        <v>45989</v>
      </c>
      <c r="C1002" s="11">
        <f>VLOOKUP(B:B,'Курс валют'!A:D,4,0)</f>
        <v>90.787999999999997</v>
      </c>
      <c r="D1002" s="57" t="s">
        <v>1883</v>
      </c>
      <c r="E1002" s="55" t="s">
        <v>65</v>
      </c>
      <c r="F1002" s="58">
        <v>7200</v>
      </c>
      <c r="G1002" s="58">
        <v>7240.41</v>
      </c>
      <c r="H1002" s="56">
        <v>682.92</v>
      </c>
      <c r="I1002" s="58">
        <f t="shared" si="113"/>
        <v>40.409999999999854</v>
      </c>
      <c r="J1002" s="14">
        <f t="shared" si="118"/>
        <v>0.56124999999999792</v>
      </c>
      <c r="K1002" s="56">
        <v>2.17</v>
      </c>
      <c r="L1002" s="15">
        <f t="shared" si="114"/>
        <v>9.4849999999999994</v>
      </c>
      <c r="M1002" s="16">
        <f t="shared" si="115"/>
        <v>170.83178492799999</v>
      </c>
      <c r="N1002" s="17">
        <f t="shared" si="120"/>
        <v>1.8816560000000002</v>
      </c>
      <c r="O1002" s="17">
        <f t="shared" si="116"/>
        <v>13547.923200000001</v>
      </c>
      <c r="P1002" s="18">
        <f t="shared" si="117"/>
        <v>1229988.8514816</v>
      </c>
      <c r="R1002" s="66"/>
      <c r="S1002" s="19"/>
      <c r="T1002" s="20"/>
      <c r="U1002" s="20"/>
      <c r="V1002" s="20"/>
      <c r="W1002" s="20"/>
      <c r="X1002" s="20"/>
      <c r="Y1002" s="20"/>
      <c r="Z1002" s="20"/>
      <c r="AA1002" s="20"/>
    </row>
    <row r="1003" spans="1:27" ht="12.75">
      <c r="A1003" s="54"/>
      <c r="B1003" s="10">
        <v>45990</v>
      </c>
      <c r="C1003" s="11">
        <f>VLOOKUP(B:B,'Курс валют'!A:D,4,0)</f>
        <v>90.819000000000003</v>
      </c>
      <c r="D1003" s="57" t="s">
        <v>1884</v>
      </c>
      <c r="E1003" s="55" t="s">
        <v>61</v>
      </c>
      <c r="F1003" s="58">
        <v>1800</v>
      </c>
      <c r="G1003" s="58">
        <v>1842.75</v>
      </c>
      <c r="H1003" s="22">
        <v>0</v>
      </c>
      <c r="I1003" s="58">
        <f t="shared" si="113"/>
        <v>42.75</v>
      </c>
      <c r="J1003" s="14">
        <f t="shared" si="118"/>
        <v>2.375</v>
      </c>
      <c r="K1003" s="56">
        <v>2.59</v>
      </c>
      <c r="L1003" s="15">
        <f t="shared" si="114"/>
        <v>0</v>
      </c>
      <c r="M1003" s="16">
        <f t="shared" si="115"/>
        <v>235.22121000000001</v>
      </c>
      <c r="N1003" s="17">
        <f t="shared" si="120"/>
        <v>2.59</v>
      </c>
      <c r="O1003" s="17">
        <f t="shared" si="116"/>
        <v>4662</v>
      </c>
      <c r="P1003" s="18">
        <f t="shared" si="117"/>
        <v>423398.17800000001</v>
      </c>
      <c r="R1003" s="66"/>
      <c r="S1003" s="19"/>
      <c r="T1003" s="20"/>
      <c r="U1003" s="20"/>
      <c r="V1003" s="20"/>
      <c r="W1003" s="20"/>
      <c r="X1003" s="20"/>
      <c r="Y1003" s="20"/>
      <c r="Z1003" s="20"/>
      <c r="AA1003" s="20"/>
    </row>
    <row r="1004" spans="1:27" ht="12.75">
      <c r="A1004" s="54"/>
      <c r="B1004" s="10">
        <v>45990</v>
      </c>
      <c r="C1004" s="11">
        <f>VLOOKUP(B:B,'Курс валют'!A:D,4,0)</f>
        <v>90.819000000000003</v>
      </c>
      <c r="D1004" s="57" t="s">
        <v>1885</v>
      </c>
      <c r="E1004" s="55" t="s">
        <v>103</v>
      </c>
      <c r="F1004" s="58">
        <v>8000</v>
      </c>
      <c r="G1004" s="58">
        <v>8044.8</v>
      </c>
      <c r="H1004" s="56">
        <v>761.5</v>
      </c>
      <c r="I1004" s="58">
        <f t="shared" si="113"/>
        <v>44.800000000000182</v>
      </c>
      <c r="J1004" s="14">
        <f t="shared" si="118"/>
        <v>0.56000000000000227</v>
      </c>
      <c r="K1004" s="56">
        <v>2.11</v>
      </c>
      <c r="L1004" s="15">
        <f t="shared" si="114"/>
        <v>9.5187499999999989</v>
      </c>
      <c r="M1004" s="16">
        <f t="shared" si="115"/>
        <v>165.34779596999999</v>
      </c>
      <c r="N1004" s="17">
        <f t="shared" si="120"/>
        <v>1.8206300000000002</v>
      </c>
      <c r="O1004" s="17">
        <f t="shared" si="116"/>
        <v>14565.04</v>
      </c>
      <c r="P1004" s="18">
        <f t="shared" si="117"/>
        <v>1322782.3677600001</v>
      </c>
      <c r="R1004" s="66"/>
      <c r="S1004" s="19"/>
      <c r="T1004" s="20"/>
      <c r="U1004" s="20"/>
      <c r="V1004" s="20"/>
      <c r="W1004" s="20"/>
      <c r="X1004" s="20"/>
      <c r="Y1004" s="20"/>
      <c r="Z1004" s="20"/>
      <c r="AA1004" s="20"/>
    </row>
    <row r="1005" spans="1:27" ht="12.75">
      <c r="A1005" s="54"/>
      <c r="B1005" s="10">
        <v>45991</v>
      </c>
      <c r="C1005" s="11">
        <f>VLOOKUP(B:B,'Курс валют'!A:D,4,0)</f>
        <v>90.819000000000003</v>
      </c>
      <c r="D1005" s="57" t="s">
        <v>1886</v>
      </c>
      <c r="E1005" s="55" t="s">
        <v>95</v>
      </c>
      <c r="F1005" s="58">
        <v>6600</v>
      </c>
      <c r="G1005" s="58">
        <v>6620</v>
      </c>
      <c r="H1005" s="56">
        <v>0</v>
      </c>
      <c r="I1005" s="58">
        <f t="shared" si="113"/>
        <v>20</v>
      </c>
      <c r="J1005" s="14">
        <f t="shared" si="118"/>
        <v>0.30303030303030304</v>
      </c>
      <c r="K1005" s="56">
        <v>2.04</v>
      </c>
      <c r="L1005" s="15">
        <f t="shared" si="114"/>
        <v>0</v>
      </c>
      <c r="M1005" s="16">
        <f t="shared" si="115"/>
        <v>185.27076</v>
      </c>
      <c r="N1005" s="17">
        <f t="shared" si="120"/>
        <v>2.04</v>
      </c>
      <c r="O1005" s="17">
        <f t="shared" si="116"/>
        <v>13464</v>
      </c>
      <c r="P1005" s="18">
        <f t="shared" si="117"/>
        <v>1222787.0160000001</v>
      </c>
      <c r="R1005" s="66" t="s">
        <v>1887</v>
      </c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 spans="1:27" ht="12.75">
      <c r="A1006" s="10"/>
      <c r="B1006" s="10">
        <v>45992</v>
      </c>
      <c r="C1006" s="11">
        <f>VLOOKUP(B:B,'Курс валют'!A:D,4,0)</f>
        <v>90.819000000000003</v>
      </c>
      <c r="D1006" s="45" t="s">
        <v>1718</v>
      </c>
      <c r="E1006" s="62" t="s">
        <v>1719</v>
      </c>
      <c r="F1006" s="11">
        <v>7.73</v>
      </c>
      <c r="G1006" s="11">
        <v>14.11</v>
      </c>
      <c r="H1006" s="56">
        <v>0</v>
      </c>
      <c r="I1006" s="58">
        <f t="shared" si="113"/>
        <v>6.379999999999999</v>
      </c>
      <c r="J1006" s="14">
        <f t="shared" si="118"/>
        <v>82.535575679172041</v>
      </c>
      <c r="K1006" s="46">
        <v>4.99</v>
      </c>
      <c r="L1006" s="15">
        <f t="shared" si="114"/>
        <v>0</v>
      </c>
      <c r="M1006" s="16">
        <f t="shared" si="115"/>
        <v>453.18681000000009</v>
      </c>
      <c r="N1006" s="17">
        <f t="shared" si="120"/>
        <v>4.99</v>
      </c>
      <c r="O1006" s="17">
        <f t="shared" si="116"/>
        <v>38.572700000000005</v>
      </c>
      <c r="P1006" s="18">
        <f t="shared" si="117"/>
        <v>3503.1340413000007</v>
      </c>
      <c r="R1006" s="66"/>
      <c r="S1006" s="19"/>
      <c r="T1006" s="20"/>
      <c r="U1006" s="20"/>
      <c r="V1006" s="20"/>
      <c r="W1006" s="20"/>
      <c r="X1006" s="20"/>
      <c r="Y1006" s="20"/>
      <c r="Z1006" s="20"/>
      <c r="AA1006" s="20"/>
    </row>
    <row r="1007" spans="1:27" ht="12.75">
      <c r="A1007" s="10"/>
      <c r="B1007" s="10">
        <v>45992</v>
      </c>
      <c r="C1007" s="11">
        <f>VLOOKUP(B:B,'Курс валют'!A:D,4,0)</f>
        <v>90.819000000000003</v>
      </c>
      <c r="D1007" s="57" t="s">
        <v>1720</v>
      </c>
      <c r="E1007" s="12" t="s">
        <v>111</v>
      </c>
      <c r="F1007" s="58">
        <v>7.73</v>
      </c>
      <c r="G1007" s="58">
        <v>17.829999999999998</v>
      </c>
      <c r="H1007" s="56">
        <v>0</v>
      </c>
      <c r="I1007" s="58">
        <f t="shared" ref="I1007:I1101" si="121">G1007-F1007</f>
        <v>10.099999999999998</v>
      </c>
      <c r="J1007" s="14">
        <f t="shared" si="118"/>
        <v>130.65976714100901</v>
      </c>
      <c r="K1007" s="56">
        <v>5.44</v>
      </c>
      <c r="L1007" s="15">
        <f t="shared" ref="L1007:L1101" si="122">H1007/F1007*100</f>
        <v>0</v>
      </c>
      <c r="M1007" s="16">
        <f t="shared" ref="M1007:M1101" si="123">P1007/F1007</f>
        <v>494.05536000000012</v>
      </c>
      <c r="N1007" s="17">
        <f t="shared" si="120"/>
        <v>5.44</v>
      </c>
      <c r="O1007" s="17">
        <f t="shared" ref="O1007:O1101" si="124">N1007*F1007</f>
        <v>42.051200000000009</v>
      </c>
      <c r="P1007" s="18">
        <f t="shared" ref="P1007:P1101" si="125">O1007*C1007</f>
        <v>3819.047932800001</v>
      </c>
      <c r="R1007" s="66"/>
      <c r="S1007" s="19"/>
      <c r="T1007" s="20"/>
      <c r="U1007" s="20"/>
      <c r="V1007" s="20"/>
      <c r="W1007" s="20"/>
      <c r="X1007" s="20"/>
      <c r="Y1007" s="20"/>
      <c r="Z1007" s="20"/>
      <c r="AA1007" s="20"/>
    </row>
    <row r="1008" spans="1:27" ht="12.75">
      <c r="A1008" s="10"/>
      <c r="B1008" s="67">
        <v>45992</v>
      </c>
      <c r="C1008" s="11">
        <f>VLOOKUP(B:B,'Курс валют'!A:D,4,0)</f>
        <v>90.819000000000003</v>
      </c>
      <c r="D1008" s="57" t="s">
        <v>14</v>
      </c>
      <c r="E1008" s="12" t="s">
        <v>15</v>
      </c>
      <c r="F1008" s="58">
        <v>4400</v>
      </c>
      <c r="G1008" s="13">
        <v>4473.24</v>
      </c>
      <c r="H1008" s="56">
        <v>78.84</v>
      </c>
      <c r="I1008" s="13">
        <f t="shared" si="121"/>
        <v>73.239999999999782</v>
      </c>
      <c r="J1008" s="14">
        <f t="shared" si="118"/>
        <v>1.6645454545454494</v>
      </c>
      <c r="K1008" s="56">
        <v>2.57</v>
      </c>
      <c r="L1008" s="15">
        <f t="shared" si="122"/>
        <v>1.791818181818182</v>
      </c>
      <c r="M1008" s="16">
        <f t="shared" si="123"/>
        <v>228.45780348218182</v>
      </c>
      <c r="N1008" s="17">
        <f t="shared" si="120"/>
        <v>2.5155287272727271</v>
      </c>
      <c r="O1008" s="17">
        <f t="shared" si="124"/>
        <v>11068.3264</v>
      </c>
      <c r="P1008" s="18">
        <f t="shared" si="125"/>
        <v>1005214.3353216</v>
      </c>
      <c r="R1008" s="66"/>
      <c r="S1008" s="19"/>
      <c r="T1008" s="20"/>
      <c r="U1008" s="20"/>
      <c r="V1008" s="20"/>
      <c r="W1008" s="20"/>
      <c r="X1008" s="20"/>
      <c r="Y1008" s="20"/>
      <c r="Z1008" s="20"/>
      <c r="AA1008" s="20"/>
    </row>
    <row r="1009" spans="1:27" ht="12.75">
      <c r="A1009" s="10"/>
      <c r="B1009" s="10">
        <v>45993</v>
      </c>
      <c r="C1009" s="11">
        <f>VLOOKUP(B:B,'Курс валют'!A:D,4,0)</f>
        <v>90.343800000000002</v>
      </c>
      <c r="D1009" s="57" t="s">
        <v>1721</v>
      </c>
      <c r="E1009" s="26" t="s">
        <v>108</v>
      </c>
      <c r="F1009" s="58">
        <v>200</v>
      </c>
      <c r="G1009" s="58">
        <v>206.67</v>
      </c>
      <c r="H1009" s="56">
        <v>0</v>
      </c>
      <c r="I1009" s="58">
        <f t="shared" si="121"/>
        <v>6.6699999999999875</v>
      </c>
      <c r="J1009" s="14">
        <f t="shared" si="118"/>
        <v>3.3349999999999937</v>
      </c>
      <c r="K1009" s="56">
        <v>2.63</v>
      </c>
      <c r="L1009" s="15">
        <f t="shared" si="122"/>
        <v>0</v>
      </c>
      <c r="M1009" s="16">
        <f t="shared" si="123"/>
        <v>237.60419399999998</v>
      </c>
      <c r="N1009" s="17">
        <f t="shared" si="120"/>
        <v>2.63</v>
      </c>
      <c r="O1009" s="17">
        <f t="shared" si="124"/>
        <v>526</v>
      </c>
      <c r="P1009" s="18">
        <f t="shared" si="125"/>
        <v>47520.838799999998</v>
      </c>
      <c r="R1009" s="66"/>
      <c r="S1009" s="19"/>
      <c r="T1009" s="20"/>
      <c r="U1009" s="20"/>
      <c r="V1009" s="20"/>
      <c r="W1009" s="20"/>
      <c r="X1009" s="20"/>
      <c r="Y1009" s="20"/>
      <c r="Z1009" s="20"/>
      <c r="AA1009" s="20"/>
    </row>
    <row r="1010" spans="1:27" ht="12.75">
      <c r="A1010" s="10"/>
      <c r="B1010" s="10">
        <v>45993</v>
      </c>
      <c r="C1010" s="11">
        <f>VLOOKUP(B:B,'Курс валют'!A:D,4,0)</f>
        <v>90.343800000000002</v>
      </c>
      <c r="D1010" s="57" t="s">
        <v>1722</v>
      </c>
      <c r="E1010" s="26" t="s">
        <v>108</v>
      </c>
      <c r="F1010" s="58">
        <v>200</v>
      </c>
      <c r="G1010" s="58">
        <v>206.67</v>
      </c>
      <c r="H1010" s="56">
        <v>0</v>
      </c>
      <c r="I1010" s="58">
        <f t="shared" si="121"/>
        <v>6.6699999999999875</v>
      </c>
      <c r="J1010" s="14">
        <f t="shared" si="118"/>
        <v>3.3349999999999937</v>
      </c>
      <c r="K1010" s="56">
        <v>2.63</v>
      </c>
      <c r="L1010" s="15">
        <f t="shared" si="122"/>
        <v>0</v>
      </c>
      <c r="M1010" s="16">
        <f t="shared" si="123"/>
        <v>237.60419399999998</v>
      </c>
      <c r="N1010" s="17">
        <f t="shared" si="120"/>
        <v>2.63</v>
      </c>
      <c r="O1010" s="17">
        <f t="shared" si="124"/>
        <v>526</v>
      </c>
      <c r="P1010" s="18">
        <f t="shared" si="125"/>
        <v>47520.838799999998</v>
      </c>
      <c r="R1010" s="66"/>
      <c r="S1010" s="19"/>
      <c r="T1010" s="20"/>
      <c r="U1010" s="20"/>
      <c r="V1010" s="20"/>
      <c r="W1010" s="20"/>
      <c r="X1010" s="20"/>
      <c r="Y1010" s="20"/>
      <c r="Z1010" s="20"/>
      <c r="AA1010" s="20"/>
    </row>
    <row r="1011" spans="1:27" ht="12.75">
      <c r="A1011" s="10"/>
      <c r="B1011" s="10">
        <v>45993</v>
      </c>
      <c r="C1011" s="11">
        <f>VLOOKUP(B:B,'Курс валют'!A:D,4,0)</f>
        <v>90.343800000000002</v>
      </c>
      <c r="D1011" s="57" t="s">
        <v>1723</v>
      </c>
      <c r="E1011" s="26" t="s">
        <v>110</v>
      </c>
      <c r="F1011" s="58">
        <v>200</v>
      </c>
      <c r="G1011" s="58">
        <v>201.45</v>
      </c>
      <c r="H1011" s="56">
        <v>0</v>
      </c>
      <c r="I1011" s="58">
        <f t="shared" si="121"/>
        <v>1.4499999999999886</v>
      </c>
      <c r="J1011" s="14">
        <f t="shared" si="118"/>
        <v>0.72499999999999432</v>
      </c>
      <c r="K1011" s="56">
        <v>2.4300000000000002</v>
      </c>
      <c r="L1011" s="15">
        <f t="shared" si="122"/>
        <v>0</v>
      </c>
      <c r="M1011" s="16">
        <f t="shared" si="123"/>
        <v>219.53543400000001</v>
      </c>
      <c r="N1011" s="17">
        <f t="shared" si="120"/>
        <v>2.4300000000000002</v>
      </c>
      <c r="O1011" s="17">
        <f t="shared" si="124"/>
        <v>486.00000000000006</v>
      </c>
      <c r="P1011" s="18">
        <f t="shared" si="125"/>
        <v>43907.086800000005</v>
      </c>
      <c r="R1011" s="66"/>
      <c r="S1011" s="19"/>
      <c r="T1011" s="20"/>
      <c r="U1011" s="20"/>
      <c r="V1011" s="20"/>
      <c r="W1011" s="20"/>
      <c r="X1011" s="20"/>
      <c r="Y1011" s="20"/>
      <c r="Z1011" s="20"/>
      <c r="AA1011" s="20"/>
    </row>
    <row r="1012" spans="1:27" ht="12.75">
      <c r="A1012" s="10"/>
      <c r="B1012" s="10">
        <v>45993</v>
      </c>
      <c r="C1012" s="11">
        <f>VLOOKUP(B:B,'Курс валют'!A:D,4,0)</f>
        <v>90.343800000000002</v>
      </c>
      <c r="D1012" s="58" t="s">
        <v>1724</v>
      </c>
      <c r="E1012" s="64" t="s">
        <v>70</v>
      </c>
      <c r="F1012" s="58">
        <v>1000</v>
      </c>
      <c r="G1012" s="58">
        <v>1000</v>
      </c>
      <c r="H1012" s="56">
        <v>42.3</v>
      </c>
      <c r="I1012" s="58">
        <f t="shared" si="121"/>
        <v>0</v>
      </c>
      <c r="J1012" s="14">
        <f t="shared" si="118"/>
        <v>0</v>
      </c>
      <c r="K1012" s="56">
        <v>2.74</v>
      </c>
      <c r="L1012" s="15">
        <f t="shared" si="122"/>
        <v>4.2299999999999995</v>
      </c>
      <c r="M1012" s="16">
        <f t="shared" si="123"/>
        <v>235.9245220704</v>
      </c>
      <c r="N1012" s="17">
        <f t="shared" si="120"/>
        <v>2.611408</v>
      </c>
      <c r="O1012" s="17">
        <f t="shared" si="124"/>
        <v>2611.4079999999999</v>
      </c>
      <c r="P1012" s="18">
        <f t="shared" si="125"/>
        <v>235924.52207040001</v>
      </c>
      <c r="R1012" s="66" t="s">
        <v>1267</v>
      </c>
      <c r="S1012" s="19"/>
      <c r="T1012" s="20"/>
      <c r="U1012" s="20"/>
      <c r="V1012" s="20"/>
      <c r="W1012" s="20"/>
      <c r="X1012" s="20"/>
      <c r="Y1012" s="20"/>
      <c r="Z1012" s="20"/>
      <c r="AA1012" s="20"/>
    </row>
    <row r="1013" spans="1:27" ht="12.75">
      <c r="A1013" s="10"/>
      <c r="B1013" s="10">
        <v>45994</v>
      </c>
      <c r="C1013" s="11">
        <f>VLOOKUP(B:B,'Курс валют'!A:D,4,0)</f>
        <v>89.851399999999998</v>
      </c>
      <c r="D1013" s="57" t="s">
        <v>16</v>
      </c>
      <c r="E1013" s="21" t="s">
        <v>15</v>
      </c>
      <c r="F1013" s="58">
        <v>11000</v>
      </c>
      <c r="G1013" s="58">
        <v>11333.1</v>
      </c>
      <c r="H1013" s="56">
        <v>197.1</v>
      </c>
      <c r="I1013" s="58">
        <f t="shared" si="121"/>
        <v>333.10000000000036</v>
      </c>
      <c r="J1013" s="14">
        <f t="shared" si="118"/>
        <v>3.0281818181818214</v>
      </c>
      <c r="K1013" s="56">
        <v>2.61</v>
      </c>
      <c r="L1013" s="15">
        <f t="shared" si="122"/>
        <v>1.791818181818182</v>
      </c>
      <c r="M1013" s="16">
        <f t="shared" si="123"/>
        <v>229.61783388567272</v>
      </c>
      <c r="N1013" s="17">
        <f t="shared" si="120"/>
        <v>2.5555287272727272</v>
      </c>
      <c r="O1013" s="17">
        <f t="shared" si="124"/>
        <v>28110.815999999999</v>
      </c>
      <c r="P1013" s="18">
        <f t="shared" si="125"/>
        <v>2525796.1727423999</v>
      </c>
      <c r="R1013" s="66"/>
      <c r="S1013" s="19"/>
      <c r="T1013" s="20"/>
      <c r="U1013" s="20"/>
      <c r="V1013" s="20"/>
      <c r="W1013" s="20"/>
      <c r="X1013" s="20"/>
      <c r="Y1013" s="20"/>
      <c r="Z1013" s="20"/>
      <c r="AA1013" s="20"/>
    </row>
    <row r="1014" spans="1:27" ht="12.75">
      <c r="A1014" s="10"/>
      <c r="B1014" s="10">
        <v>45994</v>
      </c>
      <c r="C1014" s="11">
        <f>VLOOKUP(B:B,'Курс валют'!A:D,4,0)</f>
        <v>89.851399999999998</v>
      </c>
      <c r="D1014" s="57" t="s">
        <v>1725</v>
      </c>
      <c r="E1014" s="21" t="s">
        <v>70</v>
      </c>
      <c r="F1014" s="58">
        <v>600</v>
      </c>
      <c r="G1014" s="58">
        <v>600</v>
      </c>
      <c r="H1014" s="56">
        <v>0</v>
      </c>
      <c r="I1014" s="58">
        <f t="shared" si="121"/>
        <v>0</v>
      </c>
      <c r="J1014" s="14">
        <f t="shared" si="118"/>
        <v>0</v>
      </c>
      <c r="K1014" s="56">
        <v>2.59</v>
      </c>
      <c r="L1014" s="15">
        <f t="shared" si="122"/>
        <v>0</v>
      </c>
      <c r="M1014" s="16">
        <f t="shared" si="123"/>
        <v>232.71512600000003</v>
      </c>
      <c r="N1014" s="17">
        <f t="shared" si="120"/>
        <v>2.59</v>
      </c>
      <c r="O1014" s="17">
        <f t="shared" si="124"/>
        <v>1554</v>
      </c>
      <c r="P1014" s="18">
        <f t="shared" si="125"/>
        <v>139629.07560000001</v>
      </c>
      <c r="R1014" s="66" t="s">
        <v>1726</v>
      </c>
      <c r="S1014" s="19"/>
      <c r="T1014" s="20"/>
      <c r="U1014" s="20"/>
      <c r="V1014" s="20"/>
      <c r="W1014" s="20"/>
      <c r="X1014" s="20"/>
      <c r="Y1014" s="20"/>
      <c r="Z1014" s="20"/>
      <c r="AA1014" s="20"/>
    </row>
    <row r="1015" spans="1:27" ht="12.75">
      <c r="A1015" s="10"/>
      <c r="B1015" s="10">
        <v>45995</v>
      </c>
      <c r="C1015" s="11">
        <f>VLOOKUP(B:B,'Курс валют'!A:D,4,0)</f>
        <v>90.590299999999999</v>
      </c>
      <c r="D1015" s="57" t="s">
        <v>1727</v>
      </c>
      <c r="E1015" s="68" t="s">
        <v>70</v>
      </c>
      <c r="F1015" s="58">
        <v>1200</v>
      </c>
      <c r="G1015" s="58">
        <v>1200</v>
      </c>
      <c r="H1015" s="56">
        <v>0</v>
      </c>
      <c r="I1015" s="58">
        <f t="shared" si="121"/>
        <v>0</v>
      </c>
      <c r="J1015" s="14">
        <f t="shared" si="118"/>
        <v>0</v>
      </c>
      <c r="K1015" s="56">
        <v>2.62</v>
      </c>
      <c r="L1015" s="15">
        <f t="shared" si="122"/>
        <v>0</v>
      </c>
      <c r="M1015" s="16">
        <f t="shared" si="123"/>
        <v>237.346586</v>
      </c>
      <c r="N1015" s="17">
        <f t="shared" si="120"/>
        <v>2.62</v>
      </c>
      <c r="O1015" s="17">
        <f t="shared" si="124"/>
        <v>3144</v>
      </c>
      <c r="P1015" s="18">
        <f t="shared" si="125"/>
        <v>284815.9032</v>
      </c>
      <c r="R1015" s="66" t="s">
        <v>1728</v>
      </c>
      <c r="S1015" s="19"/>
      <c r="T1015" s="20"/>
      <c r="U1015" s="20"/>
      <c r="V1015" s="20"/>
      <c r="W1015" s="20"/>
      <c r="X1015" s="20"/>
      <c r="Y1015" s="20"/>
      <c r="Z1015" s="20"/>
      <c r="AA1015" s="20"/>
    </row>
    <row r="1016" spans="1:27" ht="12.75">
      <c r="A1016" s="10"/>
      <c r="B1016" s="67">
        <v>45995</v>
      </c>
      <c r="C1016" s="11">
        <f>VLOOKUP(B:B,'Курс валют'!A:D,4,0)</f>
        <v>90.590299999999999</v>
      </c>
      <c r="D1016" s="57" t="s">
        <v>17</v>
      </c>
      <c r="E1016" s="21" t="s">
        <v>15</v>
      </c>
      <c r="F1016" s="58">
        <v>9900</v>
      </c>
      <c r="G1016" s="58">
        <v>9965.7999999999993</v>
      </c>
      <c r="H1016" s="22">
        <v>177.39</v>
      </c>
      <c r="I1016" s="58">
        <f t="shared" si="121"/>
        <v>65.799999999999272</v>
      </c>
      <c r="J1016" s="14">
        <f t="shared" si="118"/>
        <v>0.66464646464645727</v>
      </c>
      <c r="K1016" s="56">
        <v>2.57</v>
      </c>
      <c r="L1016" s="15">
        <f t="shared" si="122"/>
        <v>1.7918181818181815</v>
      </c>
      <c r="M1016" s="16">
        <f t="shared" si="123"/>
        <v>227.88250206225459</v>
      </c>
      <c r="N1016" s="17">
        <f t="shared" si="120"/>
        <v>2.5155287272727276</v>
      </c>
      <c r="O1016" s="17">
        <f t="shared" si="124"/>
        <v>24903.734400000005</v>
      </c>
      <c r="P1016" s="18">
        <f t="shared" si="125"/>
        <v>2256036.7704163203</v>
      </c>
      <c r="R1016" s="66"/>
      <c r="S1016" s="19"/>
      <c r="T1016" s="20"/>
      <c r="U1016" s="20"/>
      <c r="V1016" s="20"/>
      <c r="W1016" s="20"/>
      <c r="X1016" s="20"/>
      <c r="Y1016" s="20"/>
      <c r="Z1016" s="20"/>
      <c r="AA1016" s="20"/>
    </row>
    <row r="1017" spans="1:27" ht="12.75">
      <c r="A1017" s="10"/>
      <c r="B1017" s="10">
        <v>45996</v>
      </c>
      <c r="C1017" s="11">
        <f>VLOOKUP(B:B,'Курс валют'!A:D,4,0)</f>
        <v>89.9011</v>
      </c>
      <c r="D1017" s="57" t="s">
        <v>18</v>
      </c>
      <c r="E1017" s="64" t="s">
        <v>15</v>
      </c>
      <c r="F1017" s="58">
        <v>11000</v>
      </c>
      <c r="G1017" s="58">
        <v>11093.1</v>
      </c>
      <c r="H1017" s="56">
        <v>4072.29</v>
      </c>
      <c r="I1017" s="58">
        <f t="shared" si="121"/>
        <v>93.100000000000364</v>
      </c>
      <c r="J1017" s="14">
        <f t="shared" ref="J1017:J1101" si="126">I1017/F1017*100</f>
        <v>0.84636363636363976</v>
      </c>
      <c r="K1017" s="56">
        <v>3.57</v>
      </c>
      <c r="L1017" s="15">
        <f t="shared" si="122"/>
        <v>37.020818181818186</v>
      </c>
      <c r="M1017" s="16">
        <f t="shared" si="123"/>
        <v>219.76927376565823</v>
      </c>
      <c r="N1017" s="23">
        <f t="shared" si="120"/>
        <v>2.4445671272727276</v>
      </c>
      <c r="O1017" s="17">
        <f t="shared" si="124"/>
        <v>26890.238400000006</v>
      </c>
      <c r="P1017" s="18">
        <f t="shared" si="125"/>
        <v>2417462.0114222406</v>
      </c>
      <c r="R1017" s="66"/>
      <c r="S1017" s="19"/>
      <c r="T1017" s="20"/>
      <c r="U1017" s="20"/>
      <c r="V1017" s="20"/>
      <c r="W1017" s="20"/>
      <c r="X1017" s="20"/>
      <c r="Y1017" s="20"/>
      <c r="Z1017" s="20"/>
      <c r="AA1017" s="20"/>
    </row>
    <row r="1018" spans="1:27" ht="12.75">
      <c r="A1018" s="10"/>
      <c r="B1018" s="69">
        <v>45996</v>
      </c>
      <c r="C1018" s="11">
        <f>VLOOKUP(B:B,'Курс валют'!A:D,4,0)</f>
        <v>89.9011</v>
      </c>
      <c r="D1018" s="57" t="s">
        <v>1729</v>
      </c>
      <c r="E1018" s="21" t="s">
        <v>70</v>
      </c>
      <c r="F1018" s="58">
        <v>1200</v>
      </c>
      <c r="G1018" s="58">
        <v>1200</v>
      </c>
      <c r="H1018" s="56">
        <v>0</v>
      </c>
      <c r="I1018" s="58">
        <f t="shared" si="121"/>
        <v>0</v>
      </c>
      <c r="J1018" s="14">
        <f t="shared" si="126"/>
        <v>0</v>
      </c>
      <c r="K1018" s="56">
        <v>2.56</v>
      </c>
      <c r="L1018" s="15">
        <f t="shared" si="122"/>
        <v>0</v>
      </c>
      <c r="M1018" s="16">
        <f t="shared" si="123"/>
        <v>230.146816</v>
      </c>
      <c r="N1018" s="17">
        <f t="shared" si="120"/>
        <v>2.56</v>
      </c>
      <c r="O1018" s="17">
        <f t="shared" si="124"/>
        <v>3072</v>
      </c>
      <c r="P1018" s="18">
        <f t="shared" si="125"/>
        <v>276176.17920000001</v>
      </c>
      <c r="R1018" s="66" t="s">
        <v>1267</v>
      </c>
      <c r="S1018" s="19"/>
      <c r="T1018" s="20"/>
      <c r="U1018" s="20"/>
      <c r="V1018" s="20"/>
      <c r="W1018" s="20"/>
      <c r="X1018" s="20"/>
      <c r="Y1018" s="20"/>
      <c r="Z1018" s="20"/>
      <c r="AA1018" s="20"/>
    </row>
    <row r="1019" spans="1:27" ht="12.75">
      <c r="A1019" s="10"/>
      <c r="B1019" s="70">
        <v>45997</v>
      </c>
      <c r="C1019" s="11">
        <f>VLOOKUP(B:B,'Курс валют'!A:D,4,0)</f>
        <v>88.702799999999996</v>
      </c>
      <c r="D1019" s="57" t="s">
        <v>1730</v>
      </c>
      <c r="E1019" s="21" t="s">
        <v>79</v>
      </c>
      <c r="F1019" s="58">
        <v>1400</v>
      </c>
      <c r="G1019" s="58">
        <v>1400</v>
      </c>
      <c r="H1019" s="56">
        <v>0</v>
      </c>
      <c r="I1019" s="58">
        <f t="shared" si="121"/>
        <v>0</v>
      </c>
      <c r="J1019" s="14">
        <f t="shared" si="126"/>
        <v>0</v>
      </c>
      <c r="K1019" s="56">
        <v>2.56</v>
      </c>
      <c r="L1019" s="15">
        <f t="shared" si="122"/>
        <v>0</v>
      </c>
      <c r="M1019" s="16">
        <f t="shared" si="123"/>
        <v>227.07916799999998</v>
      </c>
      <c r="N1019" s="17">
        <f t="shared" si="120"/>
        <v>2.56</v>
      </c>
      <c r="O1019" s="17">
        <f t="shared" si="124"/>
        <v>3584</v>
      </c>
      <c r="P1019" s="18">
        <f t="shared" si="125"/>
        <v>317910.83519999997</v>
      </c>
      <c r="R1019" s="66" t="s">
        <v>1267</v>
      </c>
      <c r="S1019" s="19"/>
      <c r="T1019" s="20"/>
      <c r="U1019" s="20"/>
      <c r="V1019" s="20"/>
      <c r="W1019" s="20"/>
      <c r="X1019" s="20"/>
      <c r="Y1019" s="20"/>
      <c r="Z1019" s="20"/>
      <c r="AA1019" s="20"/>
    </row>
    <row r="1020" spans="1:27" ht="12.75">
      <c r="A1020" s="10"/>
      <c r="B1020" s="10">
        <v>45997</v>
      </c>
      <c r="C1020" s="11">
        <f>VLOOKUP(B:B,'Курс валют'!A:D,4,0)</f>
        <v>88.702799999999996</v>
      </c>
      <c r="D1020" s="57" t="s">
        <v>19</v>
      </c>
      <c r="E1020" s="64" t="s">
        <v>15</v>
      </c>
      <c r="F1020" s="58">
        <v>9900</v>
      </c>
      <c r="G1020" s="58">
        <v>9983.7999999999993</v>
      </c>
      <c r="H1020" s="56">
        <v>4532.49</v>
      </c>
      <c r="I1020" s="58">
        <f t="shared" si="121"/>
        <v>83.799999999999272</v>
      </c>
      <c r="J1020" s="14">
        <f t="shared" si="126"/>
        <v>0.84646464646463915</v>
      </c>
      <c r="K1020" s="56">
        <v>3.84</v>
      </c>
      <c r="L1020" s="15">
        <f t="shared" si="122"/>
        <v>45.782727272727271</v>
      </c>
      <c r="M1020" s="16">
        <f t="shared" si="123"/>
        <v>217.16264653789091</v>
      </c>
      <c r="N1020" s="23">
        <f t="shared" si="120"/>
        <v>2.4482050909090911</v>
      </c>
      <c r="O1020" s="17">
        <f t="shared" si="124"/>
        <v>24237.2304</v>
      </c>
      <c r="P1020" s="18">
        <f t="shared" si="125"/>
        <v>2149910.20072512</v>
      </c>
      <c r="R1020" s="66"/>
      <c r="S1020" s="19"/>
      <c r="T1020" s="20"/>
      <c r="U1020" s="20"/>
      <c r="V1020" s="20"/>
      <c r="W1020" s="20"/>
      <c r="X1020" s="20"/>
      <c r="Y1020" s="20"/>
      <c r="Z1020" s="20"/>
      <c r="AA1020" s="20"/>
    </row>
    <row r="1021" spans="1:27" ht="12.75">
      <c r="A1021" s="10"/>
      <c r="B1021" s="10">
        <v>45998</v>
      </c>
      <c r="C1021" s="11">
        <f>VLOOKUP(B:B,'Курс валют'!A:D,4,0)</f>
        <v>88.702799999999996</v>
      </c>
      <c r="D1021" s="57" t="s">
        <v>20</v>
      </c>
      <c r="E1021" s="64" t="s">
        <v>15</v>
      </c>
      <c r="F1021" s="58">
        <v>11000</v>
      </c>
      <c r="G1021" s="58">
        <v>11093.1</v>
      </c>
      <c r="H1021" s="56">
        <v>5036.1000000000004</v>
      </c>
      <c r="I1021" s="58">
        <f t="shared" si="121"/>
        <v>93.100000000000364</v>
      </c>
      <c r="J1021" s="14">
        <f t="shared" si="126"/>
        <v>0.84636363636363976</v>
      </c>
      <c r="K1021" s="56">
        <v>3.52</v>
      </c>
      <c r="L1021" s="15">
        <f t="shared" si="122"/>
        <v>45.782727272727271</v>
      </c>
      <c r="M1021" s="16">
        <f t="shared" si="123"/>
        <v>188.77775053789088</v>
      </c>
      <c r="N1021" s="23">
        <f t="shared" si="120"/>
        <v>2.1282050909090908</v>
      </c>
      <c r="O1021" s="17">
        <f t="shared" si="124"/>
        <v>23410.255999999998</v>
      </c>
      <c r="P1021" s="18">
        <f t="shared" si="125"/>
        <v>2076555.2559167997</v>
      </c>
      <c r="R1021" s="66"/>
      <c r="S1021" s="19"/>
      <c r="T1021" s="20"/>
      <c r="U1021" s="20"/>
      <c r="V1021" s="20"/>
      <c r="W1021" s="20"/>
      <c r="X1021" s="20"/>
      <c r="Y1021" s="20"/>
      <c r="Z1021" s="20"/>
      <c r="AA1021" s="20"/>
    </row>
    <row r="1022" spans="1:27" ht="12.75">
      <c r="A1022" s="54"/>
      <c r="B1022" s="10">
        <v>45999</v>
      </c>
      <c r="C1022" s="11">
        <f>VLOOKUP(B:B,'Курс валют'!A:D,4,0)</f>
        <v>88.702799999999996</v>
      </c>
      <c r="D1022" s="57" t="s">
        <v>21</v>
      </c>
      <c r="E1022" s="64" t="s">
        <v>15</v>
      </c>
      <c r="F1022" s="58">
        <v>11000</v>
      </c>
      <c r="G1022" s="58">
        <v>11093.1</v>
      </c>
      <c r="H1022" s="56">
        <f>5036.1-96.88</f>
        <v>4939.22</v>
      </c>
      <c r="I1022" s="58">
        <f t="shared" si="121"/>
        <v>93.100000000000364</v>
      </c>
      <c r="J1022" s="14">
        <f t="shared" si="126"/>
        <v>0.84636363636363976</v>
      </c>
      <c r="K1022" s="56">
        <v>3.5</v>
      </c>
      <c r="L1022" s="15">
        <f t="shared" si="122"/>
        <v>44.902000000000001</v>
      </c>
      <c r="M1022" s="16">
        <f t="shared" si="123"/>
        <v>189.37863298175998</v>
      </c>
      <c r="N1022" s="17">
        <f t="shared" si="120"/>
        <v>2.1349792000000001</v>
      </c>
      <c r="O1022" s="17">
        <f t="shared" si="124"/>
        <v>23484.771199999999</v>
      </c>
      <c r="P1022" s="18">
        <f t="shared" si="125"/>
        <v>2083164.9627993598</v>
      </c>
      <c r="R1022" s="65"/>
      <c r="S1022" s="19"/>
      <c r="T1022" s="24"/>
      <c r="U1022" s="24"/>
      <c r="V1022" s="24"/>
      <c r="W1022" s="24"/>
      <c r="X1022" s="24"/>
      <c r="Y1022" s="24"/>
      <c r="Z1022" s="24"/>
      <c r="AA1022" s="24"/>
    </row>
    <row r="1023" spans="1:27" ht="12.75">
      <c r="A1023" s="54"/>
      <c r="B1023" s="10">
        <v>46000</v>
      </c>
      <c r="C1023" s="11">
        <f>VLOOKUP(B:B,'Курс валют'!A:D,4,0)</f>
        <v>89.705399999999997</v>
      </c>
      <c r="D1023" s="57" t="s">
        <v>1731</v>
      </c>
      <c r="E1023" s="26" t="s">
        <v>1732</v>
      </c>
      <c r="F1023" s="58">
        <v>1100</v>
      </c>
      <c r="G1023" s="58">
        <v>1110.32</v>
      </c>
      <c r="H1023" s="56">
        <v>437.4</v>
      </c>
      <c r="I1023" s="58">
        <f t="shared" si="121"/>
        <v>10.319999999999936</v>
      </c>
      <c r="J1023" s="14">
        <f t="shared" si="126"/>
        <v>0.93818181818181234</v>
      </c>
      <c r="K1023" s="56">
        <v>3.48</v>
      </c>
      <c r="L1023" s="15">
        <f t="shared" si="122"/>
        <v>39.763636363636365</v>
      </c>
      <c r="M1023" s="16">
        <f t="shared" si="123"/>
        <v>203.73759967418181</v>
      </c>
      <c r="N1023" s="17">
        <f t="shared" si="120"/>
        <v>2.2711854545454546</v>
      </c>
      <c r="O1023" s="17">
        <f t="shared" si="124"/>
        <v>2498.3040000000001</v>
      </c>
      <c r="P1023" s="18">
        <f t="shared" si="125"/>
        <v>224111.35964159999</v>
      </c>
      <c r="R1023" s="65"/>
      <c r="S1023" s="19"/>
      <c r="T1023" s="20"/>
      <c r="U1023" s="20"/>
      <c r="V1023" s="20"/>
      <c r="W1023" s="20"/>
      <c r="X1023" s="20"/>
      <c r="Y1023" s="20"/>
      <c r="Z1023" s="20"/>
      <c r="AA1023" s="20"/>
    </row>
    <row r="1024" spans="1:27" ht="12.75">
      <c r="A1024" s="54"/>
      <c r="B1024" s="10">
        <v>46000</v>
      </c>
      <c r="C1024" s="11">
        <f>VLOOKUP(B:B,'Курс валют'!A:D,4,0)</f>
        <v>89.705399999999997</v>
      </c>
      <c r="D1024" s="57" t="s">
        <v>1733</v>
      </c>
      <c r="E1024" s="26" t="s">
        <v>109</v>
      </c>
      <c r="F1024" s="58">
        <v>200</v>
      </c>
      <c r="G1024" s="58">
        <v>203.35</v>
      </c>
      <c r="H1024" s="56">
        <v>0</v>
      </c>
      <c r="I1024" s="58">
        <f t="shared" si="121"/>
        <v>3.3499999999999943</v>
      </c>
      <c r="J1024" s="14">
        <f t="shared" si="126"/>
        <v>1.6749999999999974</v>
      </c>
      <c r="K1024" s="56">
        <v>2.76</v>
      </c>
      <c r="L1024" s="15">
        <f t="shared" si="122"/>
        <v>0</v>
      </c>
      <c r="M1024" s="16">
        <f t="shared" si="123"/>
        <v>247.586904</v>
      </c>
      <c r="N1024" s="17">
        <f t="shared" si="120"/>
        <v>2.76</v>
      </c>
      <c r="O1024" s="17">
        <f t="shared" si="124"/>
        <v>552</v>
      </c>
      <c r="P1024" s="18">
        <f t="shared" si="125"/>
        <v>49517.380799999999</v>
      </c>
      <c r="R1024" s="65"/>
      <c r="S1024" s="19"/>
      <c r="T1024" s="20"/>
      <c r="U1024" s="20"/>
      <c r="V1024" s="20"/>
      <c r="W1024" s="20"/>
      <c r="X1024" s="20"/>
      <c r="Y1024" s="20"/>
      <c r="Z1024" s="20"/>
      <c r="AA1024" s="20"/>
    </row>
    <row r="1025" spans="1:27" ht="12.75">
      <c r="A1025" s="54"/>
      <c r="B1025" s="10">
        <v>46000</v>
      </c>
      <c r="C1025" s="11">
        <f>VLOOKUP(B:B,'Курс валют'!A:D,4,0)</f>
        <v>89.705399999999997</v>
      </c>
      <c r="D1025" s="57" t="s">
        <v>22</v>
      </c>
      <c r="E1025" s="50" t="s">
        <v>15</v>
      </c>
      <c r="F1025" s="58">
        <v>9900</v>
      </c>
      <c r="G1025" s="58">
        <v>9988.2999999999993</v>
      </c>
      <c r="H1025" s="25">
        <v>1868.79</v>
      </c>
      <c r="I1025" s="58">
        <f t="shared" si="121"/>
        <v>88.299999999999272</v>
      </c>
      <c r="J1025" s="14">
        <f t="shared" si="126"/>
        <v>0.89191919191918456</v>
      </c>
      <c r="K1025" s="56">
        <v>2.71</v>
      </c>
      <c r="L1025" s="15">
        <f t="shared" si="122"/>
        <v>18.876666666666665</v>
      </c>
      <c r="M1025" s="16">
        <f t="shared" si="123"/>
        <v>191.62413040639998</v>
      </c>
      <c r="N1025" s="17">
        <f t="shared" si="120"/>
        <v>2.1361493333333335</v>
      </c>
      <c r="O1025" s="17">
        <f t="shared" si="124"/>
        <v>21147.878400000001</v>
      </c>
      <c r="P1025" s="18">
        <f t="shared" si="125"/>
        <v>1897078.89102336</v>
      </c>
      <c r="R1025" s="66"/>
      <c r="S1025" s="19"/>
      <c r="T1025" s="24"/>
      <c r="U1025" s="24"/>
      <c r="V1025" s="24"/>
      <c r="W1025" s="24"/>
      <c r="X1025" s="24"/>
      <c r="Y1025" s="24"/>
      <c r="Z1025" s="24"/>
      <c r="AA1025" s="24"/>
    </row>
    <row r="1026" spans="1:27" ht="12.75">
      <c r="A1026" s="54"/>
      <c r="B1026" s="10">
        <v>46001</v>
      </c>
      <c r="C1026" s="11">
        <f>VLOOKUP(B:B,'Курс валют'!A:D,4,0)</f>
        <v>89.426699999999997</v>
      </c>
      <c r="D1026" s="57" t="s">
        <v>23</v>
      </c>
      <c r="E1026" s="26" t="s">
        <v>15</v>
      </c>
      <c r="F1026" s="58">
        <v>11000</v>
      </c>
      <c r="G1026" s="58">
        <v>11118.1</v>
      </c>
      <c r="H1026" s="56">
        <v>5031.1000000000004</v>
      </c>
      <c r="I1026" s="58">
        <f t="shared" si="121"/>
        <v>118.10000000000036</v>
      </c>
      <c r="J1026" s="14">
        <f t="shared" si="126"/>
        <v>1.0736363636363668</v>
      </c>
      <c r="K1026" s="56">
        <v>3.52</v>
      </c>
      <c r="L1026" s="15">
        <f t="shared" si="122"/>
        <v>45.737272727272732</v>
      </c>
      <c r="M1026" s="16">
        <f t="shared" si="123"/>
        <v>190.44192964319996</v>
      </c>
      <c r="N1026" s="17">
        <f t="shared" si="120"/>
        <v>2.129586909090909</v>
      </c>
      <c r="O1026" s="17">
        <f t="shared" si="124"/>
        <v>23425.455999999998</v>
      </c>
      <c r="P1026" s="18">
        <f t="shared" si="125"/>
        <v>2094861.2260751997</v>
      </c>
      <c r="R1026" s="65"/>
      <c r="S1026" s="19"/>
      <c r="T1026" s="24"/>
      <c r="U1026" s="24"/>
      <c r="V1026" s="24"/>
      <c r="W1026" s="24"/>
      <c r="X1026" s="24"/>
      <c r="Y1026" s="24"/>
      <c r="Z1026" s="24"/>
      <c r="AA1026" s="24"/>
    </row>
    <row r="1027" spans="1:27" ht="12.75">
      <c r="A1027" s="54"/>
      <c r="B1027" s="10">
        <v>46002</v>
      </c>
      <c r="C1027" s="11">
        <f>VLOOKUP(B:B,'Курс валют'!A:D,4,0)</f>
        <v>91.380600000000001</v>
      </c>
      <c r="D1027" s="57" t="s">
        <v>1734</v>
      </c>
      <c r="E1027" s="26" t="s">
        <v>58</v>
      </c>
      <c r="F1027" s="58">
        <v>11000</v>
      </c>
      <c r="G1027" s="58">
        <v>11113.2</v>
      </c>
      <c r="H1027" s="56">
        <v>4571.1000000000004</v>
      </c>
      <c r="I1027" s="58">
        <f t="shared" si="121"/>
        <v>113.20000000000073</v>
      </c>
      <c r="J1027" s="14">
        <f t="shared" si="126"/>
        <v>1.0290909090909157</v>
      </c>
      <c r="K1027" s="56">
        <v>3.47</v>
      </c>
      <c r="L1027" s="15">
        <f t="shared" si="122"/>
        <v>41.555454545454552</v>
      </c>
      <c r="M1027" s="16">
        <f t="shared" si="123"/>
        <v>201.65086596305457</v>
      </c>
      <c r="N1027" s="17">
        <f t="shared" si="120"/>
        <v>2.2067141818181817</v>
      </c>
      <c r="O1027" s="17">
        <f t="shared" si="124"/>
        <v>24273.856</v>
      </c>
      <c r="P1027" s="18">
        <f t="shared" si="125"/>
        <v>2218159.5255936002</v>
      </c>
      <c r="R1027" s="66"/>
      <c r="S1027" s="19"/>
      <c r="T1027" s="24"/>
      <c r="U1027" s="24"/>
      <c r="V1027" s="24"/>
      <c r="W1027" s="24"/>
      <c r="X1027" s="24"/>
      <c r="Y1027" s="24"/>
      <c r="Z1027" s="24"/>
      <c r="AA1027" s="24"/>
    </row>
    <row r="1028" spans="1:27" ht="12.75">
      <c r="A1028" s="54"/>
      <c r="B1028" s="10">
        <v>46003</v>
      </c>
      <c r="C1028" s="11">
        <f>VLOOKUP(B:B,'Курс валют'!A:D,4,0)</f>
        <v>92.938400000000001</v>
      </c>
      <c r="D1028" s="57" t="s">
        <v>1735</v>
      </c>
      <c r="E1028" s="50" t="s">
        <v>58</v>
      </c>
      <c r="F1028" s="58">
        <v>11000</v>
      </c>
      <c r="G1028" s="58">
        <v>11113.2</v>
      </c>
      <c r="H1028" s="56">
        <v>4571.1000000000004</v>
      </c>
      <c r="I1028" s="58">
        <f t="shared" si="121"/>
        <v>113.20000000000073</v>
      </c>
      <c r="J1028" s="14">
        <f t="shared" si="126"/>
        <v>1.0290909090909157</v>
      </c>
      <c r="K1028" s="56">
        <v>3.47</v>
      </c>
      <c r="L1028" s="15">
        <f t="shared" si="122"/>
        <v>41.555454545454552</v>
      </c>
      <c r="M1028" s="16">
        <f t="shared" si="123"/>
        <v>205.08848531549089</v>
      </c>
      <c r="N1028" s="17">
        <f t="shared" si="120"/>
        <v>2.2067141818181817</v>
      </c>
      <c r="O1028" s="17">
        <f t="shared" si="124"/>
        <v>24273.856</v>
      </c>
      <c r="P1028" s="18">
        <f t="shared" si="125"/>
        <v>2255973.3384703998</v>
      </c>
      <c r="R1028" s="66"/>
      <c r="S1028" s="19"/>
      <c r="T1028" s="20"/>
      <c r="U1028" s="20"/>
      <c r="V1028" s="20"/>
      <c r="W1028" s="20"/>
      <c r="X1028" s="20"/>
      <c r="Y1028" s="20"/>
      <c r="Z1028" s="20"/>
      <c r="AA1028" s="20"/>
    </row>
    <row r="1029" spans="1:27" ht="12.75">
      <c r="A1029" s="54"/>
      <c r="B1029" s="10">
        <v>46004</v>
      </c>
      <c r="C1029" s="11">
        <f>VLOOKUP(B:B,'Курс валют'!A:D,4,0)</f>
        <v>93.562600000000003</v>
      </c>
      <c r="D1029" s="57" t="s">
        <v>1736</v>
      </c>
      <c r="E1029" s="64" t="s">
        <v>58</v>
      </c>
      <c r="F1029" s="58">
        <v>11000</v>
      </c>
      <c r="G1029" s="58">
        <v>11113.2</v>
      </c>
      <c r="H1029" s="56">
        <v>4571.1000000000004</v>
      </c>
      <c r="I1029" s="58">
        <f t="shared" si="121"/>
        <v>113.20000000000073</v>
      </c>
      <c r="J1029" s="14">
        <f t="shared" si="126"/>
        <v>1.0290909090909157</v>
      </c>
      <c r="K1029" s="56">
        <v>3.47</v>
      </c>
      <c r="L1029" s="15">
        <f t="shared" si="122"/>
        <v>41.555454545454552</v>
      </c>
      <c r="M1029" s="16">
        <f t="shared" si="123"/>
        <v>206.46591630778181</v>
      </c>
      <c r="N1029" s="17">
        <f t="shared" si="120"/>
        <v>2.2067141818181817</v>
      </c>
      <c r="O1029" s="17">
        <f t="shared" si="124"/>
        <v>24273.856</v>
      </c>
      <c r="P1029" s="18">
        <f t="shared" si="125"/>
        <v>2271125.0793856001</v>
      </c>
      <c r="R1029" s="66"/>
      <c r="S1029" s="19"/>
      <c r="T1029" s="20"/>
      <c r="U1029" s="20"/>
      <c r="V1029" s="20"/>
      <c r="W1029" s="20"/>
      <c r="X1029" s="20"/>
      <c r="Y1029" s="20"/>
      <c r="Z1029" s="20"/>
      <c r="AA1029" s="20"/>
    </row>
    <row r="1030" spans="1:27" ht="12.75">
      <c r="A1030" s="54"/>
      <c r="B1030" s="10">
        <v>46005</v>
      </c>
      <c r="C1030" s="11">
        <f>VLOOKUP(B:B,'Курс валют'!A:D,4,0)</f>
        <v>93.562600000000003</v>
      </c>
      <c r="D1030" s="57" t="s">
        <v>1737</v>
      </c>
      <c r="E1030" s="50" t="s">
        <v>58</v>
      </c>
      <c r="F1030" s="58">
        <v>9900</v>
      </c>
      <c r="G1030" s="58">
        <v>10002</v>
      </c>
      <c r="H1030" s="56">
        <v>1221.3900000000001</v>
      </c>
      <c r="I1030" s="58">
        <f t="shared" si="121"/>
        <v>102</v>
      </c>
      <c r="J1030" s="14">
        <f t="shared" si="126"/>
        <v>1.0303030303030303</v>
      </c>
      <c r="K1030" s="56">
        <v>2.78</v>
      </c>
      <c r="L1030" s="15">
        <f t="shared" si="122"/>
        <v>12.337272727272728</v>
      </c>
      <c r="M1030" s="16">
        <f t="shared" si="123"/>
        <v>225.01308567650906</v>
      </c>
      <c r="N1030" s="17">
        <f t="shared" si="120"/>
        <v>2.4049469090909086</v>
      </c>
      <c r="O1030" s="17">
        <f t="shared" si="124"/>
        <v>23808.974399999996</v>
      </c>
      <c r="P1030" s="18">
        <f t="shared" si="125"/>
        <v>2227629.5481974399</v>
      </c>
      <c r="R1030" s="66"/>
      <c r="S1030" s="20"/>
      <c r="T1030" s="20"/>
      <c r="U1030" s="20"/>
      <c r="V1030" s="20"/>
      <c r="W1030" s="20"/>
      <c r="X1030" s="20"/>
      <c r="Y1030" s="20"/>
      <c r="Z1030" s="20"/>
      <c r="AA1030" s="20"/>
    </row>
    <row r="1031" spans="1:27" ht="15" customHeight="1">
      <c r="A1031" s="54"/>
      <c r="B1031" s="10">
        <v>46006</v>
      </c>
      <c r="C1031" s="11">
        <f>VLOOKUP(B:B,'Курс валют'!A:D,4,0)</f>
        <v>93.562600000000003</v>
      </c>
      <c r="D1031" s="57" t="s">
        <v>1738</v>
      </c>
      <c r="E1031" s="50" t="s">
        <v>51</v>
      </c>
      <c r="F1031" s="58">
        <v>8000</v>
      </c>
      <c r="G1031" s="58">
        <v>8038.1</v>
      </c>
      <c r="H1031" s="56">
        <v>0</v>
      </c>
      <c r="I1031" s="58">
        <f t="shared" si="121"/>
        <v>38.100000000000364</v>
      </c>
      <c r="J1031" s="14">
        <f t="shared" si="126"/>
        <v>0.47625000000000456</v>
      </c>
      <c r="K1031" s="56">
        <v>2.0099999999999998</v>
      </c>
      <c r="L1031" s="15">
        <f t="shared" si="122"/>
        <v>0</v>
      </c>
      <c r="M1031" s="16">
        <f t="shared" si="123"/>
        <v>188.06082599999996</v>
      </c>
      <c r="N1031" s="17">
        <f t="shared" si="120"/>
        <v>2.0099999999999998</v>
      </c>
      <c r="O1031" s="17">
        <f t="shared" si="124"/>
        <v>16079.999999999998</v>
      </c>
      <c r="P1031" s="18">
        <f t="shared" si="125"/>
        <v>1504486.6079999998</v>
      </c>
      <c r="R1031" s="66"/>
      <c r="S1031" s="20"/>
      <c r="T1031" s="20"/>
      <c r="U1031" s="20"/>
      <c r="V1031" s="20"/>
      <c r="W1031" s="20"/>
      <c r="X1031" s="20"/>
      <c r="Y1031" s="20"/>
      <c r="Z1031" s="20"/>
      <c r="AA1031" s="20"/>
    </row>
    <row r="1032" spans="1:27" ht="12.75">
      <c r="A1032" s="54"/>
      <c r="B1032" s="10">
        <v>46007</v>
      </c>
      <c r="C1032" s="11">
        <f>VLOOKUP(B:B,'Курс валют'!A:D,4,0)</f>
        <v>93.227400000000003</v>
      </c>
      <c r="D1032" s="57" t="s">
        <v>1739</v>
      </c>
      <c r="E1032" s="50" t="s">
        <v>51</v>
      </c>
      <c r="F1032" s="58">
        <v>8000</v>
      </c>
      <c r="G1032" s="58">
        <v>8043.4</v>
      </c>
      <c r="H1032" s="56">
        <v>0</v>
      </c>
      <c r="I1032" s="58">
        <f t="shared" si="121"/>
        <v>43.399999999999636</v>
      </c>
      <c r="J1032" s="14">
        <f t="shared" si="126"/>
        <v>0.54249999999999543</v>
      </c>
      <c r="K1032" s="56">
        <v>2.0499999999999998</v>
      </c>
      <c r="L1032" s="15">
        <f t="shared" si="122"/>
        <v>0</v>
      </c>
      <c r="M1032" s="16">
        <f t="shared" si="123"/>
        <v>191.11617000000001</v>
      </c>
      <c r="N1032" s="17">
        <f t="shared" si="120"/>
        <v>2.0499999999999998</v>
      </c>
      <c r="O1032" s="17">
        <f t="shared" si="124"/>
        <v>16400</v>
      </c>
      <c r="P1032" s="18">
        <f t="shared" si="125"/>
        <v>1528929.36</v>
      </c>
      <c r="R1032" s="66"/>
      <c r="S1032" s="20"/>
      <c r="T1032" s="20"/>
      <c r="U1032" s="20"/>
      <c r="V1032" s="20"/>
      <c r="W1032" s="20"/>
      <c r="X1032" s="20"/>
      <c r="Y1032" s="20"/>
      <c r="Z1032" s="20"/>
      <c r="AA1032" s="20"/>
    </row>
    <row r="1033" spans="1:27" ht="12.75">
      <c r="A1033" s="54"/>
      <c r="B1033" s="10">
        <v>46008</v>
      </c>
      <c r="C1033" s="11">
        <f>VLOOKUP(B:B,'Курс валют'!A:D,4,0)</f>
        <v>93.805400000000006</v>
      </c>
      <c r="D1033" s="57" t="s">
        <v>1740</v>
      </c>
      <c r="E1033" s="50" t="s">
        <v>51</v>
      </c>
      <c r="F1033" s="58">
        <v>800</v>
      </c>
      <c r="G1033" s="58">
        <v>804.34</v>
      </c>
      <c r="H1033" s="56">
        <v>0</v>
      </c>
      <c r="I1033" s="58">
        <f t="shared" si="121"/>
        <v>4.3400000000000318</v>
      </c>
      <c r="J1033" s="14">
        <f t="shared" si="126"/>
        <v>0.54250000000000398</v>
      </c>
      <c r="K1033" s="56">
        <v>2.06</v>
      </c>
      <c r="L1033" s="15">
        <f t="shared" si="122"/>
        <v>0</v>
      </c>
      <c r="M1033" s="16">
        <f t="shared" si="123"/>
        <v>193.239124</v>
      </c>
      <c r="N1033" s="17">
        <f t="shared" si="120"/>
        <v>2.06</v>
      </c>
      <c r="O1033" s="17">
        <f t="shared" si="124"/>
        <v>1648</v>
      </c>
      <c r="P1033" s="18">
        <f t="shared" si="125"/>
        <v>154591.29920000001</v>
      </c>
      <c r="R1033" s="66"/>
      <c r="S1033" s="48"/>
      <c r="T1033" s="20"/>
      <c r="U1033" s="20"/>
      <c r="V1033" s="20"/>
      <c r="W1033" s="20"/>
      <c r="X1033" s="20"/>
      <c r="Y1033" s="20"/>
      <c r="Z1033" s="20"/>
      <c r="AA1033" s="20"/>
    </row>
    <row r="1034" spans="1:27" ht="12.75">
      <c r="A1034" s="54"/>
      <c r="B1034" s="10">
        <v>46008</v>
      </c>
      <c r="C1034" s="11">
        <f>VLOOKUP(B:B,'Курс валют'!A:D,4,0)</f>
        <v>93.805400000000006</v>
      </c>
      <c r="D1034" s="57" t="s">
        <v>1741</v>
      </c>
      <c r="E1034" s="50" t="s">
        <v>51</v>
      </c>
      <c r="F1034" s="63">
        <v>800</v>
      </c>
      <c r="G1034" s="63">
        <v>804.34</v>
      </c>
      <c r="H1034" s="49">
        <v>0</v>
      </c>
      <c r="I1034" s="58">
        <f t="shared" si="121"/>
        <v>4.3400000000000318</v>
      </c>
      <c r="J1034" s="14">
        <f t="shared" si="126"/>
        <v>0.54250000000000398</v>
      </c>
      <c r="K1034" s="49">
        <v>2.0499999999999998</v>
      </c>
      <c r="L1034" s="15">
        <f t="shared" si="122"/>
        <v>0</v>
      </c>
      <c r="M1034" s="16">
        <f t="shared" si="123"/>
        <v>192.30107000000001</v>
      </c>
      <c r="N1034" s="17">
        <f t="shared" si="120"/>
        <v>2.0499999999999998</v>
      </c>
      <c r="O1034" s="17">
        <f t="shared" si="124"/>
        <v>1639.9999999999998</v>
      </c>
      <c r="P1034" s="18">
        <f t="shared" si="125"/>
        <v>153840.856</v>
      </c>
      <c r="R1034" s="66" t="s">
        <v>1267</v>
      </c>
      <c r="S1034" s="48"/>
      <c r="T1034" s="20"/>
      <c r="U1034" s="20"/>
      <c r="V1034" s="20"/>
      <c r="W1034" s="20"/>
      <c r="X1034" s="20"/>
      <c r="Y1034" s="20"/>
      <c r="Z1034" s="20"/>
      <c r="AA1034" s="20"/>
    </row>
    <row r="1035" spans="1:27" ht="12.75">
      <c r="A1035" s="54"/>
      <c r="B1035" s="10">
        <v>46008</v>
      </c>
      <c r="C1035" s="11">
        <f>VLOOKUP(B:B,'Курс валют'!A:D,4,0)</f>
        <v>93.805400000000006</v>
      </c>
      <c r="D1035" s="57" t="s">
        <v>1742</v>
      </c>
      <c r="E1035" s="50" t="s">
        <v>51</v>
      </c>
      <c r="F1035" s="58">
        <v>800</v>
      </c>
      <c r="G1035" s="58">
        <v>804.34</v>
      </c>
      <c r="H1035" s="56">
        <v>0</v>
      </c>
      <c r="I1035" s="58">
        <f t="shared" si="121"/>
        <v>4.3400000000000318</v>
      </c>
      <c r="J1035" s="14">
        <f t="shared" si="126"/>
        <v>0.54250000000000398</v>
      </c>
      <c r="K1035" s="49">
        <v>2.0499999999999998</v>
      </c>
      <c r="L1035" s="15">
        <f t="shared" si="122"/>
        <v>0</v>
      </c>
      <c r="M1035" s="16">
        <f t="shared" si="123"/>
        <v>192.30107000000001</v>
      </c>
      <c r="N1035" s="17">
        <f t="shared" si="120"/>
        <v>2.0499999999999998</v>
      </c>
      <c r="O1035" s="17">
        <f t="shared" si="124"/>
        <v>1639.9999999999998</v>
      </c>
      <c r="P1035" s="18">
        <f t="shared" si="125"/>
        <v>153840.856</v>
      </c>
      <c r="R1035" s="66"/>
      <c r="S1035" s="48"/>
      <c r="T1035" s="20"/>
      <c r="U1035" s="20"/>
      <c r="V1035" s="20"/>
      <c r="W1035" s="20"/>
      <c r="X1035" s="20"/>
      <c r="Y1035" s="20"/>
      <c r="Z1035" s="20"/>
      <c r="AA1035" s="20"/>
    </row>
    <row r="1036" spans="1:27" ht="12.75">
      <c r="A1036" s="54"/>
      <c r="B1036" s="10">
        <v>46008</v>
      </c>
      <c r="C1036" s="11">
        <f>VLOOKUP(B:B,'Курс валют'!A:D,4,0)</f>
        <v>93.805400000000006</v>
      </c>
      <c r="D1036" s="57" t="s">
        <v>1743</v>
      </c>
      <c r="E1036" s="50" t="s">
        <v>51</v>
      </c>
      <c r="F1036" s="58">
        <v>800</v>
      </c>
      <c r="G1036" s="63">
        <v>804.34</v>
      </c>
      <c r="H1036" s="56">
        <v>0</v>
      </c>
      <c r="I1036" s="58">
        <f t="shared" si="121"/>
        <v>4.3400000000000318</v>
      </c>
      <c r="J1036" s="14">
        <f t="shared" si="126"/>
        <v>0.54250000000000398</v>
      </c>
      <c r="K1036" s="49">
        <v>2.0499999999999998</v>
      </c>
      <c r="L1036" s="15">
        <f t="shared" si="122"/>
        <v>0</v>
      </c>
      <c r="M1036" s="16">
        <f t="shared" si="123"/>
        <v>192.30107000000001</v>
      </c>
      <c r="N1036" s="17">
        <f t="shared" si="120"/>
        <v>2.0499999999999998</v>
      </c>
      <c r="O1036" s="17">
        <f t="shared" si="124"/>
        <v>1639.9999999999998</v>
      </c>
      <c r="P1036" s="18">
        <f t="shared" si="125"/>
        <v>153840.856</v>
      </c>
      <c r="R1036" s="66"/>
      <c r="S1036" s="48"/>
      <c r="T1036" s="20"/>
      <c r="U1036" s="20"/>
      <c r="V1036" s="20"/>
      <c r="W1036" s="20"/>
      <c r="X1036" s="20"/>
      <c r="Y1036" s="20"/>
      <c r="Z1036" s="20"/>
      <c r="AA1036" s="20"/>
    </row>
    <row r="1037" spans="1:27" ht="12.75">
      <c r="A1037" s="54"/>
      <c r="B1037" s="10">
        <v>46008</v>
      </c>
      <c r="C1037" s="11">
        <f>VLOOKUP(B:B,'Курс валют'!A:D,4,0)</f>
        <v>93.805400000000006</v>
      </c>
      <c r="D1037" s="57" t="s">
        <v>1744</v>
      </c>
      <c r="E1037" s="50" t="s">
        <v>51</v>
      </c>
      <c r="F1037" s="58">
        <v>800</v>
      </c>
      <c r="G1037" s="58">
        <v>804.34</v>
      </c>
      <c r="H1037" s="56">
        <v>0</v>
      </c>
      <c r="I1037" s="58">
        <f t="shared" si="121"/>
        <v>4.3400000000000318</v>
      </c>
      <c r="J1037" s="14">
        <f t="shared" si="126"/>
        <v>0.54250000000000398</v>
      </c>
      <c r="K1037" s="49">
        <v>2.0499999999999998</v>
      </c>
      <c r="L1037" s="15">
        <f t="shared" si="122"/>
        <v>0</v>
      </c>
      <c r="M1037" s="16">
        <f t="shared" si="123"/>
        <v>192.30107000000001</v>
      </c>
      <c r="N1037" s="17">
        <f t="shared" si="120"/>
        <v>2.0499999999999998</v>
      </c>
      <c r="O1037" s="17">
        <f t="shared" si="124"/>
        <v>1639.9999999999998</v>
      </c>
      <c r="P1037" s="18">
        <f t="shared" si="125"/>
        <v>153840.856</v>
      </c>
      <c r="R1037" s="66"/>
      <c r="S1037" s="48"/>
      <c r="T1037" s="20"/>
      <c r="U1037" s="20"/>
      <c r="V1037" s="20"/>
      <c r="W1037" s="20"/>
      <c r="X1037" s="20"/>
      <c r="Y1037" s="20"/>
      <c r="Z1037" s="20"/>
      <c r="AA1037" s="20"/>
    </row>
    <row r="1038" spans="1:27" ht="12.75">
      <c r="A1038" s="54"/>
      <c r="B1038" s="10">
        <v>46008</v>
      </c>
      <c r="C1038" s="11">
        <f>VLOOKUP(B:B,'Курс валют'!A:D,4,0)</f>
        <v>93.805400000000006</v>
      </c>
      <c r="D1038" s="57" t="s">
        <v>1745</v>
      </c>
      <c r="E1038" s="50" t="s">
        <v>51</v>
      </c>
      <c r="F1038" s="58">
        <v>800</v>
      </c>
      <c r="G1038" s="63">
        <v>804.34</v>
      </c>
      <c r="H1038" s="56">
        <v>0</v>
      </c>
      <c r="I1038" s="58">
        <f t="shared" si="121"/>
        <v>4.3400000000000318</v>
      </c>
      <c r="J1038" s="14">
        <f t="shared" si="126"/>
        <v>0.54250000000000398</v>
      </c>
      <c r="K1038" s="49">
        <v>2.0499999999999998</v>
      </c>
      <c r="L1038" s="15">
        <f t="shared" si="122"/>
        <v>0</v>
      </c>
      <c r="M1038" s="16">
        <f t="shared" si="123"/>
        <v>192.30107000000001</v>
      </c>
      <c r="N1038" s="17">
        <f t="shared" si="120"/>
        <v>2.0499999999999998</v>
      </c>
      <c r="O1038" s="17">
        <f t="shared" si="124"/>
        <v>1639.9999999999998</v>
      </c>
      <c r="P1038" s="18">
        <f t="shared" si="125"/>
        <v>153840.856</v>
      </c>
      <c r="R1038" s="66"/>
      <c r="S1038" s="48"/>
      <c r="T1038" s="20"/>
      <c r="U1038" s="20"/>
      <c r="V1038" s="20"/>
      <c r="W1038" s="20"/>
      <c r="X1038" s="20"/>
      <c r="Y1038" s="20"/>
      <c r="Z1038" s="20"/>
      <c r="AA1038" s="20"/>
    </row>
    <row r="1039" spans="1:27" ht="12.75">
      <c r="A1039" s="54"/>
      <c r="B1039" s="10">
        <v>46008</v>
      </c>
      <c r="C1039" s="11">
        <f>VLOOKUP(B:B,'Курс валют'!A:D,4,0)</f>
        <v>93.805400000000006</v>
      </c>
      <c r="D1039" s="57" t="s">
        <v>1746</v>
      </c>
      <c r="E1039" s="50" t="s">
        <v>51</v>
      </c>
      <c r="F1039" s="58">
        <v>800</v>
      </c>
      <c r="G1039" s="58">
        <v>804.34</v>
      </c>
      <c r="H1039" s="56">
        <v>0</v>
      </c>
      <c r="I1039" s="58">
        <f t="shared" si="121"/>
        <v>4.3400000000000318</v>
      </c>
      <c r="J1039" s="14">
        <f t="shared" si="126"/>
        <v>0.54250000000000398</v>
      </c>
      <c r="K1039" s="49">
        <v>2.0499999999999998</v>
      </c>
      <c r="L1039" s="15">
        <f t="shared" si="122"/>
        <v>0</v>
      </c>
      <c r="M1039" s="16">
        <f t="shared" si="123"/>
        <v>192.30107000000001</v>
      </c>
      <c r="N1039" s="17">
        <f t="shared" si="120"/>
        <v>2.0499999999999998</v>
      </c>
      <c r="O1039" s="17">
        <f t="shared" si="124"/>
        <v>1639.9999999999998</v>
      </c>
      <c r="P1039" s="18">
        <f t="shared" si="125"/>
        <v>153840.856</v>
      </c>
      <c r="R1039" s="66"/>
      <c r="S1039" s="20"/>
      <c r="T1039" s="20"/>
      <c r="U1039" s="20"/>
      <c r="V1039" s="20"/>
      <c r="W1039" s="20"/>
      <c r="X1039" s="20"/>
      <c r="Y1039" s="20"/>
      <c r="Z1039" s="20"/>
      <c r="AA1039" s="20"/>
    </row>
    <row r="1040" spans="1:27" ht="12.75">
      <c r="A1040" s="54"/>
      <c r="B1040" s="10">
        <v>46008</v>
      </c>
      <c r="C1040" s="11">
        <f>VLOOKUP(B:B,'Курс валют'!A:D,4,0)</f>
        <v>93.805400000000006</v>
      </c>
      <c r="D1040" s="57" t="s">
        <v>1747</v>
      </c>
      <c r="E1040" s="50" t="s">
        <v>51</v>
      </c>
      <c r="F1040" s="58">
        <v>800</v>
      </c>
      <c r="G1040" s="63">
        <v>804.34</v>
      </c>
      <c r="H1040" s="56">
        <v>0</v>
      </c>
      <c r="I1040" s="58">
        <f t="shared" si="121"/>
        <v>4.3400000000000318</v>
      </c>
      <c r="J1040" s="14">
        <f t="shared" si="126"/>
        <v>0.54250000000000398</v>
      </c>
      <c r="K1040" s="49">
        <v>2.0499999999999998</v>
      </c>
      <c r="L1040" s="15">
        <f t="shared" si="122"/>
        <v>0</v>
      </c>
      <c r="M1040" s="16">
        <f t="shared" si="123"/>
        <v>192.30107000000001</v>
      </c>
      <c r="N1040" s="17">
        <f t="shared" si="120"/>
        <v>2.0499999999999998</v>
      </c>
      <c r="O1040" s="17">
        <f t="shared" si="124"/>
        <v>1639.9999999999998</v>
      </c>
      <c r="P1040" s="18">
        <f t="shared" si="125"/>
        <v>153840.856</v>
      </c>
      <c r="R1040" s="66"/>
      <c r="S1040" s="20"/>
      <c r="T1040" s="20"/>
      <c r="U1040" s="20"/>
      <c r="V1040" s="20"/>
      <c r="W1040" s="20"/>
      <c r="X1040" s="20"/>
      <c r="Y1040" s="20"/>
      <c r="Z1040" s="20"/>
      <c r="AA1040" s="20"/>
    </row>
    <row r="1041" spans="1:27" ht="12.75">
      <c r="A1041" s="54"/>
      <c r="B1041" s="10">
        <v>46008</v>
      </c>
      <c r="C1041" s="11">
        <f>VLOOKUP(B:B,'Курс валют'!A:D,4,0)</f>
        <v>93.805400000000006</v>
      </c>
      <c r="D1041" s="57" t="s">
        <v>1748</v>
      </c>
      <c r="E1041" s="50" t="s">
        <v>51</v>
      </c>
      <c r="F1041" s="58">
        <v>800</v>
      </c>
      <c r="G1041" s="58">
        <v>804.34</v>
      </c>
      <c r="H1041" s="56">
        <v>0</v>
      </c>
      <c r="I1041" s="58">
        <f t="shared" si="121"/>
        <v>4.3400000000000318</v>
      </c>
      <c r="J1041" s="14">
        <f t="shared" si="126"/>
        <v>0.54250000000000398</v>
      </c>
      <c r="K1041" s="49">
        <v>2.0499999999999998</v>
      </c>
      <c r="L1041" s="15">
        <f t="shared" si="122"/>
        <v>0</v>
      </c>
      <c r="M1041" s="16">
        <f t="shared" si="123"/>
        <v>192.30107000000001</v>
      </c>
      <c r="N1041" s="17">
        <f t="shared" si="120"/>
        <v>2.0499999999999998</v>
      </c>
      <c r="O1041" s="17">
        <f t="shared" si="124"/>
        <v>1639.9999999999998</v>
      </c>
      <c r="P1041" s="18">
        <f t="shared" si="125"/>
        <v>153840.856</v>
      </c>
      <c r="R1041" s="65"/>
      <c r="S1041" s="19"/>
      <c r="T1041" s="20"/>
      <c r="U1041" s="20"/>
      <c r="V1041" s="20"/>
      <c r="W1041" s="20"/>
      <c r="X1041" s="20"/>
      <c r="Y1041" s="20"/>
      <c r="Z1041" s="20"/>
      <c r="AA1041" s="20"/>
    </row>
    <row r="1042" spans="1:27" ht="12.75">
      <c r="A1042" s="54"/>
      <c r="B1042" s="10">
        <v>46008</v>
      </c>
      <c r="C1042" s="11">
        <f>VLOOKUP(B:B,'Курс валют'!A:D,4,0)</f>
        <v>93.805400000000006</v>
      </c>
      <c r="D1042" s="57" t="s">
        <v>1749</v>
      </c>
      <c r="E1042" s="50" t="s">
        <v>51</v>
      </c>
      <c r="F1042" s="58">
        <v>800</v>
      </c>
      <c r="G1042" s="63">
        <v>804.34</v>
      </c>
      <c r="H1042" s="56">
        <v>0</v>
      </c>
      <c r="I1042" s="58">
        <f t="shared" si="121"/>
        <v>4.3400000000000318</v>
      </c>
      <c r="J1042" s="14">
        <f t="shared" si="126"/>
        <v>0.54250000000000398</v>
      </c>
      <c r="K1042" s="49">
        <v>2.0499999999999998</v>
      </c>
      <c r="L1042" s="15">
        <f t="shared" si="122"/>
        <v>0</v>
      </c>
      <c r="M1042" s="16">
        <f t="shared" si="123"/>
        <v>192.30107000000001</v>
      </c>
      <c r="N1042" s="17">
        <f t="shared" si="120"/>
        <v>2.0499999999999998</v>
      </c>
      <c r="O1042" s="17">
        <f t="shared" si="124"/>
        <v>1639.9999999999998</v>
      </c>
      <c r="P1042" s="18">
        <f t="shared" si="125"/>
        <v>153840.856</v>
      </c>
      <c r="R1042" s="66"/>
      <c r="S1042" s="19"/>
      <c r="T1042" s="20"/>
      <c r="U1042" s="20"/>
      <c r="V1042" s="20"/>
      <c r="W1042" s="20"/>
      <c r="X1042" s="20"/>
      <c r="Y1042" s="20"/>
      <c r="Z1042" s="20"/>
      <c r="AA1042" s="20"/>
    </row>
    <row r="1043" spans="1:27" ht="12.75">
      <c r="A1043" s="54"/>
      <c r="B1043" s="10">
        <v>46008</v>
      </c>
      <c r="C1043" s="11">
        <f>VLOOKUP(B:B,'Курс валют'!A:D,4,0)</f>
        <v>93.805400000000006</v>
      </c>
      <c r="D1043" s="57" t="s">
        <v>1750</v>
      </c>
      <c r="E1043" s="64" t="s">
        <v>89</v>
      </c>
      <c r="F1043" s="63">
        <v>400</v>
      </c>
      <c r="G1043" s="63">
        <v>400</v>
      </c>
      <c r="H1043" s="56">
        <v>0</v>
      </c>
      <c r="I1043" s="58">
        <f t="shared" si="121"/>
        <v>0</v>
      </c>
      <c r="J1043" s="14">
        <f t="shared" si="126"/>
        <v>0</v>
      </c>
      <c r="K1043" s="56">
        <v>2.84</v>
      </c>
      <c r="L1043" s="15">
        <f t="shared" si="122"/>
        <v>0</v>
      </c>
      <c r="M1043" s="16">
        <f t="shared" si="123"/>
        <v>266.40733600000004</v>
      </c>
      <c r="N1043" s="17">
        <f t="shared" si="120"/>
        <v>2.84</v>
      </c>
      <c r="O1043" s="17">
        <f t="shared" si="124"/>
        <v>1136</v>
      </c>
      <c r="P1043" s="18">
        <f t="shared" si="125"/>
        <v>106562.93440000001</v>
      </c>
      <c r="R1043" s="66"/>
      <c r="S1043" s="19"/>
      <c r="T1043" s="20"/>
      <c r="U1043" s="20"/>
      <c r="V1043" s="20"/>
      <c r="W1043" s="20"/>
      <c r="X1043" s="20"/>
      <c r="Y1043" s="20"/>
      <c r="Z1043" s="20"/>
      <c r="AA1043" s="20"/>
    </row>
    <row r="1044" spans="1:27" ht="12.75">
      <c r="A1044" s="54"/>
      <c r="B1044" s="54">
        <v>46009</v>
      </c>
      <c r="C1044" s="11">
        <f>VLOOKUP(B:B,'Курс валют'!A:D,4,0)</f>
        <v>94.147800000000004</v>
      </c>
      <c r="D1044" s="57" t="s">
        <v>1751</v>
      </c>
      <c r="E1044" s="50" t="s">
        <v>51</v>
      </c>
      <c r="F1044" s="58">
        <v>800</v>
      </c>
      <c r="G1044" s="57">
        <v>804.34</v>
      </c>
      <c r="H1044" s="56">
        <v>0</v>
      </c>
      <c r="I1044" s="58">
        <f t="shared" si="121"/>
        <v>4.3400000000000318</v>
      </c>
      <c r="J1044" s="14">
        <f t="shared" si="126"/>
        <v>0.54250000000000398</v>
      </c>
      <c r="K1044" s="56">
        <v>2.0499999999999998</v>
      </c>
      <c r="L1044" s="15">
        <f t="shared" si="122"/>
        <v>0</v>
      </c>
      <c r="M1044" s="16">
        <f t="shared" si="123"/>
        <v>193.00298999999998</v>
      </c>
      <c r="N1044" s="17">
        <f t="shared" si="120"/>
        <v>2.0499999999999998</v>
      </c>
      <c r="O1044" s="17">
        <f t="shared" si="124"/>
        <v>1639.9999999999998</v>
      </c>
      <c r="P1044" s="18">
        <f t="shared" si="125"/>
        <v>154402.39199999999</v>
      </c>
      <c r="R1044" s="66"/>
      <c r="S1044" s="19"/>
      <c r="T1044" s="20"/>
      <c r="U1044" s="20"/>
      <c r="V1044" s="20"/>
      <c r="W1044" s="20"/>
      <c r="X1044" s="20"/>
      <c r="Y1044" s="20"/>
      <c r="Z1044" s="20"/>
      <c r="AA1044" s="20"/>
    </row>
    <row r="1045" spans="1:27" ht="12.75">
      <c r="A1045" s="54"/>
      <c r="B1045" s="10">
        <v>46009</v>
      </c>
      <c r="C1045" s="11">
        <f>VLOOKUP(B:B,'Курс валют'!A:D,4,0)</f>
        <v>94.147800000000004</v>
      </c>
      <c r="D1045" s="57" t="s">
        <v>1752</v>
      </c>
      <c r="E1045" s="50" t="s">
        <v>51</v>
      </c>
      <c r="F1045" s="58">
        <v>800</v>
      </c>
      <c r="G1045" s="57">
        <v>804.34</v>
      </c>
      <c r="H1045" s="56">
        <v>0</v>
      </c>
      <c r="I1045" s="58">
        <f t="shared" si="121"/>
        <v>4.3400000000000318</v>
      </c>
      <c r="J1045" s="14">
        <f t="shared" si="126"/>
        <v>0.54250000000000398</v>
      </c>
      <c r="K1045" s="56">
        <v>2.0499999999999998</v>
      </c>
      <c r="L1045" s="15">
        <f t="shared" si="122"/>
        <v>0</v>
      </c>
      <c r="M1045" s="16">
        <f t="shared" si="123"/>
        <v>193.00298999999998</v>
      </c>
      <c r="N1045" s="17">
        <f t="shared" si="120"/>
        <v>2.0499999999999998</v>
      </c>
      <c r="O1045" s="17">
        <f t="shared" si="124"/>
        <v>1639.9999999999998</v>
      </c>
      <c r="P1045" s="18">
        <f t="shared" si="125"/>
        <v>154402.39199999999</v>
      </c>
      <c r="R1045" s="66"/>
      <c r="S1045" s="19"/>
      <c r="T1045" s="20"/>
      <c r="U1045" s="20"/>
      <c r="V1045" s="20"/>
      <c r="W1045" s="20"/>
      <c r="X1045" s="20"/>
      <c r="Y1045" s="20"/>
      <c r="Z1045" s="20"/>
      <c r="AA1045" s="20"/>
    </row>
    <row r="1046" spans="1:27" ht="12.75">
      <c r="A1046" s="54"/>
      <c r="B1046" s="10">
        <v>46009</v>
      </c>
      <c r="C1046" s="11">
        <f>VLOOKUP(B:B,'Курс валют'!A:D,4,0)</f>
        <v>94.147800000000004</v>
      </c>
      <c r="D1046" s="57" t="s">
        <v>1753</v>
      </c>
      <c r="E1046" s="50" t="s">
        <v>50</v>
      </c>
      <c r="F1046" s="58">
        <v>800</v>
      </c>
      <c r="G1046" s="52">
        <v>803.96</v>
      </c>
      <c r="H1046" s="56">
        <v>0</v>
      </c>
      <c r="I1046" s="13">
        <f t="shared" si="121"/>
        <v>3.9600000000000364</v>
      </c>
      <c r="J1046" s="14">
        <f t="shared" si="126"/>
        <v>0.49500000000000455</v>
      </c>
      <c r="K1046" s="56">
        <v>1.91</v>
      </c>
      <c r="L1046" s="15">
        <f t="shared" si="122"/>
        <v>0</v>
      </c>
      <c r="M1046" s="16">
        <f t="shared" si="123"/>
        <v>179.82229800000002</v>
      </c>
      <c r="N1046" s="17">
        <f t="shared" si="120"/>
        <v>1.91</v>
      </c>
      <c r="O1046" s="17">
        <f t="shared" si="124"/>
        <v>1528</v>
      </c>
      <c r="P1046" s="18">
        <f t="shared" si="125"/>
        <v>143857.83840000001</v>
      </c>
      <c r="R1046" s="66"/>
      <c r="S1046" s="19"/>
      <c r="T1046" s="20"/>
      <c r="U1046" s="20"/>
      <c r="V1046" s="20"/>
      <c r="W1046" s="20"/>
      <c r="X1046" s="20"/>
      <c r="Y1046" s="20"/>
      <c r="Z1046" s="20"/>
      <c r="AA1046" s="20"/>
    </row>
    <row r="1047" spans="1:27" ht="12.75">
      <c r="A1047" s="54"/>
      <c r="B1047" s="10">
        <v>46009</v>
      </c>
      <c r="C1047" s="11">
        <f>VLOOKUP(B:B,'Курс валют'!A:D,4,0)</f>
        <v>94.147800000000004</v>
      </c>
      <c r="D1047" s="57" t="s">
        <v>1754</v>
      </c>
      <c r="E1047" s="50" t="s">
        <v>50</v>
      </c>
      <c r="F1047" s="58">
        <v>800</v>
      </c>
      <c r="G1047" s="57">
        <v>803.96</v>
      </c>
      <c r="H1047" s="56">
        <v>0</v>
      </c>
      <c r="I1047" s="58">
        <f t="shared" si="121"/>
        <v>3.9600000000000364</v>
      </c>
      <c r="J1047" s="14">
        <f t="shared" si="126"/>
        <v>0.49500000000000455</v>
      </c>
      <c r="K1047" s="56">
        <v>1.91</v>
      </c>
      <c r="L1047" s="15">
        <f t="shared" si="122"/>
        <v>0</v>
      </c>
      <c r="M1047" s="16">
        <f t="shared" si="123"/>
        <v>179.82229800000002</v>
      </c>
      <c r="N1047" s="17">
        <f t="shared" si="120"/>
        <v>1.91</v>
      </c>
      <c r="O1047" s="17">
        <f t="shared" si="124"/>
        <v>1528</v>
      </c>
      <c r="P1047" s="18">
        <f t="shared" si="125"/>
        <v>143857.83840000001</v>
      </c>
      <c r="R1047" s="66"/>
      <c r="S1047" s="19"/>
      <c r="T1047" s="20"/>
      <c r="U1047" s="20"/>
      <c r="V1047" s="20"/>
      <c r="W1047" s="20"/>
      <c r="X1047" s="20"/>
      <c r="Y1047" s="20"/>
      <c r="Z1047" s="20"/>
      <c r="AA1047" s="20"/>
    </row>
    <row r="1048" spans="1:27" ht="12.75">
      <c r="A1048" s="54"/>
      <c r="B1048" s="10">
        <v>46009</v>
      </c>
      <c r="C1048" s="11">
        <f>VLOOKUP(B:B,'Курс валют'!A:D,4,0)</f>
        <v>94.147800000000004</v>
      </c>
      <c r="D1048" s="57" t="s">
        <v>1755</v>
      </c>
      <c r="E1048" s="50" t="s">
        <v>50</v>
      </c>
      <c r="F1048" s="58">
        <v>800</v>
      </c>
      <c r="G1048" s="52">
        <v>803.96</v>
      </c>
      <c r="H1048" s="56">
        <v>0</v>
      </c>
      <c r="I1048" s="13">
        <f t="shared" si="121"/>
        <v>3.9600000000000364</v>
      </c>
      <c r="J1048" s="14">
        <f t="shared" si="126"/>
        <v>0.49500000000000455</v>
      </c>
      <c r="K1048" s="56">
        <v>1.91</v>
      </c>
      <c r="L1048" s="15">
        <f t="shared" si="122"/>
        <v>0</v>
      </c>
      <c r="M1048" s="16">
        <f t="shared" si="123"/>
        <v>179.82229800000002</v>
      </c>
      <c r="N1048" s="17">
        <f t="shared" si="120"/>
        <v>1.91</v>
      </c>
      <c r="O1048" s="17">
        <f t="shared" si="124"/>
        <v>1528</v>
      </c>
      <c r="P1048" s="18">
        <f t="shared" si="125"/>
        <v>143857.83840000001</v>
      </c>
      <c r="R1048" s="66"/>
      <c r="S1048" s="20"/>
      <c r="T1048" s="20"/>
      <c r="U1048" s="20"/>
      <c r="V1048" s="20"/>
      <c r="W1048" s="20"/>
      <c r="X1048" s="20"/>
      <c r="Y1048" s="20"/>
      <c r="Z1048" s="20"/>
      <c r="AA1048" s="20"/>
    </row>
    <row r="1049" spans="1:27" ht="12.75">
      <c r="A1049" s="54"/>
      <c r="B1049" s="10">
        <v>46009</v>
      </c>
      <c r="C1049" s="11">
        <f>VLOOKUP(B:B,'Курс валют'!A:D,4,0)</f>
        <v>94.147800000000004</v>
      </c>
      <c r="D1049" s="57" t="s">
        <v>242</v>
      </c>
      <c r="E1049" s="50" t="s">
        <v>50</v>
      </c>
      <c r="F1049" s="58">
        <v>800</v>
      </c>
      <c r="G1049" s="57">
        <v>803.96</v>
      </c>
      <c r="H1049" s="56">
        <v>0</v>
      </c>
      <c r="I1049" s="58">
        <f t="shared" si="121"/>
        <v>3.9600000000000364</v>
      </c>
      <c r="J1049" s="14">
        <f t="shared" si="126"/>
        <v>0.49500000000000455</v>
      </c>
      <c r="K1049" s="56">
        <v>1.91</v>
      </c>
      <c r="L1049" s="15">
        <f t="shared" si="122"/>
        <v>0</v>
      </c>
      <c r="M1049" s="16">
        <f t="shared" si="123"/>
        <v>179.82229800000002</v>
      </c>
      <c r="N1049" s="17">
        <f t="shared" si="120"/>
        <v>1.91</v>
      </c>
      <c r="O1049" s="17">
        <f t="shared" si="124"/>
        <v>1528</v>
      </c>
      <c r="P1049" s="18">
        <f t="shared" si="125"/>
        <v>143857.83840000001</v>
      </c>
      <c r="R1049" s="66"/>
      <c r="S1049" s="20"/>
      <c r="T1049" s="20"/>
      <c r="U1049" s="20"/>
      <c r="V1049" s="20"/>
      <c r="W1049" s="20"/>
      <c r="X1049" s="20"/>
      <c r="Y1049" s="20"/>
      <c r="Z1049" s="20"/>
      <c r="AA1049" s="20"/>
    </row>
    <row r="1050" spans="1:27" ht="12.75">
      <c r="A1050" s="54"/>
      <c r="B1050" s="10">
        <v>46009</v>
      </c>
      <c r="C1050" s="11">
        <f>VLOOKUP(B:B,'Курс валют'!A:D,4,0)</f>
        <v>94.147800000000004</v>
      </c>
      <c r="D1050" s="57" t="s">
        <v>1756</v>
      </c>
      <c r="E1050" s="50" t="s">
        <v>50</v>
      </c>
      <c r="F1050" s="58">
        <v>800</v>
      </c>
      <c r="G1050" s="57">
        <v>803.96</v>
      </c>
      <c r="H1050" s="56">
        <v>0</v>
      </c>
      <c r="I1050" s="58">
        <f t="shared" si="121"/>
        <v>3.9600000000000364</v>
      </c>
      <c r="J1050" s="14">
        <f t="shared" si="126"/>
        <v>0.49500000000000455</v>
      </c>
      <c r="K1050" s="56">
        <v>1.91</v>
      </c>
      <c r="L1050" s="15">
        <f t="shared" si="122"/>
        <v>0</v>
      </c>
      <c r="M1050" s="16">
        <f t="shared" si="123"/>
        <v>179.82229800000002</v>
      </c>
      <c r="N1050" s="17">
        <f>(F1050*K1050-H1050*2.45)/F1050</f>
        <v>1.91</v>
      </c>
      <c r="O1050" s="17">
        <f t="shared" si="124"/>
        <v>1528</v>
      </c>
      <c r="P1050" s="18">
        <f t="shared" si="125"/>
        <v>143857.83840000001</v>
      </c>
      <c r="R1050" s="66"/>
      <c r="S1050" s="19"/>
      <c r="T1050" s="20"/>
      <c r="U1050" s="20"/>
      <c r="V1050" s="20"/>
      <c r="W1050" s="20"/>
      <c r="X1050" s="20"/>
      <c r="Y1050" s="20"/>
      <c r="Z1050" s="20"/>
      <c r="AA1050" s="20"/>
    </row>
    <row r="1051" spans="1:27" ht="12.75">
      <c r="A1051" s="54"/>
      <c r="B1051" s="10">
        <v>46009</v>
      </c>
      <c r="C1051" s="11">
        <f>VLOOKUP(B:B,'Курс валют'!A:D,4,0)</f>
        <v>94.147800000000004</v>
      </c>
      <c r="D1051" s="57" t="s">
        <v>1757</v>
      </c>
      <c r="E1051" s="50" t="s">
        <v>50</v>
      </c>
      <c r="F1051" s="58">
        <v>800</v>
      </c>
      <c r="G1051" s="57">
        <v>803.96</v>
      </c>
      <c r="H1051" s="49">
        <v>0</v>
      </c>
      <c r="I1051" s="58">
        <f t="shared" si="121"/>
        <v>3.9600000000000364</v>
      </c>
      <c r="J1051" s="14">
        <f t="shared" si="126"/>
        <v>0.49500000000000455</v>
      </c>
      <c r="K1051" s="56">
        <v>1.91</v>
      </c>
      <c r="L1051" s="15">
        <f t="shared" si="122"/>
        <v>0</v>
      </c>
      <c r="M1051" s="16">
        <f t="shared" si="123"/>
        <v>179.82229800000002</v>
      </c>
      <c r="N1051" s="17">
        <f t="shared" ref="N1051:N1114" si="127">(F1051*K1051-H1051*3.04)/F1051</f>
        <v>1.91</v>
      </c>
      <c r="O1051" s="17">
        <f t="shared" si="124"/>
        <v>1528</v>
      </c>
      <c r="P1051" s="18">
        <f t="shared" si="125"/>
        <v>143857.83840000001</v>
      </c>
      <c r="R1051" s="66"/>
      <c r="S1051" s="19"/>
      <c r="T1051" s="20"/>
      <c r="U1051" s="20"/>
      <c r="V1051" s="20"/>
      <c r="W1051" s="20"/>
      <c r="X1051" s="20"/>
      <c r="Y1051" s="20"/>
      <c r="Z1051" s="20"/>
      <c r="AA1051" s="20"/>
    </row>
    <row r="1052" spans="1:27" ht="12.75">
      <c r="A1052" s="54"/>
      <c r="B1052" s="10">
        <v>46009</v>
      </c>
      <c r="C1052" s="11">
        <f>VLOOKUP(B:B,'Курс валют'!A:D,4,0)</f>
        <v>94.147800000000004</v>
      </c>
      <c r="D1052" s="57" t="s">
        <v>1758</v>
      </c>
      <c r="E1052" s="50" t="s">
        <v>50</v>
      </c>
      <c r="F1052" s="58">
        <v>800</v>
      </c>
      <c r="G1052" s="57">
        <v>803.96</v>
      </c>
      <c r="H1052" s="49">
        <v>0</v>
      </c>
      <c r="I1052" s="58">
        <f t="shared" si="121"/>
        <v>3.9600000000000364</v>
      </c>
      <c r="J1052" s="14">
        <f t="shared" si="126"/>
        <v>0.49500000000000455</v>
      </c>
      <c r="K1052" s="56">
        <v>1.91</v>
      </c>
      <c r="L1052" s="15">
        <f t="shared" si="122"/>
        <v>0</v>
      </c>
      <c r="M1052" s="16">
        <f t="shared" si="123"/>
        <v>179.82229800000002</v>
      </c>
      <c r="N1052" s="17">
        <f t="shared" si="127"/>
        <v>1.91</v>
      </c>
      <c r="O1052" s="17">
        <f t="shared" si="124"/>
        <v>1528</v>
      </c>
      <c r="P1052" s="18">
        <f t="shared" si="125"/>
        <v>143857.83840000001</v>
      </c>
      <c r="R1052" s="65"/>
      <c r="S1052" s="19"/>
      <c r="T1052" s="20"/>
      <c r="U1052" s="20"/>
      <c r="V1052" s="20"/>
      <c r="W1052" s="20"/>
      <c r="X1052" s="20"/>
      <c r="Y1052" s="20"/>
      <c r="Z1052" s="20"/>
      <c r="AA1052" s="20"/>
    </row>
    <row r="1053" spans="1:27" ht="12.75">
      <c r="A1053" s="54"/>
      <c r="B1053" s="10">
        <v>46009</v>
      </c>
      <c r="C1053" s="11">
        <f>VLOOKUP(B:B,'Курс валют'!A:D,4,0)</f>
        <v>94.147800000000004</v>
      </c>
      <c r="D1053" s="57" t="s">
        <v>1759</v>
      </c>
      <c r="E1053" s="50" t="s">
        <v>50</v>
      </c>
      <c r="F1053" s="58">
        <v>800</v>
      </c>
      <c r="G1053" s="57">
        <v>803.96</v>
      </c>
      <c r="H1053" s="49">
        <v>0</v>
      </c>
      <c r="I1053" s="58">
        <f t="shared" si="121"/>
        <v>3.9600000000000364</v>
      </c>
      <c r="J1053" s="14">
        <f t="shared" si="126"/>
        <v>0.49500000000000455</v>
      </c>
      <c r="K1053" s="56">
        <v>1.91</v>
      </c>
      <c r="L1053" s="15">
        <f t="shared" si="122"/>
        <v>0</v>
      </c>
      <c r="M1053" s="16">
        <f t="shared" si="123"/>
        <v>179.82229800000002</v>
      </c>
      <c r="N1053" s="17">
        <f t="shared" si="127"/>
        <v>1.91</v>
      </c>
      <c r="O1053" s="17">
        <f t="shared" si="124"/>
        <v>1528</v>
      </c>
      <c r="P1053" s="18">
        <f t="shared" si="125"/>
        <v>143857.83840000001</v>
      </c>
      <c r="R1053" s="65"/>
      <c r="S1053" s="19"/>
      <c r="T1053" s="20"/>
      <c r="U1053" s="20"/>
      <c r="V1053" s="20"/>
      <c r="W1053" s="20"/>
      <c r="X1053" s="20"/>
      <c r="Y1053" s="20"/>
      <c r="Z1053" s="20"/>
      <c r="AA1053" s="20"/>
    </row>
    <row r="1054" spans="1:27" ht="12.75">
      <c r="A1054" s="54"/>
      <c r="B1054" s="10">
        <v>46009</v>
      </c>
      <c r="C1054" s="11">
        <f>VLOOKUP(B:B,'Курс валют'!A:D,4,0)</f>
        <v>94.147800000000004</v>
      </c>
      <c r="D1054" s="57" t="s">
        <v>1760</v>
      </c>
      <c r="E1054" s="50" t="s">
        <v>50</v>
      </c>
      <c r="F1054" s="58">
        <v>800</v>
      </c>
      <c r="G1054" s="57">
        <v>803.96</v>
      </c>
      <c r="H1054" s="49">
        <v>0</v>
      </c>
      <c r="I1054" s="58">
        <f t="shared" si="121"/>
        <v>3.9600000000000364</v>
      </c>
      <c r="J1054" s="14">
        <f t="shared" si="126"/>
        <v>0.49500000000000455</v>
      </c>
      <c r="K1054" s="56">
        <v>1.91</v>
      </c>
      <c r="L1054" s="15">
        <f t="shared" si="122"/>
        <v>0</v>
      </c>
      <c r="M1054" s="16">
        <f t="shared" si="123"/>
        <v>179.82229800000002</v>
      </c>
      <c r="N1054" s="17">
        <f t="shared" si="127"/>
        <v>1.91</v>
      </c>
      <c r="O1054" s="17">
        <f t="shared" si="124"/>
        <v>1528</v>
      </c>
      <c r="P1054" s="18">
        <f t="shared" si="125"/>
        <v>143857.83840000001</v>
      </c>
      <c r="R1054" s="65"/>
      <c r="S1054" s="19"/>
      <c r="T1054" s="20"/>
      <c r="U1054" s="20"/>
      <c r="V1054" s="20"/>
      <c r="W1054" s="20"/>
      <c r="X1054" s="20"/>
      <c r="Y1054" s="20"/>
      <c r="Z1054" s="20"/>
      <c r="AA1054" s="20"/>
    </row>
    <row r="1055" spans="1:27" ht="12.75">
      <c r="A1055" s="54"/>
      <c r="B1055" s="10">
        <v>46009</v>
      </c>
      <c r="C1055" s="11">
        <f>VLOOKUP(B:B,'Курс валют'!A:D,4,0)</f>
        <v>94.147800000000004</v>
      </c>
      <c r="D1055" s="57" t="s">
        <v>1761</v>
      </c>
      <c r="E1055" s="50" t="s">
        <v>50</v>
      </c>
      <c r="F1055" s="58">
        <v>800</v>
      </c>
      <c r="G1055" s="57">
        <v>803.96</v>
      </c>
      <c r="H1055" s="49">
        <v>0</v>
      </c>
      <c r="I1055" s="58">
        <f t="shared" si="121"/>
        <v>3.9600000000000364</v>
      </c>
      <c r="J1055" s="14">
        <f t="shared" si="126"/>
        <v>0.49500000000000455</v>
      </c>
      <c r="K1055" s="56">
        <v>1.91</v>
      </c>
      <c r="L1055" s="15">
        <f t="shared" si="122"/>
        <v>0</v>
      </c>
      <c r="M1055" s="16">
        <f t="shared" si="123"/>
        <v>179.82229800000002</v>
      </c>
      <c r="N1055" s="17">
        <f t="shared" si="127"/>
        <v>1.91</v>
      </c>
      <c r="O1055" s="17">
        <f t="shared" si="124"/>
        <v>1528</v>
      </c>
      <c r="P1055" s="18">
        <f t="shared" si="125"/>
        <v>143857.83840000001</v>
      </c>
      <c r="R1055" s="65"/>
      <c r="S1055" s="19"/>
      <c r="T1055" s="20"/>
      <c r="U1055" s="20"/>
      <c r="V1055" s="20"/>
      <c r="W1055" s="20"/>
      <c r="X1055" s="20"/>
      <c r="Y1055" s="20"/>
      <c r="Z1055" s="20"/>
      <c r="AA1055" s="20"/>
    </row>
    <row r="1056" spans="1:27" ht="12.75">
      <c r="A1056" s="54"/>
      <c r="B1056" s="10">
        <v>46009</v>
      </c>
      <c r="C1056" s="11">
        <f>VLOOKUP(B:B,'Курс валют'!A:D,4,0)</f>
        <v>94.147800000000004</v>
      </c>
      <c r="D1056" s="57" t="s">
        <v>1762</v>
      </c>
      <c r="E1056" s="50" t="s">
        <v>89</v>
      </c>
      <c r="F1056" s="58">
        <v>400</v>
      </c>
      <c r="G1056" s="57">
        <v>400</v>
      </c>
      <c r="H1056" s="56">
        <v>0</v>
      </c>
      <c r="I1056" s="58">
        <f t="shared" si="121"/>
        <v>0</v>
      </c>
      <c r="J1056" s="14">
        <f t="shared" si="126"/>
        <v>0</v>
      </c>
      <c r="K1056" s="53">
        <v>2.86</v>
      </c>
      <c r="L1056" s="15">
        <f t="shared" si="122"/>
        <v>0</v>
      </c>
      <c r="M1056" s="16">
        <f t="shared" si="123"/>
        <v>269.26270800000003</v>
      </c>
      <c r="N1056" s="17">
        <f t="shared" si="127"/>
        <v>2.86</v>
      </c>
      <c r="O1056" s="17">
        <f t="shared" si="124"/>
        <v>1144</v>
      </c>
      <c r="P1056" s="18">
        <f t="shared" si="125"/>
        <v>107705.08320000001</v>
      </c>
      <c r="R1056" s="65"/>
      <c r="S1056" s="19"/>
      <c r="T1056" s="20"/>
      <c r="U1056" s="20"/>
      <c r="V1056" s="20"/>
      <c r="W1056" s="20"/>
      <c r="X1056" s="20"/>
      <c r="Y1056" s="20"/>
      <c r="Z1056" s="20"/>
      <c r="AA1056" s="20"/>
    </row>
    <row r="1057" spans="1:27" ht="12.75">
      <c r="A1057" s="54"/>
      <c r="B1057" s="10">
        <v>46010</v>
      </c>
      <c r="C1057" s="11">
        <f>VLOOKUP(B:B,'Курс валют'!A:D,4,0)</f>
        <v>94.252399999999994</v>
      </c>
      <c r="D1057" s="57" t="s">
        <v>1763</v>
      </c>
      <c r="E1057" s="50" t="s">
        <v>15</v>
      </c>
      <c r="F1057" s="58">
        <v>1100</v>
      </c>
      <c r="G1057" s="52">
        <v>1111.81</v>
      </c>
      <c r="H1057" s="56">
        <v>503.11</v>
      </c>
      <c r="I1057" s="13">
        <f t="shared" si="121"/>
        <v>11.809999999999945</v>
      </c>
      <c r="J1057" s="14">
        <f t="shared" si="126"/>
        <v>1.0736363636363588</v>
      </c>
      <c r="K1057" s="53">
        <v>3.75</v>
      </c>
      <c r="L1057" s="15">
        <f t="shared" si="122"/>
        <v>45.737272727272725</v>
      </c>
      <c r="M1057" s="16">
        <f t="shared" si="123"/>
        <v>222.39672919039998</v>
      </c>
      <c r="N1057" s="17">
        <f t="shared" si="127"/>
        <v>2.359586909090909</v>
      </c>
      <c r="O1057" s="17">
        <f t="shared" si="124"/>
        <v>2595.5455999999999</v>
      </c>
      <c r="P1057" s="18">
        <f t="shared" si="125"/>
        <v>244636.40210943998</v>
      </c>
      <c r="R1057" s="65"/>
      <c r="S1057" s="19"/>
      <c r="T1057" s="20"/>
      <c r="U1057" s="20"/>
      <c r="V1057" s="20"/>
      <c r="W1057" s="20"/>
      <c r="X1057" s="20"/>
      <c r="Y1057" s="20"/>
      <c r="Z1057" s="20"/>
      <c r="AA1057" s="20"/>
    </row>
    <row r="1058" spans="1:27" ht="12.75">
      <c r="A1058" s="54"/>
      <c r="B1058" s="10">
        <v>46010</v>
      </c>
      <c r="C1058" s="11">
        <f>VLOOKUP(B:B,'Курс валют'!A:D,4,0)</f>
        <v>94.252399999999994</v>
      </c>
      <c r="D1058" s="57" t="s">
        <v>1764</v>
      </c>
      <c r="E1058" s="50" t="s">
        <v>15</v>
      </c>
      <c r="F1058" s="58">
        <v>1100</v>
      </c>
      <c r="G1058" s="52">
        <v>1111.81</v>
      </c>
      <c r="H1058" s="56">
        <v>503.11</v>
      </c>
      <c r="I1058" s="13">
        <f t="shared" si="121"/>
        <v>11.809999999999945</v>
      </c>
      <c r="J1058" s="14">
        <f t="shared" si="126"/>
        <v>1.0736363636363588</v>
      </c>
      <c r="K1058" s="56">
        <v>3.74</v>
      </c>
      <c r="L1058" s="15">
        <f t="shared" si="122"/>
        <v>45.737272727272725</v>
      </c>
      <c r="M1058" s="16">
        <f t="shared" si="123"/>
        <v>221.45420519039999</v>
      </c>
      <c r="N1058" s="17">
        <f t="shared" si="127"/>
        <v>2.3495869090909092</v>
      </c>
      <c r="O1058" s="17">
        <f t="shared" si="124"/>
        <v>2584.5455999999999</v>
      </c>
      <c r="P1058" s="18">
        <f t="shared" si="125"/>
        <v>243599.62570943998</v>
      </c>
      <c r="R1058" s="66"/>
      <c r="S1058" s="20"/>
      <c r="T1058" s="20"/>
      <c r="U1058" s="20"/>
      <c r="V1058" s="20"/>
      <c r="W1058" s="20"/>
      <c r="X1058" s="20"/>
      <c r="Y1058" s="20"/>
      <c r="Z1058" s="20"/>
      <c r="AA1058" s="20"/>
    </row>
    <row r="1059" spans="1:27" ht="12.75">
      <c r="A1059" s="54"/>
      <c r="B1059" s="10">
        <v>46010</v>
      </c>
      <c r="C1059" s="11">
        <f>VLOOKUP(B:B,'Курс валют'!A:D,4,0)</f>
        <v>94.252399999999994</v>
      </c>
      <c r="D1059" s="57" t="s">
        <v>1765</v>
      </c>
      <c r="E1059" s="50" t="s">
        <v>15</v>
      </c>
      <c r="F1059" s="58">
        <v>1100</v>
      </c>
      <c r="G1059" s="52">
        <v>1111.81</v>
      </c>
      <c r="H1059" s="56">
        <v>503.11</v>
      </c>
      <c r="I1059" s="13">
        <f t="shared" si="121"/>
        <v>11.809999999999945</v>
      </c>
      <c r="J1059" s="14">
        <f t="shared" si="126"/>
        <v>1.0736363636363588</v>
      </c>
      <c r="K1059" s="56">
        <v>3.74</v>
      </c>
      <c r="L1059" s="15">
        <f t="shared" si="122"/>
        <v>45.737272727272725</v>
      </c>
      <c r="M1059" s="16">
        <f t="shared" si="123"/>
        <v>221.45420519039999</v>
      </c>
      <c r="N1059" s="17">
        <f t="shared" si="127"/>
        <v>2.3495869090909092</v>
      </c>
      <c r="O1059" s="17">
        <f t="shared" si="124"/>
        <v>2584.5455999999999</v>
      </c>
      <c r="P1059" s="18">
        <f t="shared" si="125"/>
        <v>243599.62570943998</v>
      </c>
      <c r="R1059" s="66"/>
      <c r="S1059" s="20"/>
      <c r="T1059" s="20"/>
      <c r="U1059" s="20"/>
      <c r="V1059" s="20"/>
      <c r="W1059" s="20"/>
      <c r="X1059" s="20"/>
      <c r="Y1059" s="20"/>
      <c r="Z1059" s="20"/>
      <c r="AA1059" s="20"/>
    </row>
    <row r="1060" spans="1:27" ht="12.75">
      <c r="A1060" s="54"/>
      <c r="B1060" s="10">
        <v>46010</v>
      </c>
      <c r="C1060" s="11">
        <f>VLOOKUP(B:B,'Курс валют'!A:D,4,0)</f>
        <v>94.252399999999994</v>
      </c>
      <c r="D1060" s="57" t="s">
        <v>1766</v>
      </c>
      <c r="E1060" s="50" t="s">
        <v>15</v>
      </c>
      <c r="F1060" s="58">
        <v>1100</v>
      </c>
      <c r="G1060" s="52">
        <v>1111.81</v>
      </c>
      <c r="H1060" s="22">
        <v>503.11</v>
      </c>
      <c r="I1060" s="13">
        <f t="shared" si="121"/>
        <v>11.809999999999945</v>
      </c>
      <c r="J1060" s="14">
        <f t="shared" si="126"/>
        <v>1.0736363636363588</v>
      </c>
      <c r="K1060" s="56">
        <v>3.75</v>
      </c>
      <c r="L1060" s="15">
        <f t="shared" si="122"/>
        <v>45.737272727272725</v>
      </c>
      <c r="M1060" s="16">
        <f t="shared" si="123"/>
        <v>222.39672919039998</v>
      </c>
      <c r="N1060" s="17">
        <f t="shared" si="127"/>
        <v>2.359586909090909</v>
      </c>
      <c r="O1060" s="17">
        <f t="shared" si="124"/>
        <v>2595.5455999999999</v>
      </c>
      <c r="P1060" s="18">
        <f t="shared" si="125"/>
        <v>244636.40210943998</v>
      </c>
      <c r="R1060" s="65"/>
      <c r="S1060" s="20"/>
      <c r="T1060" s="20"/>
      <c r="U1060" s="20"/>
      <c r="V1060" s="20"/>
      <c r="W1060" s="20"/>
      <c r="X1060" s="20"/>
      <c r="Y1060" s="20"/>
      <c r="Z1060" s="20"/>
      <c r="AA1060" s="20"/>
    </row>
    <row r="1061" spans="1:27" ht="12.75">
      <c r="A1061" s="54"/>
      <c r="B1061" s="10">
        <v>46010</v>
      </c>
      <c r="C1061" s="11">
        <f>VLOOKUP(B:B,'Курс валют'!A:D,4,0)</f>
        <v>94.252399999999994</v>
      </c>
      <c r="D1061" s="57" t="s">
        <v>1767</v>
      </c>
      <c r="E1061" s="50" t="s">
        <v>15</v>
      </c>
      <c r="F1061" s="58">
        <v>1100</v>
      </c>
      <c r="G1061" s="52">
        <v>1111.81</v>
      </c>
      <c r="H1061" s="22">
        <v>503.11</v>
      </c>
      <c r="I1061" s="13">
        <f t="shared" si="121"/>
        <v>11.809999999999945</v>
      </c>
      <c r="J1061" s="14">
        <f t="shared" si="126"/>
        <v>1.0736363636363588</v>
      </c>
      <c r="K1061" s="56">
        <v>3.75</v>
      </c>
      <c r="L1061" s="15">
        <f t="shared" si="122"/>
        <v>45.737272727272725</v>
      </c>
      <c r="M1061" s="16">
        <f t="shared" si="123"/>
        <v>222.39672919039998</v>
      </c>
      <c r="N1061" s="17">
        <f t="shared" si="127"/>
        <v>2.359586909090909</v>
      </c>
      <c r="O1061" s="17">
        <f t="shared" si="124"/>
        <v>2595.5455999999999</v>
      </c>
      <c r="P1061" s="18">
        <f t="shared" si="125"/>
        <v>244636.40210943998</v>
      </c>
      <c r="R1061" s="65"/>
      <c r="S1061" s="20"/>
      <c r="T1061" s="20"/>
      <c r="U1061" s="20"/>
      <c r="V1061" s="20"/>
      <c r="W1061" s="20"/>
      <c r="X1061" s="20"/>
      <c r="Y1061" s="20"/>
      <c r="Z1061" s="20"/>
      <c r="AA1061" s="20"/>
    </row>
    <row r="1062" spans="1:27" ht="12.75">
      <c r="A1062" s="54"/>
      <c r="B1062" s="10">
        <v>46010</v>
      </c>
      <c r="C1062" s="11">
        <f>VLOOKUP(B:B,'Курс валют'!A:D,4,0)</f>
        <v>94.252399999999994</v>
      </c>
      <c r="D1062" s="57" t="s">
        <v>1768</v>
      </c>
      <c r="E1062" s="50" t="s">
        <v>15</v>
      </c>
      <c r="F1062" s="58">
        <v>1100</v>
      </c>
      <c r="G1062" s="52">
        <v>1111.81</v>
      </c>
      <c r="H1062" s="56">
        <v>503.11</v>
      </c>
      <c r="I1062" s="13">
        <f t="shared" si="121"/>
        <v>11.809999999999945</v>
      </c>
      <c r="J1062" s="14">
        <f t="shared" si="126"/>
        <v>1.0736363636363588</v>
      </c>
      <c r="K1062" s="56">
        <v>3.74</v>
      </c>
      <c r="L1062" s="15">
        <f t="shared" si="122"/>
        <v>45.737272727272725</v>
      </c>
      <c r="M1062" s="16">
        <f t="shared" si="123"/>
        <v>221.45420519039999</v>
      </c>
      <c r="N1062" s="17">
        <f t="shared" si="127"/>
        <v>2.3495869090909092</v>
      </c>
      <c r="O1062" s="17">
        <f t="shared" si="124"/>
        <v>2584.5455999999999</v>
      </c>
      <c r="P1062" s="18">
        <f t="shared" si="125"/>
        <v>243599.62570943998</v>
      </c>
      <c r="R1062" s="66"/>
      <c r="S1062" s="19"/>
      <c r="T1062" s="20"/>
      <c r="U1062" s="20"/>
      <c r="V1062" s="20"/>
      <c r="W1062" s="20"/>
      <c r="X1062" s="20"/>
      <c r="Y1062" s="20"/>
      <c r="Z1062" s="20"/>
      <c r="AA1062" s="20"/>
    </row>
    <row r="1063" spans="1:27" ht="12.75">
      <c r="A1063" s="54"/>
      <c r="B1063" s="10">
        <v>46010</v>
      </c>
      <c r="C1063" s="11">
        <f>VLOOKUP(B:B,'Курс валют'!A:D,4,0)</f>
        <v>94.252399999999994</v>
      </c>
      <c r="D1063" s="57" t="s">
        <v>1769</v>
      </c>
      <c r="E1063" s="50" t="s">
        <v>15</v>
      </c>
      <c r="F1063" s="58">
        <v>1100</v>
      </c>
      <c r="G1063" s="52">
        <v>1111.81</v>
      </c>
      <c r="H1063" s="22">
        <v>503.11</v>
      </c>
      <c r="I1063" s="13">
        <f t="shared" si="121"/>
        <v>11.809999999999945</v>
      </c>
      <c r="J1063" s="14">
        <f t="shared" si="126"/>
        <v>1.0736363636363588</v>
      </c>
      <c r="K1063" s="56">
        <v>3.74</v>
      </c>
      <c r="L1063" s="15">
        <f t="shared" si="122"/>
        <v>45.737272727272725</v>
      </c>
      <c r="M1063" s="16">
        <f t="shared" si="123"/>
        <v>221.45420519039999</v>
      </c>
      <c r="N1063" s="17">
        <f t="shared" si="127"/>
        <v>2.3495869090909092</v>
      </c>
      <c r="O1063" s="17">
        <f t="shared" si="124"/>
        <v>2584.5455999999999</v>
      </c>
      <c r="P1063" s="18">
        <f t="shared" si="125"/>
        <v>243599.62570943998</v>
      </c>
      <c r="R1063" s="66"/>
      <c r="S1063" s="19"/>
      <c r="T1063" s="20"/>
      <c r="U1063" s="20"/>
      <c r="V1063" s="20"/>
      <c r="W1063" s="20"/>
      <c r="X1063" s="20"/>
      <c r="Y1063" s="20"/>
      <c r="Z1063" s="20"/>
      <c r="AA1063" s="20"/>
    </row>
    <row r="1064" spans="1:27" ht="12.75">
      <c r="A1064" s="54"/>
      <c r="B1064" s="10">
        <v>46010</v>
      </c>
      <c r="C1064" s="11">
        <f>VLOOKUP(B:B,'Курс валют'!A:D,4,0)</f>
        <v>94.252399999999994</v>
      </c>
      <c r="D1064" s="57" t="s">
        <v>1770</v>
      </c>
      <c r="E1064" s="50" t="s">
        <v>15</v>
      </c>
      <c r="F1064" s="58">
        <v>1100</v>
      </c>
      <c r="G1064" s="52">
        <v>1111.81</v>
      </c>
      <c r="H1064" s="56">
        <v>503.11</v>
      </c>
      <c r="I1064" s="13">
        <f t="shared" si="121"/>
        <v>11.809999999999945</v>
      </c>
      <c r="J1064" s="14">
        <f t="shared" si="126"/>
        <v>1.0736363636363588</v>
      </c>
      <c r="K1064" s="56">
        <v>3.75</v>
      </c>
      <c r="L1064" s="15">
        <f t="shared" si="122"/>
        <v>45.737272727272725</v>
      </c>
      <c r="M1064" s="16">
        <f t="shared" si="123"/>
        <v>222.39672919039998</v>
      </c>
      <c r="N1064" s="17">
        <f t="shared" si="127"/>
        <v>2.359586909090909</v>
      </c>
      <c r="O1064" s="17">
        <f t="shared" si="124"/>
        <v>2595.5455999999999</v>
      </c>
      <c r="P1064" s="18">
        <f t="shared" si="125"/>
        <v>244636.40210943998</v>
      </c>
      <c r="R1064" s="66"/>
      <c r="S1064" s="19"/>
      <c r="T1064" s="20"/>
      <c r="U1064" s="20"/>
      <c r="V1064" s="20"/>
      <c r="W1064" s="20"/>
      <c r="X1064" s="20"/>
      <c r="Y1064" s="20"/>
      <c r="Z1064" s="20"/>
      <c r="AA1064" s="20"/>
    </row>
    <row r="1065" spans="1:27" ht="12.75">
      <c r="A1065" s="54"/>
      <c r="B1065" s="10">
        <v>46010</v>
      </c>
      <c r="C1065" s="11">
        <f>VLOOKUP(B:B,'Курс валют'!A:D,4,0)</f>
        <v>94.252399999999994</v>
      </c>
      <c r="D1065" s="57" t="s">
        <v>1771</v>
      </c>
      <c r="E1065" s="55" t="s">
        <v>15</v>
      </c>
      <c r="F1065" s="58">
        <v>1100</v>
      </c>
      <c r="G1065" s="52">
        <v>1111.81</v>
      </c>
      <c r="H1065" s="56">
        <v>503.11</v>
      </c>
      <c r="I1065" s="13">
        <f t="shared" si="121"/>
        <v>11.809999999999945</v>
      </c>
      <c r="J1065" s="14">
        <f t="shared" si="126"/>
        <v>1.0736363636363588</v>
      </c>
      <c r="K1065" s="56">
        <v>3.74</v>
      </c>
      <c r="L1065" s="15">
        <f t="shared" si="122"/>
        <v>45.737272727272725</v>
      </c>
      <c r="M1065" s="16">
        <f t="shared" si="123"/>
        <v>221.45420519039999</v>
      </c>
      <c r="N1065" s="17">
        <f t="shared" si="127"/>
        <v>2.3495869090909092</v>
      </c>
      <c r="O1065" s="17">
        <f t="shared" si="124"/>
        <v>2584.5455999999999</v>
      </c>
      <c r="P1065" s="18">
        <f t="shared" si="125"/>
        <v>243599.62570943998</v>
      </c>
      <c r="R1065" s="66"/>
      <c r="S1065" s="20"/>
      <c r="T1065" s="20"/>
      <c r="U1065" s="20"/>
      <c r="V1065" s="20"/>
      <c r="W1065" s="20"/>
      <c r="X1065" s="20"/>
      <c r="Y1065" s="20"/>
      <c r="Z1065" s="20"/>
      <c r="AA1065" s="20"/>
    </row>
    <row r="1066" spans="1:27" ht="12.75">
      <c r="A1066" s="54"/>
      <c r="B1066" s="10">
        <v>46010</v>
      </c>
      <c r="C1066" s="11">
        <f>VLOOKUP(B:B,'Курс валют'!A:D,4,0)</f>
        <v>94.252399999999994</v>
      </c>
      <c r="D1066" s="57" t="s">
        <v>1772</v>
      </c>
      <c r="E1066" s="50" t="s">
        <v>15</v>
      </c>
      <c r="F1066" s="58">
        <v>1100</v>
      </c>
      <c r="G1066" s="52">
        <v>1111.81</v>
      </c>
      <c r="H1066" s="56">
        <v>503.11</v>
      </c>
      <c r="I1066" s="13">
        <f t="shared" si="121"/>
        <v>11.809999999999945</v>
      </c>
      <c r="J1066" s="14">
        <f t="shared" si="126"/>
        <v>1.0736363636363588</v>
      </c>
      <c r="K1066" s="56">
        <v>3.74</v>
      </c>
      <c r="L1066" s="15">
        <f t="shared" si="122"/>
        <v>45.737272727272725</v>
      </c>
      <c r="M1066" s="16">
        <f t="shared" si="123"/>
        <v>221.45420519039999</v>
      </c>
      <c r="N1066" s="17">
        <f t="shared" si="127"/>
        <v>2.3495869090909092</v>
      </c>
      <c r="O1066" s="17">
        <f t="shared" si="124"/>
        <v>2584.5455999999999</v>
      </c>
      <c r="P1066" s="18">
        <f t="shared" si="125"/>
        <v>243599.62570943998</v>
      </c>
      <c r="R1066" s="66"/>
      <c r="S1066" s="20"/>
      <c r="T1066" s="20"/>
      <c r="U1066" s="20"/>
      <c r="V1066" s="20"/>
      <c r="W1066" s="20"/>
      <c r="X1066" s="20"/>
      <c r="Y1066" s="20"/>
      <c r="Z1066" s="20"/>
      <c r="AA1066" s="20"/>
    </row>
    <row r="1067" spans="1:27" ht="12.75">
      <c r="A1067" s="54"/>
      <c r="B1067" s="10">
        <v>46011</v>
      </c>
      <c r="C1067" s="11">
        <f>VLOOKUP(B:B,'Курс валют'!A:D,4,0)</f>
        <v>94.512</v>
      </c>
      <c r="D1067" s="57" t="s">
        <v>1773</v>
      </c>
      <c r="E1067" s="55" t="s">
        <v>101</v>
      </c>
      <c r="F1067" s="58">
        <v>400</v>
      </c>
      <c r="G1067" s="58">
        <v>404.4</v>
      </c>
      <c r="H1067" s="56">
        <v>0</v>
      </c>
      <c r="I1067" s="58">
        <f t="shared" si="121"/>
        <v>4.3999999999999773</v>
      </c>
      <c r="J1067" s="14">
        <f t="shared" si="126"/>
        <v>1.0999999999999943</v>
      </c>
      <c r="K1067" s="56">
        <v>3.18</v>
      </c>
      <c r="L1067" s="15">
        <f t="shared" si="122"/>
        <v>0</v>
      </c>
      <c r="M1067" s="16">
        <f t="shared" si="123"/>
        <v>300.54816</v>
      </c>
      <c r="N1067" s="17">
        <f t="shared" si="127"/>
        <v>3.18</v>
      </c>
      <c r="O1067" s="17">
        <f t="shared" si="124"/>
        <v>1272</v>
      </c>
      <c r="P1067" s="18">
        <f t="shared" si="125"/>
        <v>120219.264</v>
      </c>
      <c r="R1067" s="66" t="s">
        <v>1774</v>
      </c>
      <c r="S1067" s="20"/>
      <c r="T1067" s="20"/>
      <c r="U1067" s="20"/>
      <c r="V1067" s="20"/>
      <c r="W1067" s="20"/>
      <c r="X1067" s="20"/>
      <c r="Y1067" s="20"/>
      <c r="Z1067" s="20"/>
      <c r="AA1067" s="20"/>
    </row>
    <row r="1068" spans="1:27" ht="12.75">
      <c r="A1068" s="54"/>
      <c r="B1068" s="10">
        <v>46011</v>
      </c>
      <c r="C1068" s="11">
        <f>VLOOKUP(B:B,'Курс валют'!A:D,4,0)</f>
        <v>94.512</v>
      </c>
      <c r="D1068" s="57" t="s">
        <v>1775</v>
      </c>
      <c r="E1068" s="55" t="s">
        <v>15</v>
      </c>
      <c r="F1068" s="58">
        <v>1100</v>
      </c>
      <c r="G1068" s="13">
        <v>1111.81</v>
      </c>
      <c r="H1068" s="56">
        <v>503.11</v>
      </c>
      <c r="I1068" s="13">
        <f t="shared" si="121"/>
        <v>11.809999999999945</v>
      </c>
      <c r="J1068" s="14">
        <f t="shared" si="126"/>
        <v>1.0736363636363588</v>
      </c>
      <c r="K1068" s="56">
        <v>3.75</v>
      </c>
      <c r="L1068" s="15">
        <f t="shared" si="122"/>
        <v>45.737272727272725</v>
      </c>
      <c r="M1068" s="16">
        <f t="shared" si="123"/>
        <v>223.00927795199999</v>
      </c>
      <c r="N1068" s="17">
        <f t="shared" si="127"/>
        <v>2.359586909090909</v>
      </c>
      <c r="O1068" s="17">
        <f t="shared" si="124"/>
        <v>2595.5455999999999</v>
      </c>
      <c r="P1068" s="18">
        <f t="shared" si="125"/>
        <v>245310.2057472</v>
      </c>
      <c r="R1068" s="66"/>
      <c r="S1068" s="20"/>
      <c r="T1068" s="20"/>
      <c r="U1068" s="20"/>
      <c r="V1068" s="20"/>
      <c r="W1068" s="20"/>
      <c r="X1068" s="20"/>
      <c r="Y1068" s="20"/>
      <c r="Z1068" s="20"/>
      <c r="AA1068" s="20"/>
    </row>
    <row r="1069" spans="1:27" ht="12.75">
      <c r="A1069" s="54"/>
      <c r="B1069" s="10">
        <v>46011</v>
      </c>
      <c r="C1069" s="11">
        <f>VLOOKUP(B:B,'Курс валют'!A:D,4,0)</f>
        <v>94.512</v>
      </c>
      <c r="D1069" s="57" t="s">
        <v>1776</v>
      </c>
      <c r="E1069" s="55" t="s">
        <v>15</v>
      </c>
      <c r="F1069" s="58">
        <v>1100</v>
      </c>
      <c r="G1069" s="13">
        <v>1111.81</v>
      </c>
      <c r="H1069" s="56">
        <v>503.11</v>
      </c>
      <c r="I1069" s="13">
        <f t="shared" si="121"/>
        <v>11.809999999999945</v>
      </c>
      <c r="J1069" s="14">
        <f t="shared" si="126"/>
        <v>1.0736363636363588</v>
      </c>
      <c r="K1069" s="56">
        <v>3.74</v>
      </c>
      <c r="L1069" s="15">
        <f t="shared" si="122"/>
        <v>45.737272727272725</v>
      </c>
      <c r="M1069" s="16">
        <f t="shared" si="123"/>
        <v>222.06415795199999</v>
      </c>
      <c r="N1069" s="17">
        <f t="shared" si="127"/>
        <v>2.3495869090909092</v>
      </c>
      <c r="O1069" s="17">
        <f t="shared" si="124"/>
        <v>2584.5455999999999</v>
      </c>
      <c r="P1069" s="18">
        <f t="shared" si="125"/>
        <v>244270.57374719999</v>
      </c>
      <c r="R1069" s="66"/>
      <c r="S1069" s="20"/>
      <c r="T1069" s="20"/>
      <c r="U1069" s="20"/>
      <c r="V1069" s="20"/>
      <c r="W1069" s="20"/>
      <c r="X1069" s="20"/>
      <c r="Y1069" s="20"/>
      <c r="Z1069" s="20"/>
      <c r="AA1069" s="20"/>
    </row>
    <row r="1070" spans="1:27" ht="12.75">
      <c r="A1070" s="54"/>
      <c r="B1070" s="10">
        <v>46011</v>
      </c>
      <c r="C1070" s="11">
        <f>VLOOKUP(B:B,'Курс валют'!A:D,4,0)</f>
        <v>94.512</v>
      </c>
      <c r="D1070" s="57" t="s">
        <v>1777</v>
      </c>
      <c r="E1070" s="55" t="s">
        <v>15</v>
      </c>
      <c r="F1070" s="58">
        <v>1100</v>
      </c>
      <c r="G1070" s="13">
        <v>1111.81</v>
      </c>
      <c r="H1070" s="56">
        <v>503.11</v>
      </c>
      <c r="I1070" s="13">
        <f t="shared" si="121"/>
        <v>11.809999999999945</v>
      </c>
      <c r="J1070" s="14">
        <f t="shared" si="126"/>
        <v>1.0736363636363588</v>
      </c>
      <c r="K1070" s="56">
        <v>3.74</v>
      </c>
      <c r="L1070" s="15">
        <f t="shared" si="122"/>
        <v>45.737272727272725</v>
      </c>
      <c r="M1070" s="16">
        <f t="shared" si="123"/>
        <v>222.06415795199999</v>
      </c>
      <c r="N1070" s="17">
        <f t="shared" si="127"/>
        <v>2.3495869090909092</v>
      </c>
      <c r="O1070" s="17">
        <f t="shared" si="124"/>
        <v>2584.5455999999999</v>
      </c>
      <c r="P1070" s="18">
        <f t="shared" si="125"/>
        <v>244270.57374719999</v>
      </c>
      <c r="R1070" s="66"/>
      <c r="S1070" s="20"/>
      <c r="T1070" s="20"/>
      <c r="U1070" s="20"/>
      <c r="V1070" s="20"/>
      <c r="W1070" s="20"/>
      <c r="X1070" s="20"/>
      <c r="Y1070" s="20"/>
      <c r="Z1070" s="20"/>
      <c r="AA1070" s="20"/>
    </row>
    <row r="1071" spans="1:27" ht="12.75">
      <c r="A1071" s="54"/>
      <c r="B1071" s="10">
        <v>46011</v>
      </c>
      <c r="C1071" s="11">
        <f>VLOOKUP(B:B,'Курс валют'!A:D,4,0)</f>
        <v>94.512</v>
      </c>
      <c r="D1071" s="57" t="s">
        <v>1778</v>
      </c>
      <c r="E1071" s="55" t="s">
        <v>15</v>
      </c>
      <c r="F1071" s="58">
        <v>1100</v>
      </c>
      <c r="G1071" s="13">
        <v>1111.81</v>
      </c>
      <c r="H1071" s="56">
        <v>503.11</v>
      </c>
      <c r="I1071" s="13">
        <f t="shared" si="121"/>
        <v>11.809999999999945</v>
      </c>
      <c r="J1071" s="14">
        <f t="shared" si="126"/>
        <v>1.0736363636363588</v>
      </c>
      <c r="K1071" s="56">
        <v>3.75</v>
      </c>
      <c r="L1071" s="15">
        <f t="shared" si="122"/>
        <v>45.737272727272725</v>
      </c>
      <c r="M1071" s="16">
        <f t="shared" si="123"/>
        <v>223.00927795199999</v>
      </c>
      <c r="N1071" s="17">
        <f t="shared" si="127"/>
        <v>2.359586909090909</v>
      </c>
      <c r="O1071" s="17">
        <f t="shared" si="124"/>
        <v>2595.5455999999999</v>
      </c>
      <c r="P1071" s="18">
        <f t="shared" si="125"/>
        <v>245310.2057472</v>
      </c>
      <c r="R1071" s="66"/>
      <c r="S1071" s="20"/>
      <c r="T1071" s="20"/>
      <c r="U1071" s="20"/>
      <c r="V1071" s="20"/>
      <c r="W1071" s="20"/>
      <c r="X1071" s="20"/>
      <c r="Y1071" s="20"/>
      <c r="Z1071" s="20"/>
      <c r="AA1071" s="20"/>
    </row>
    <row r="1072" spans="1:27" ht="12.75">
      <c r="A1072" s="54"/>
      <c r="B1072" s="10">
        <v>46011</v>
      </c>
      <c r="C1072" s="11">
        <f>VLOOKUP(B:B,'Курс валют'!A:D,4,0)</f>
        <v>94.512</v>
      </c>
      <c r="D1072" s="57" t="s">
        <v>1779</v>
      </c>
      <c r="E1072" s="55" t="s">
        <v>15</v>
      </c>
      <c r="F1072" s="58">
        <v>1100</v>
      </c>
      <c r="G1072" s="13">
        <v>1111.81</v>
      </c>
      <c r="H1072" s="56">
        <v>503.11</v>
      </c>
      <c r="I1072" s="13">
        <f t="shared" si="121"/>
        <v>11.809999999999945</v>
      </c>
      <c r="J1072" s="14">
        <f t="shared" si="126"/>
        <v>1.0736363636363588</v>
      </c>
      <c r="K1072" s="56">
        <v>3.74</v>
      </c>
      <c r="L1072" s="15">
        <f t="shared" si="122"/>
        <v>45.737272727272725</v>
      </c>
      <c r="M1072" s="16">
        <f t="shared" si="123"/>
        <v>222.06415795199999</v>
      </c>
      <c r="N1072" s="17">
        <f t="shared" si="127"/>
        <v>2.3495869090909092</v>
      </c>
      <c r="O1072" s="17">
        <f t="shared" si="124"/>
        <v>2584.5455999999999</v>
      </c>
      <c r="P1072" s="18">
        <f t="shared" si="125"/>
        <v>244270.57374719999</v>
      </c>
      <c r="R1072" s="66"/>
      <c r="S1072" s="20"/>
      <c r="T1072" s="20"/>
      <c r="U1072" s="20"/>
      <c r="V1072" s="20"/>
      <c r="W1072" s="20"/>
      <c r="X1072" s="20"/>
      <c r="Y1072" s="20"/>
      <c r="Z1072" s="20"/>
      <c r="AA1072" s="20"/>
    </row>
    <row r="1073" spans="1:27" ht="12.75">
      <c r="A1073" s="54"/>
      <c r="B1073" s="10">
        <v>46011</v>
      </c>
      <c r="C1073" s="11">
        <f>VLOOKUP(B:B,'Курс валют'!A:D,4,0)</f>
        <v>94.512</v>
      </c>
      <c r="D1073" s="57" t="s">
        <v>1780</v>
      </c>
      <c r="E1073" s="55" t="s">
        <v>15</v>
      </c>
      <c r="F1073" s="58">
        <v>1100</v>
      </c>
      <c r="G1073" s="13">
        <v>1111.81</v>
      </c>
      <c r="H1073" s="56">
        <v>503.11</v>
      </c>
      <c r="I1073" s="13">
        <f t="shared" si="121"/>
        <v>11.809999999999945</v>
      </c>
      <c r="J1073" s="14">
        <f t="shared" si="126"/>
        <v>1.0736363636363588</v>
      </c>
      <c r="K1073" s="56">
        <v>3.75</v>
      </c>
      <c r="L1073" s="15">
        <f t="shared" si="122"/>
        <v>45.737272727272725</v>
      </c>
      <c r="M1073" s="16">
        <f t="shared" si="123"/>
        <v>223.00927795199999</v>
      </c>
      <c r="N1073" s="17">
        <f t="shared" si="127"/>
        <v>2.359586909090909</v>
      </c>
      <c r="O1073" s="17">
        <f t="shared" si="124"/>
        <v>2595.5455999999999</v>
      </c>
      <c r="P1073" s="18">
        <f t="shared" si="125"/>
        <v>245310.2057472</v>
      </c>
      <c r="R1073" s="66"/>
      <c r="S1073" s="20"/>
      <c r="T1073" s="20"/>
      <c r="U1073" s="20"/>
      <c r="V1073" s="20"/>
      <c r="W1073" s="20"/>
      <c r="X1073" s="20"/>
      <c r="Y1073" s="20"/>
      <c r="Z1073" s="20"/>
      <c r="AA1073" s="20"/>
    </row>
    <row r="1074" spans="1:27" ht="12.75">
      <c r="A1074" s="54"/>
      <c r="B1074" s="10">
        <v>46011</v>
      </c>
      <c r="C1074" s="11">
        <f>VLOOKUP(B:B,'Курс валют'!A:D,4,0)</f>
        <v>94.512</v>
      </c>
      <c r="D1074" s="57" t="s">
        <v>1781</v>
      </c>
      <c r="E1074" s="55" t="s">
        <v>15</v>
      </c>
      <c r="F1074" s="58">
        <v>1100</v>
      </c>
      <c r="G1074" s="13">
        <v>1111.81</v>
      </c>
      <c r="H1074" s="56">
        <v>503.11</v>
      </c>
      <c r="I1074" s="13">
        <f t="shared" si="121"/>
        <v>11.809999999999945</v>
      </c>
      <c r="J1074" s="14">
        <f t="shared" si="126"/>
        <v>1.0736363636363588</v>
      </c>
      <c r="K1074" s="56">
        <v>3.74</v>
      </c>
      <c r="L1074" s="15">
        <f t="shared" si="122"/>
        <v>45.737272727272725</v>
      </c>
      <c r="M1074" s="16">
        <f t="shared" si="123"/>
        <v>222.06415795199999</v>
      </c>
      <c r="N1074" s="17">
        <f t="shared" si="127"/>
        <v>2.3495869090909092</v>
      </c>
      <c r="O1074" s="17">
        <f t="shared" si="124"/>
        <v>2584.5455999999999</v>
      </c>
      <c r="P1074" s="18">
        <f t="shared" si="125"/>
        <v>244270.57374719999</v>
      </c>
      <c r="R1074" s="66"/>
      <c r="S1074" s="20"/>
      <c r="T1074" s="20"/>
      <c r="U1074" s="20"/>
      <c r="V1074" s="20"/>
      <c r="W1074" s="20"/>
      <c r="X1074" s="20"/>
      <c r="Y1074" s="20"/>
      <c r="Z1074" s="20"/>
      <c r="AA1074" s="20"/>
    </row>
    <row r="1075" spans="1:27" ht="12.75">
      <c r="A1075" s="54"/>
      <c r="B1075" s="10">
        <v>46011</v>
      </c>
      <c r="C1075" s="11">
        <f>VLOOKUP(B:B,'Курс валют'!A:D,4,0)</f>
        <v>94.512</v>
      </c>
      <c r="D1075" s="57" t="s">
        <v>1782</v>
      </c>
      <c r="E1075" s="55" t="s">
        <v>15</v>
      </c>
      <c r="F1075" s="58">
        <v>1100</v>
      </c>
      <c r="G1075" s="13">
        <v>1111.81</v>
      </c>
      <c r="H1075" s="56">
        <v>503.11</v>
      </c>
      <c r="I1075" s="13">
        <f t="shared" si="121"/>
        <v>11.809999999999945</v>
      </c>
      <c r="J1075" s="14">
        <f t="shared" si="126"/>
        <v>1.0736363636363588</v>
      </c>
      <c r="K1075" s="56">
        <v>3.75</v>
      </c>
      <c r="L1075" s="15">
        <f t="shared" si="122"/>
        <v>45.737272727272725</v>
      </c>
      <c r="M1075" s="16">
        <f t="shared" si="123"/>
        <v>223.00927795199999</v>
      </c>
      <c r="N1075" s="17">
        <f t="shared" si="127"/>
        <v>2.359586909090909</v>
      </c>
      <c r="O1075" s="17">
        <f t="shared" si="124"/>
        <v>2595.5455999999999</v>
      </c>
      <c r="P1075" s="18">
        <f t="shared" si="125"/>
        <v>245310.2057472</v>
      </c>
      <c r="R1075" s="66"/>
      <c r="S1075" s="20"/>
      <c r="T1075" s="20"/>
      <c r="U1075" s="20"/>
      <c r="V1075" s="20"/>
      <c r="W1075" s="20"/>
      <c r="X1075" s="20"/>
      <c r="Y1075" s="20"/>
      <c r="Z1075" s="20"/>
      <c r="AA1075" s="20"/>
    </row>
    <row r="1076" spans="1:27" ht="12.75">
      <c r="A1076" s="54"/>
      <c r="B1076" s="10">
        <v>46011</v>
      </c>
      <c r="C1076" s="11">
        <f>VLOOKUP(B:B,'Курс валют'!A:D,4,0)</f>
        <v>94.512</v>
      </c>
      <c r="D1076" s="57" t="s">
        <v>1783</v>
      </c>
      <c r="E1076" s="55" t="s">
        <v>15</v>
      </c>
      <c r="F1076" s="58">
        <v>1100</v>
      </c>
      <c r="G1076" s="13">
        <v>1111.81</v>
      </c>
      <c r="H1076" s="56">
        <v>503.11</v>
      </c>
      <c r="I1076" s="13">
        <f t="shared" si="121"/>
        <v>11.809999999999945</v>
      </c>
      <c r="J1076" s="14">
        <f t="shared" si="126"/>
        <v>1.0736363636363588</v>
      </c>
      <c r="K1076" s="56">
        <v>3.74</v>
      </c>
      <c r="L1076" s="15">
        <f t="shared" si="122"/>
        <v>45.737272727272725</v>
      </c>
      <c r="M1076" s="16">
        <f t="shared" si="123"/>
        <v>222.06415795199999</v>
      </c>
      <c r="N1076" s="17">
        <f t="shared" si="127"/>
        <v>2.3495869090909092</v>
      </c>
      <c r="O1076" s="17">
        <f t="shared" si="124"/>
        <v>2584.5455999999999</v>
      </c>
      <c r="P1076" s="18">
        <f t="shared" si="125"/>
        <v>244270.57374719999</v>
      </c>
      <c r="R1076" s="66"/>
      <c r="S1076" s="20"/>
      <c r="T1076" s="20"/>
      <c r="U1076" s="20"/>
      <c r="V1076" s="20"/>
      <c r="W1076" s="20"/>
      <c r="X1076" s="20"/>
      <c r="Y1076" s="20"/>
      <c r="Z1076" s="20"/>
      <c r="AA1076" s="20"/>
    </row>
    <row r="1077" spans="1:27" ht="12.75">
      <c r="A1077" s="54"/>
      <c r="B1077" s="10">
        <v>46011</v>
      </c>
      <c r="C1077" s="11">
        <f>VLOOKUP(B:B,'Курс валют'!A:D,4,0)</f>
        <v>94.512</v>
      </c>
      <c r="D1077" s="57" t="s">
        <v>1784</v>
      </c>
      <c r="E1077" s="55" t="s">
        <v>15</v>
      </c>
      <c r="F1077" s="58">
        <v>1100</v>
      </c>
      <c r="G1077" s="13">
        <v>1111.81</v>
      </c>
      <c r="H1077" s="56">
        <v>503.11</v>
      </c>
      <c r="I1077" s="13">
        <f t="shared" si="121"/>
        <v>11.809999999999945</v>
      </c>
      <c r="J1077" s="14">
        <f t="shared" si="126"/>
        <v>1.0736363636363588</v>
      </c>
      <c r="K1077" s="56">
        <v>3.75</v>
      </c>
      <c r="L1077" s="15">
        <f t="shared" si="122"/>
        <v>45.737272727272725</v>
      </c>
      <c r="M1077" s="16">
        <f t="shared" si="123"/>
        <v>223.00927795199999</v>
      </c>
      <c r="N1077" s="17">
        <f t="shared" si="127"/>
        <v>2.359586909090909</v>
      </c>
      <c r="O1077" s="17">
        <f t="shared" si="124"/>
        <v>2595.5455999999999</v>
      </c>
      <c r="P1077" s="18">
        <f t="shared" si="125"/>
        <v>245310.2057472</v>
      </c>
      <c r="R1077" s="66"/>
      <c r="S1077" s="20"/>
      <c r="T1077" s="20"/>
      <c r="U1077" s="20"/>
      <c r="V1077" s="20"/>
      <c r="W1077" s="20"/>
      <c r="X1077" s="20"/>
      <c r="Y1077" s="20"/>
      <c r="Z1077" s="20"/>
      <c r="AA1077" s="20"/>
    </row>
    <row r="1078" spans="1:27" ht="12.75">
      <c r="A1078" s="54"/>
      <c r="B1078" s="10">
        <v>46012</v>
      </c>
      <c r="C1078" s="11">
        <f>VLOOKUP(B:B,'Курс валют'!A:D,4,0)</f>
        <v>94.512</v>
      </c>
      <c r="D1078" s="57" t="s">
        <v>1785</v>
      </c>
      <c r="E1078" s="55" t="s">
        <v>56</v>
      </c>
      <c r="F1078" s="58">
        <v>2000</v>
      </c>
      <c r="G1078" s="58">
        <v>2079.4499999999998</v>
      </c>
      <c r="H1078" s="56">
        <v>0</v>
      </c>
      <c r="I1078" s="58">
        <f t="shared" si="121"/>
        <v>79.449999999999818</v>
      </c>
      <c r="J1078" s="14">
        <f t="shared" si="126"/>
        <v>3.9724999999999908</v>
      </c>
      <c r="K1078" s="56">
        <v>2.38</v>
      </c>
      <c r="L1078" s="15">
        <f t="shared" si="122"/>
        <v>0</v>
      </c>
      <c r="M1078" s="16">
        <f t="shared" si="123"/>
        <v>224.93856</v>
      </c>
      <c r="N1078" s="17">
        <f t="shared" si="127"/>
        <v>2.38</v>
      </c>
      <c r="O1078" s="17">
        <f t="shared" si="124"/>
        <v>4760</v>
      </c>
      <c r="P1078" s="18">
        <f t="shared" si="125"/>
        <v>449877.12</v>
      </c>
      <c r="R1078" s="66"/>
      <c r="S1078" s="20"/>
      <c r="T1078" s="20"/>
      <c r="U1078" s="20"/>
      <c r="V1078" s="20"/>
      <c r="W1078" s="20"/>
      <c r="X1078" s="20"/>
      <c r="Y1078" s="20"/>
      <c r="Z1078" s="20"/>
      <c r="AA1078" s="20"/>
    </row>
    <row r="1079" spans="1:27" ht="12.75">
      <c r="A1079" s="54"/>
      <c r="B1079" s="10">
        <v>46012</v>
      </c>
      <c r="C1079" s="11">
        <f>VLOOKUP(B:B,'Курс валют'!A:D,4,0)</f>
        <v>94.512</v>
      </c>
      <c r="D1079" s="57" t="s">
        <v>1786</v>
      </c>
      <c r="E1079" s="55" t="s">
        <v>15</v>
      </c>
      <c r="F1079" s="58">
        <v>1100</v>
      </c>
      <c r="G1079" s="13">
        <v>1111.81</v>
      </c>
      <c r="H1079" s="56">
        <v>351.71</v>
      </c>
      <c r="I1079" s="13">
        <f t="shared" si="121"/>
        <v>11.809999999999945</v>
      </c>
      <c r="J1079" s="14">
        <f t="shared" si="126"/>
        <v>1.0736363636363588</v>
      </c>
      <c r="K1079" s="56">
        <v>3.34</v>
      </c>
      <c r="L1079" s="15">
        <f t="shared" si="122"/>
        <v>31.973636363636359</v>
      </c>
      <c r="M1079" s="16">
        <f t="shared" si="123"/>
        <v>223.80455347199998</v>
      </c>
      <c r="N1079" s="17">
        <f t="shared" si="127"/>
        <v>2.3680014545454542</v>
      </c>
      <c r="O1079" s="17">
        <f t="shared" si="124"/>
        <v>2604.8015999999998</v>
      </c>
      <c r="P1079" s="18">
        <f t="shared" si="125"/>
        <v>246185.00881919998</v>
      </c>
      <c r="R1079" s="66"/>
      <c r="S1079" s="20"/>
      <c r="T1079" s="20"/>
      <c r="U1079" s="20"/>
      <c r="V1079" s="20"/>
      <c r="W1079" s="20"/>
      <c r="X1079" s="20"/>
      <c r="Y1079" s="20"/>
      <c r="Z1079" s="20"/>
      <c r="AA1079" s="20"/>
    </row>
    <row r="1080" spans="1:27" ht="12.75">
      <c r="A1080" s="54"/>
      <c r="B1080" s="10">
        <v>46012</v>
      </c>
      <c r="C1080" s="11">
        <f>VLOOKUP(B:B,'Курс валют'!A:D,4,0)</f>
        <v>94.512</v>
      </c>
      <c r="D1080" s="57" t="s">
        <v>1787</v>
      </c>
      <c r="E1080" s="55" t="s">
        <v>15</v>
      </c>
      <c r="F1080" s="58">
        <v>1100</v>
      </c>
      <c r="G1080" s="58">
        <v>1111.81</v>
      </c>
      <c r="H1080" s="56">
        <v>19.71</v>
      </c>
      <c r="I1080" s="58">
        <f t="shared" si="121"/>
        <v>11.809999999999945</v>
      </c>
      <c r="J1080" s="14">
        <f t="shared" si="126"/>
        <v>1.0736363636363588</v>
      </c>
      <c r="K1080" s="56">
        <v>2.44</v>
      </c>
      <c r="L1080" s="15">
        <f t="shared" si="122"/>
        <v>1.791818181818182</v>
      </c>
      <c r="M1080" s="16">
        <f t="shared" si="123"/>
        <v>225.46109107200002</v>
      </c>
      <c r="N1080" s="17">
        <f t="shared" si="127"/>
        <v>2.3855287272727272</v>
      </c>
      <c r="O1080" s="17">
        <f t="shared" si="124"/>
        <v>2624.0816</v>
      </c>
      <c r="P1080" s="18">
        <f t="shared" si="125"/>
        <v>248007.20017920001</v>
      </c>
      <c r="R1080" s="66"/>
      <c r="S1080" s="20"/>
      <c r="T1080" s="20"/>
      <c r="U1080" s="20"/>
      <c r="V1080" s="20"/>
      <c r="W1080" s="20"/>
      <c r="X1080" s="20"/>
      <c r="Y1080" s="20"/>
      <c r="Z1080" s="20"/>
      <c r="AA1080" s="20"/>
    </row>
    <row r="1081" spans="1:27" ht="12.75">
      <c r="A1081" s="54"/>
      <c r="B1081" s="10">
        <v>46012</v>
      </c>
      <c r="C1081" s="11">
        <f>VLOOKUP(B:B,'Курс валют'!A:D,4,0)</f>
        <v>94.512</v>
      </c>
      <c r="D1081" s="57" t="s">
        <v>1788</v>
      </c>
      <c r="E1081" s="55" t="s">
        <v>15</v>
      </c>
      <c r="F1081" s="58">
        <v>1100</v>
      </c>
      <c r="G1081" s="13">
        <v>1111.81</v>
      </c>
      <c r="H1081" s="56">
        <v>19.71</v>
      </c>
      <c r="I1081" s="13">
        <f t="shared" si="121"/>
        <v>11.809999999999945</v>
      </c>
      <c r="J1081" s="14">
        <f t="shared" si="126"/>
        <v>1.0736363636363588</v>
      </c>
      <c r="K1081" s="56">
        <v>2.44</v>
      </c>
      <c r="L1081" s="15">
        <f t="shared" si="122"/>
        <v>1.791818181818182</v>
      </c>
      <c r="M1081" s="16">
        <f t="shared" si="123"/>
        <v>225.46109107200002</v>
      </c>
      <c r="N1081" s="17">
        <f t="shared" si="127"/>
        <v>2.3855287272727272</v>
      </c>
      <c r="O1081" s="17">
        <f t="shared" si="124"/>
        <v>2624.0816</v>
      </c>
      <c r="P1081" s="18">
        <f t="shared" si="125"/>
        <v>248007.20017920001</v>
      </c>
      <c r="R1081" s="66"/>
      <c r="S1081" s="20"/>
      <c r="T1081" s="20"/>
      <c r="U1081" s="20"/>
      <c r="V1081" s="20"/>
      <c r="W1081" s="20"/>
      <c r="X1081" s="20"/>
      <c r="Y1081" s="20"/>
      <c r="Z1081" s="20"/>
      <c r="AA1081" s="20"/>
    </row>
    <row r="1082" spans="1:27" ht="12.75">
      <c r="A1082" s="54"/>
      <c r="B1082" s="10">
        <v>46012</v>
      </c>
      <c r="C1082" s="11">
        <f>VLOOKUP(B:B,'Курс валют'!A:D,4,0)</f>
        <v>94.512</v>
      </c>
      <c r="D1082" s="57" t="s">
        <v>1789</v>
      </c>
      <c r="E1082" s="55" t="s">
        <v>15</v>
      </c>
      <c r="F1082" s="58">
        <v>1100</v>
      </c>
      <c r="G1082" s="58">
        <v>1111.81</v>
      </c>
      <c r="H1082" s="56">
        <v>19.71</v>
      </c>
      <c r="I1082" s="58">
        <f t="shared" si="121"/>
        <v>11.809999999999945</v>
      </c>
      <c r="J1082" s="14">
        <f t="shared" si="126"/>
        <v>1.0736363636363588</v>
      </c>
      <c r="K1082" s="56">
        <v>2.44</v>
      </c>
      <c r="L1082" s="15">
        <f t="shared" si="122"/>
        <v>1.791818181818182</v>
      </c>
      <c r="M1082" s="16">
        <f t="shared" si="123"/>
        <v>225.46109107200002</v>
      </c>
      <c r="N1082" s="17">
        <f t="shared" si="127"/>
        <v>2.3855287272727272</v>
      </c>
      <c r="O1082" s="17">
        <f t="shared" si="124"/>
        <v>2624.0816</v>
      </c>
      <c r="P1082" s="18">
        <f t="shared" si="125"/>
        <v>248007.20017920001</v>
      </c>
      <c r="R1082" s="66"/>
      <c r="S1082" s="20"/>
      <c r="T1082" s="20"/>
      <c r="U1082" s="20"/>
      <c r="V1082" s="20"/>
      <c r="W1082" s="20"/>
      <c r="X1082" s="20"/>
      <c r="Y1082" s="20"/>
      <c r="Z1082" s="20"/>
      <c r="AA1082" s="20"/>
    </row>
    <row r="1083" spans="1:27" ht="12.75">
      <c r="A1083" s="54"/>
      <c r="B1083" s="10">
        <v>46012</v>
      </c>
      <c r="C1083" s="11">
        <f>VLOOKUP(B:B,'Курс валют'!A:D,4,0)</f>
        <v>94.512</v>
      </c>
      <c r="D1083" s="57" t="s">
        <v>1790</v>
      </c>
      <c r="E1083" s="55" t="s">
        <v>15</v>
      </c>
      <c r="F1083" s="58">
        <v>1100</v>
      </c>
      <c r="G1083" s="13">
        <v>1111.81</v>
      </c>
      <c r="H1083" s="56">
        <v>19.71</v>
      </c>
      <c r="I1083" s="13">
        <f t="shared" si="121"/>
        <v>11.809999999999945</v>
      </c>
      <c r="J1083" s="14">
        <f t="shared" si="126"/>
        <v>1.0736363636363588</v>
      </c>
      <c r="K1083" s="56">
        <v>2.44</v>
      </c>
      <c r="L1083" s="15">
        <f t="shared" si="122"/>
        <v>1.791818181818182</v>
      </c>
      <c r="M1083" s="16">
        <f t="shared" si="123"/>
        <v>225.46109107200002</v>
      </c>
      <c r="N1083" s="17">
        <f t="shared" si="127"/>
        <v>2.3855287272727272</v>
      </c>
      <c r="O1083" s="17">
        <f t="shared" si="124"/>
        <v>2624.0816</v>
      </c>
      <c r="P1083" s="18">
        <f t="shared" si="125"/>
        <v>248007.20017920001</v>
      </c>
      <c r="R1083" s="66"/>
      <c r="S1083" s="20"/>
      <c r="T1083" s="20"/>
      <c r="U1083" s="20"/>
      <c r="V1083" s="20"/>
      <c r="W1083" s="20"/>
      <c r="X1083" s="20"/>
      <c r="Y1083" s="20"/>
      <c r="Z1083" s="20"/>
      <c r="AA1083" s="20"/>
    </row>
    <row r="1084" spans="1:27" ht="12.75">
      <c r="A1084" s="54"/>
      <c r="B1084" s="10">
        <v>46012</v>
      </c>
      <c r="C1084" s="11">
        <f>VLOOKUP(B:B,'Курс валют'!A:D,4,0)</f>
        <v>94.512</v>
      </c>
      <c r="D1084" s="57" t="s">
        <v>1791</v>
      </c>
      <c r="E1084" s="50" t="s">
        <v>68</v>
      </c>
      <c r="F1084" s="58">
        <v>800</v>
      </c>
      <c r="G1084" s="58">
        <v>803.03</v>
      </c>
      <c r="H1084" s="56">
        <v>76</v>
      </c>
      <c r="I1084" s="58">
        <f t="shared" si="121"/>
        <v>3.0299999999999727</v>
      </c>
      <c r="J1084" s="14">
        <f t="shared" si="126"/>
        <v>0.37874999999999659</v>
      </c>
      <c r="K1084" s="56">
        <v>2.21</v>
      </c>
      <c r="L1084" s="15">
        <f t="shared" si="122"/>
        <v>9.5</v>
      </c>
      <c r="M1084" s="16">
        <f t="shared" si="123"/>
        <v>181.57645439999999</v>
      </c>
      <c r="N1084" s="17">
        <f t="shared" si="127"/>
        <v>1.9212</v>
      </c>
      <c r="O1084" s="17">
        <f t="shared" si="124"/>
        <v>1536.96</v>
      </c>
      <c r="P1084" s="18">
        <f t="shared" si="125"/>
        <v>145261.16352</v>
      </c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</row>
    <row r="1085" spans="1:27" ht="12.75">
      <c r="A1085" s="54"/>
      <c r="B1085" s="10">
        <v>46012</v>
      </c>
      <c r="C1085" s="11">
        <f>VLOOKUP(B:B,'Курс валют'!A:D,4,0)</f>
        <v>94.512</v>
      </c>
      <c r="D1085" s="57" t="s">
        <v>1792</v>
      </c>
      <c r="E1085" s="50" t="s">
        <v>68</v>
      </c>
      <c r="F1085" s="58">
        <v>800</v>
      </c>
      <c r="G1085" s="58">
        <v>803.03</v>
      </c>
      <c r="H1085" s="56">
        <v>76</v>
      </c>
      <c r="I1085" s="58">
        <f t="shared" si="121"/>
        <v>3.0299999999999727</v>
      </c>
      <c r="J1085" s="14">
        <f t="shared" si="126"/>
        <v>0.37874999999999659</v>
      </c>
      <c r="K1085" s="56">
        <v>2.21</v>
      </c>
      <c r="L1085" s="15">
        <f t="shared" si="122"/>
        <v>9.5</v>
      </c>
      <c r="M1085" s="16">
        <f t="shared" si="123"/>
        <v>181.57645439999999</v>
      </c>
      <c r="N1085" s="17">
        <f t="shared" si="127"/>
        <v>1.9212</v>
      </c>
      <c r="O1085" s="17">
        <f t="shared" si="124"/>
        <v>1536.96</v>
      </c>
      <c r="P1085" s="18">
        <f t="shared" si="125"/>
        <v>145261.16352</v>
      </c>
      <c r="R1085" s="66"/>
      <c r="S1085" s="20"/>
      <c r="T1085" s="20"/>
      <c r="U1085" s="20"/>
      <c r="V1085" s="20"/>
      <c r="W1085" s="20"/>
      <c r="X1085" s="20"/>
      <c r="Y1085" s="20"/>
      <c r="Z1085" s="20"/>
      <c r="AA1085" s="20"/>
    </row>
    <row r="1086" spans="1:27" ht="12.75">
      <c r="A1086" s="54"/>
      <c r="B1086" s="10">
        <v>46012</v>
      </c>
      <c r="C1086" s="11">
        <f>VLOOKUP(B:B,'Курс валют'!A:D,4,0)</f>
        <v>94.512</v>
      </c>
      <c r="D1086" s="57" t="s">
        <v>1793</v>
      </c>
      <c r="E1086" s="50" t="s">
        <v>68</v>
      </c>
      <c r="F1086" s="58">
        <v>800</v>
      </c>
      <c r="G1086" s="58">
        <v>803.03</v>
      </c>
      <c r="H1086" s="56">
        <v>76</v>
      </c>
      <c r="I1086" s="58">
        <f t="shared" si="121"/>
        <v>3.0299999999999727</v>
      </c>
      <c r="J1086" s="14">
        <f t="shared" si="126"/>
        <v>0.37874999999999659</v>
      </c>
      <c r="K1086" s="56">
        <v>2.21</v>
      </c>
      <c r="L1086" s="15">
        <f t="shared" si="122"/>
        <v>9.5</v>
      </c>
      <c r="M1086" s="16">
        <f t="shared" si="123"/>
        <v>181.57645439999999</v>
      </c>
      <c r="N1086" s="17">
        <f t="shared" si="127"/>
        <v>1.9212</v>
      </c>
      <c r="O1086" s="17">
        <f t="shared" si="124"/>
        <v>1536.96</v>
      </c>
      <c r="P1086" s="18">
        <f t="shared" si="125"/>
        <v>145261.16352</v>
      </c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</row>
    <row r="1087" spans="1:27" ht="12.75">
      <c r="A1087" s="54"/>
      <c r="B1087" s="10">
        <v>46013</v>
      </c>
      <c r="C1087" s="11">
        <f>VLOOKUP(B:B,'Курс валют'!A:D,4,0)</f>
        <v>94.512</v>
      </c>
      <c r="D1087" s="57" t="s">
        <v>1794</v>
      </c>
      <c r="E1087" s="50" t="s">
        <v>70</v>
      </c>
      <c r="F1087" s="58">
        <v>2000</v>
      </c>
      <c r="G1087" s="58">
        <v>2000</v>
      </c>
      <c r="H1087" s="56">
        <v>0</v>
      </c>
      <c r="I1087" s="58">
        <f t="shared" si="121"/>
        <v>0</v>
      </c>
      <c r="J1087" s="14">
        <f t="shared" si="126"/>
        <v>0</v>
      </c>
      <c r="K1087" s="56">
        <v>2.59</v>
      </c>
      <c r="L1087" s="15">
        <f t="shared" si="122"/>
        <v>0</v>
      </c>
      <c r="M1087" s="16">
        <f t="shared" si="123"/>
        <v>244.78608</v>
      </c>
      <c r="N1087" s="17">
        <f t="shared" si="127"/>
        <v>2.59</v>
      </c>
      <c r="O1087" s="17">
        <f t="shared" si="124"/>
        <v>5180</v>
      </c>
      <c r="P1087" s="18">
        <f t="shared" si="125"/>
        <v>489572.16</v>
      </c>
      <c r="R1087" s="19" t="s">
        <v>1795</v>
      </c>
      <c r="S1087" s="20"/>
      <c r="T1087" s="20"/>
      <c r="U1087" s="20"/>
      <c r="V1087" s="20"/>
      <c r="W1087" s="20"/>
      <c r="X1087" s="20"/>
      <c r="Y1087" s="20"/>
      <c r="Z1087" s="20"/>
      <c r="AA1087" s="20"/>
    </row>
    <row r="1088" spans="1:27" ht="12.75">
      <c r="A1088" s="54"/>
      <c r="B1088" s="10">
        <v>46013</v>
      </c>
      <c r="C1088" s="11">
        <f>VLOOKUP(B:B,'Курс валют'!A:D,4,0)</f>
        <v>94.512</v>
      </c>
      <c r="D1088" s="57" t="s">
        <v>1796</v>
      </c>
      <c r="E1088" s="50" t="s">
        <v>56</v>
      </c>
      <c r="F1088" s="58">
        <v>2000</v>
      </c>
      <c r="G1088" s="13">
        <v>2079.5</v>
      </c>
      <c r="H1088" s="56">
        <v>0</v>
      </c>
      <c r="I1088" s="13">
        <f t="shared" si="121"/>
        <v>79.5</v>
      </c>
      <c r="J1088" s="14">
        <f t="shared" si="126"/>
        <v>3.9750000000000001</v>
      </c>
      <c r="K1088" s="56">
        <v>2.38</v>
      </c>
      <c r="L1088" s="15">
        <f t="shared" si="122"/>
        <v>0</v>
      </c>
      <c r="M1088" s="16">
        <f t="shared" si="123"/>
        <v>224.93856</v>
      </c>
      <c r="N1088" s="17">
        <f t="shared" si="127"/>
        <v>2.38</v>
      </c>
      <c r="O1088" s="17">
        <f t="shared" si="124"/>
        <v>4760</v>
      </c>
      <c r="P1088" s="18">
        <f t="shared" si="125"/>
        <v>449877.12</v>
      </c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</row>
    <row r="1089" spans="1:27" ht="12.75">
      <c r="A1089" s="54"/>
      <c r="B1089" s="10">
        <v>46014</v>
      </c>
      <c r="C1089" s="11">
        <f>VLOOKUP(B:B,'Курс валют'!A:D,4,0)</f>
        <v>92.862099999999998</v>
      </c>
      <c r="D1089" s="57" t="s">
        <v>1797</v>
      </c>
      <c r="E1089" s="50" t="s">
        <v>78</v>
      </c>
      <c r="F1089" s="58">
        <v>2000</v>
      </c>
      <c r="G1089" s="58">
        <v>2068.0500000000002</v>
      </c>
      <c r="H1089" s="56">
        <v>0</v>
      </c>
      <c r="I1089" s="58">
        <f t="shared" si="121"/>
        <v>68.050000000000182</v>
      </c>
      <c r="J1089" s="14">
        <f t="shared" si="126"/>
        <v>3.4025000000000092</v>
      </c>
      <c r="K1089" s="56">
        <v>2.36</v>
      </c>
      <c r="L1089" s="15">
        <f t="shared" si="122"/>
        <v>0</v>
      </c>
      <c r="M1089" s="16">
        <f t="shared" si="123"/>
        <v>219.15455599999999</v>
      </c>
      <c r="N1089" s="17">
        <f t="shared" si="127"/>
        <v>2.36</v>
      </c>
      <c r="O1089" s="17">
        <f t="shared" si="124"/>
        <v>4720</v>
      </c>
      <c r="P1089" s="18">
        <f t="shared" si="125"/>
        <v>438309.11199999996</v>
      </c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</row>
    <row r="1090" spans="1:27" ht="12.75">
      <c r="A1090" s="54"/>
      <c r="B1090" s="10">
        <v>46014</v>
      </c>
      <c r="C1090" s="11">
        <f>VLOOKUP(B:B,'Курс валют'!A:D,4,0)</f>
        <v>92.862099999999998</v>
      </c>
      <c r="D1090" s="57" t="s">
        <v>1798</v>
      </c>
      <c r="E1090" s="50" t="s">
        <v>70</v>
      </c>
      <c r="F1090" s="58">
        <v>2000</v>
      </c>
      <c r="G1090" s="58">
        <v>2000</v>
      </c>
      <c r="H1090" s="56">
        <v>0</v>
      </c>
      <c r="I1090" s="58">
        <f t="shared" si="121"/>
        <v>0</v>
      </c>
      <c r="J1090" s="14">
        <f t="shared" si="126"/>
        <v>0</v>
      </c>
      <c r="K1090" s="56">
        <v>2.59</v>
      </c>
      <c r="L1090" s="15">
        <f t="shared" si="122"/>
        <v>0</v>
      </c>
      <c r="M1090" s="16">
        <f t="shared" si="123"/>
        <v>240.51283900000001</v>
      </c>
      <c r="N1090" s="17">
        <f t="shared" si="127"/>
        <v>2.59</v>
      </c>
      <c r="O1090" s="17">
        <f t="shared" si="124"/>
        <v>5180</v>
      </c>
      <c r="P1090" s="18">
        <f t="shared" si="125"/>
        <v>481025.67800000001</v>
      </c>
      <c r="R1090" s="66"/>
      <c r="S1090" s="20"/>
      <c r="T1090" s="20"/>
      <c r="U1090" s="20"/>
      <c r="V1090" s="20"/>
      <c r="W1090" s="20"/>
      <c r="X1090" s="20"/>
      <c r="Y1090" s="20"/>
      <c r="Z1090" s="20"/>
      <c r="AA1090" s="20"/>
    </row>
    <row r="1091" spans="1:27" ht="12.75">
      <c r="A1091" s="54"/>
      <c r="B1091" s="10">
        <v>46015</v>
      </c>
      <c r="C1091" s="11">
        <f>VLOOKUP(B:B,'Курс валют'!A:D,4,0)</f>
        <v>92.813699999999997</v>
      </c>
      <c r="D1091" s="57" t="s">
        <v>1799</v>
      </c>
      <c r="E1091" s="50" t="s">
        <v>432</v>
      </c>
      <c r="F1091" s="58">
        <v>463.6</v>
      </c>
      <c r="G1091" s="58">
        <v>472.4</v>
      </c>
      <c r="H1091" s="56"/>
      <c r="I1091" s="58">
        <f t="shared" si="121"/>
        <v>8.7999999999999545</v>
      </c>
      <c r="J1091" s="14">
        <f t="shared" si="126"/>
        <v>1.8981880931837694</v>
      </c>
      <c r="K1091" s="56"/>
      <c r="L1091" s="15">
        <f t="shared" si="122"/>
        <v>0</v>
      </c>
      <c r="M1091" s="16">
        <f t="shared" si="123"/>
        <v>0</v>
      </c>
      <c r="N1091" s="17">
        <f t="shared" si="127"/>
        <v>0</v>
      </c>
      <c r="O1091" s="17">
        <f t="shared" si="124"/>
        <v>0</v>
      </c>
      <c r="P1091" s="18">
        <f t="shared" si="125"/>
        <v>0</v>
      </c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</row>
    <row r="1092" spans="1:27" ht="12.75">
      <c r="A1092" s="54"/>
      <c r="B1092" s="10">
        <v>46015</v>
      </c>
      <c r="C1092" s="11">
        <f>VLOOKUP(B:B,'Курс валют'!A:D,4,0)</f>
        <v>92.813699999999997</v>
      </c>
      <c r="D1092" s="57" t="s">
        <v>1800</v>
      </c>
      <c r="E1092" s="50" t="s">
        <v>79</v>
      </c>
      <c r="F1092" s="58">
        <v>1400</v>
      </c>
      <c r="G1092" s="58">
        <v>1400</v>
      </c>
      <c r="H1092" s="56">
        <v>0</v>
      </c>
      <c r="I1092" s="58">
        <f t="shared" si="121"/>
        <v>0</v>
      </c>
      <c r="J1092" s="14">
        <f t="shared" si="126"/>
        <v>0</v>
      </c>
      <c r="K1092" s="56">
        <v>2.59</v>
      </c>
      <c r="L1092" s="15">
        <f t="shared" si="122"/>
        <v>0</v>
      </c>
      <c r="M1092" s="16">
        <f t="shared" si="123"/>
        <v>240.38748299999997</v>
      </c>
      <c r="N1092" s="17">
        <f t="shared" si="127"/>
        <v>2.59</v>
      </c>
      <c r="O1092" s="17">
        <f t="shared" si="124"/>
        <v>3626</v>
      </c>
      <c r="P1092" s="18">
        <f t="shared" si="125"/>
        <v>336542.47619999998</v>
      </c>
      <c r="R1092" s="19" t="s">
        <v>1801</v>
      </c>
      <c r="S1092" s="20"/>
      <c r="T1092" s="20"/>
      <c r="U1092" s="20"/>
      <c r="V1092" s="20"/>
      <c r="W1092" s="20"/>
      <c r="X1092" s="20"/>
      <c r="Y1092" s="20"/>
      <c r="Z1092" s="20"/>
      <c r="AA1092" s="20"/>
    </row>
    <row r="1093" spans="1:27" ht="12.75">
      <c r="A1093" s="54"/>
      <c r="B1093" s="10">
        <v>46016</v>
      </c>
      <c r="C1093" s="11">
        <f>VLOOKUP(B:B,'Курс валют'!A:D,4,0)</f>
        <v>92.474199999999996</v>
      </c>
      <c r="D1093" s="57" t="s">
        <v>1802</v>
      </c>
      <c r="E1093" s="50" t="s">
        <v>50</v>
      </c>
      <c r="F1093" s="58">
        <v>800</v>
      </c>
      <c r="G1093" s="58">
        <v>806.55</v>
      </c>
      <c r="H1093" s="56">
        <v>0</v>
      </c>
      <c r="I1093" s="58">
        <f t="shared" si="121"/>
        <v>6.5499999999999545</v>
      </c>
      <c r="J1093" s="14">
        <f t="shared" si="126"/>
        <v>0.81874999999999432</v>
      </c>
      <c r="K1093" s="56">
        <v>1.95</v>
      </c>
      <c r="L1093" s="15">
        <f t="shared" si="122"/>
        <v>0</v>
      </c>
      <c r="M1093" s="16">
        <f t="shared" si="123"/>
        <v>180.32469</v>
      </c>
      <c r="N1093" s="17">
        <f t="shared" si="127"/>
        <v>1.95</v>
      </c>
      <c r="O1093" s="17">
        <f t="shared" si="124"/>
        <v>1560</v>
      </c>
      <c r="P1093" s="18">
        <f t="shared" si="125"/>
        <v>144259.75200000001</v>
      </c>
      <c r="R1093" s="66" t="s">
        <v>1803</v>
      </c>
      <c r="S1093" s="20"/>
      <c r="T1093" s="20"/>
      <c r="U1093" s="20"/>
      <c r="V1093" s="20"/>
      <c r="W1093" s="20"/>
      <c r="X1093" s="20"/>
      <c r="Y1093" s="20"/>
      <c r="Z1093" s="20"/>
      <c r="AA1093" s="20"/>
    </row>
    <row r="1094" spans="1:27" ht="12.75">
      <c r="A1094" s="54"/>
      <c r="B1094" s="10">
        <v>46016</v>
      </c>
      <c r="C1094" s="11">
        <f>VLOOKUP(B:B,'Курс валют'!A:D,4,0)</f>
        <v>92.474199999999996</v>
      </c>
      <c r="D1094" s="57" t="s">
        <v>1804</v>
      </c>
      <c r="E1094" s="50" t="s">
        <v>50</v>
      </c>
      <c r="F1094" s="58">
        <v>800</v>
      </c>
      <c r="G1094" s="58">
        <v>806.55</v>
      </c>
      <c r="H1094" s="56">
        <v>0</v>
      </c>
      <c r="I1094" s="58">
        <f t="shared" si="121"/>
        <v>6.5499999999999545</v>
      </c>
      <c r="J1094" s="14">
        <f t="shared" si="126"/>
        <v>0.81874999999999432</v>
      </c>
      <c r="K1094" s="56">
        <v>1.94</v>
      </c>
      <c r="L1094" s="15">
        <f t="shared" si="122"/>
        <v>0</v>
      </c>
      <c r="M1094" s="16">
        <f t="shared" si="123"/>
        <v>179.39994799999999</v>
      </c>
      <c r="N1094" s="17">
        <f t="shared" si="127"/>
        <v>1.94</v>
      </c>
      <c r="O1094" s="17">
        <f t="shared" si="124"/>
        <v>1552</v>
      </c>
      <c r="P1094" s="18">
        <f t="shared" si="125"/>
        <v>143519.9584</v>
      </c>
      <c r="R1094" s="19" t="s">
        <v>1805</v>
      </c>
      <c r="S1094" s="20"/>
      <c r="T1094" s="20"/>
      <c r="U1094" s="20"/>
      <c r="V1094" s="20"/>
      <c r="W1094" s="20"/>
      <c r="X1094" s="20"/>
      <c r="Y1094" s="20"/>
      <c r="Z1094" s="20"/>
      <c r="AA1094" s="20"/>
    </row>
    <row r="1095" spans="1:27" ht="12.75">
      <c r="A1095" s="54"/>
      <c r="B1095" s="10">
        <v>46016</v>
      </c>
      <c r="C1095" s="11">
        <f>VLOOKUP(B:B,'Курс валют'!A:D,4,0)</f>
        <v>92.474199999999996</v>
      </c>
      <c r="D1095" s="57" t="s">
        <v>1806</v>
      </c>
      <c r="E1095" s="50" t="s">
        <v>50</v>
      </c>
      <c r="F1095" s="58">
        <v>800</v>
      </c>
      <c r="G1095" s="58">
        <v>806.55</v>
      </c>
      <c r="H1095" s="56">
        <v>0</v>
      </c>
      <c r="I1095" s="58">
        <f t="shared" si="121"/>
        <v>6.5499999999999545</v>
      </c>
      <c r="J1095" s="14">
        <f t="shared" si="126"/>
        <v>0.81874999999999432</v>
      </c>
      <c r="K1095" s="56">
        <v>1.95</v>
      </c>
      <c r="L1095" s="15">
        <f t="shared" si="122"/>
        <v>0</v>
      </c>
      <c r="M1095" s="16">
        <f t="shared" si="123"/>
        <v>180.32469</v>
      </c>
      <c r="N1095" s="17">
        <f t="shared" si="127"/>
        <v>1.95</v>
      </c>
      <c r="O1095" s="17">
        <f t="shared" si="124"/>
        <v>1560</v>
      </c>
      <c r="P1095" s="18">
        <f t="shared" si="125"/>
        <v>144259.75200000001</v>
      </c>
      <c r="R1095" s="19" t="s">
        <v>1807</v>
      </c>
      <c r="S1095" s="20"/>
      <c r="T1095" s="20"/>
      <c r="U1095" s="20"/>
      <c r="V1095" s="20"/>
      <c r="W1095" s="20"/>
      <c r="X1095" s="20"/>
      <c r="Y1095" s="20"/>
      <c r="Z1095" s="20"/>
      <c r="AA1095" s="20"/>
    </row>
    <row r="1096" spans="1:27" ht="12.75">
      <c r="A1096" s="54"/>
      <c r="B1096" s="10">
        <v>46016</v>
      </c>
      <c r="C1096" s="11">
        <f>VLOOKUP(B:B,'Курс валют'!A:D,4,0)</f>
        <v>92.474199999999996</v>
      </c>
      <c r="D1096" s="57" t="s">
        <v>1808</v>
      </c>
      <c r="E1096" s="58" t="s">
        <v>104</v>
      </c>
      <c r="F1096" s="58">
        <v>1920</v>
      </c>
      <c r="G1096" s="13">
        <v>1969.85</v>
      </c>
      <c r="H1096" s="56">
        <v>0</v>
      </c>
      <c r="I1096" s="13">
        <f t="shared" si="121"/>
        <v>49.849999999999909</v>
      </c>
      <c r="J1096" s="14">
        <f t="shared" si="126"/>
        <v>2.5963541666666621</v>
      </c>
      <c r="K1096" s="56">
        <v>2.66</v>
      </c>
      <c r="L1096" s="15">
        <f t="shared" si="122"/>
        <v>0</v>
      </c>
      <c r="M1096" s="16">
        <f t="shared" si="123"/>
        <v>245.98137200000002</v>
      </c>
      <c r="N1096" s="17">
        <f t="shared" si="127"/>
        <v>2.6600000000000006</v>
      </c>
      <c r="O1096" s="17">
        <f t="shared" si="124"/>
        <v>5107.2000000000007</v>
      </c>
      <c r="P1096" s="18">
        <f t="shared" si="125"/>
        <v>472284.23424000002</v>
      </c>
      <c r="R1096" s="19" t="s">
        <v>1809</v>
      </c>
      <c r="S1096" s="20"/>
      <c r="T1096" s="20"/>
      <c r="U1096" s="20"/>
      <c r="V1096" s="20"/>
      <c r="W1096" s="20"/>
      <c r="X1096" s="20"/>
      <c r="Y1096" s="20"/>
      <c r="Z1096" s="20"/>
      <c r="AA1096" s="20"/>
    </row>
    <row r="1097" spans="1:27" ht="12.75">
      <c r="A1097" s="20"/>
      <c r="B1097" s="10">
        <v>46016</v>
      </c>
      <c r="C1097" s="11">
        <f>VLOOKUP(B:B,'Курс валют'!A:D,4,0)</f>
        <v>92.474199999999996</v>
      </c>
      <c r="D1097" s="57" t="s">
        <v>1810</v>
      </c>
      <c r="E1097" s="58" t="s">
        <v>1811</v>
      </c>
      <c r="F1097" s="58">
        <v>200</v>
      </c>
      <c r="G1097" s="58">
        <v>203.02</v>
      </c>
      <c r="H1097" s="56">
        <v>0</v>
      </c>
      <c r="I1097" s="58">
        <f t="shared" si="121"/>
        <v>3.0200000000000102</v>
      </c>
      <c r="J1097" s="14">
        <f t="shared" si="126"/>
        <v>1.5100000000000051</v>
      </c>
      <c r="K1097" s="56">
        <v>2.02</v>
      </c>
      <c r="L1097" s="15">
        <f t="shared" si="122"/>
        <v>0</v>
      </c>
      <c r="M1097" s="16">
        <f t="shared" si="123"/>
        <v>186.79788399999998</v>
      </c>
      <c r="N1097" s="17">
        <f t="shared" si="127"/>
        <v>2.02</v>
      </c>
      <c r="O1097" s="17">
        <f t="shared" si="124"/>
        <v>404</v>
      </c>
      <c r="P1097" s="18">
        <f t="shared" si="125"/>
        <v>37359.576799999995</v>
      </c>
      <c r="R1097" s="19" t="s">
        <v>1812</v>
      </c>
      <c r="S1097" s="20"/>
      <c r="T1097" s="20"/>
      <c r="U1097" s="20"/>
      <c r="V1097" s="20"/>
      <c r="W1097" s="20"/>
      <c r="X1097" s="20"/>
      <c r="Y1097" s="20"/>
      <c r="Z1097" s="20"/>
      <c r="AA1097" s="20"/>
    </row>
    <row r="1098" spans="1:27" ht="12.75">
      <c r="A1098" s="20"/>
      <c r="B1098" s="10">
        <v>46016</v>
      </c>
      <c r="C1098" s="11">
        <f>VLOOKUP(B:B,'Курс валют'!A:D,4,0)</f>
        <v>92.474199999999996</v>
      </c>
      <c r="D1098" s="57" t="s">
        <v>1813</v>
      </c>
      <c r="E1098" s="58" t="s">
        <v>1814</v>
      </c>
      <c r="F1098" s="58">
        <v>200</v>
      </c>
      <c r="G1098" s="58">
        <v>203.07</v>
      </c>
      <c r="H1098" s="56">
        <v>0</v>
      </c>
      <c r="I1098" s="58">
        <f t="shared" si="121"/>
        <v>3.0699999999999932</v>
      </c>
      <c r="J1098" s="14">
        <f t="shared" si="126"/>
        <v>1.5349999999999966</v>
      </c>
      <c r="K1098" s="56">
        <v>1.98</v>
      </c>
      <c r="L1098" s="15">
        <f t="shared" si="122"/>
        <v>0</v>
      </c>
      <c r="M1098" s="16">
        <f t="shared" si="123"/>
        <v>183.098916</v>
      </c>
      <c r="N1098" s="17">
        <f t="shared" si="127"/>
        <v>1.98</v>
      </c>
      <c r="O1098" s="17">
        <f t="shared" si="124"/>
        <v>396</v>
      </c>
      <c r="P1098" s="18">
        <f t="shared" si="125"/>
        <v>36619.783199999998</v>
      </c>
      <c r="R1098" s="19" t="s">
        <v>1815</v>
      </c>
      <c r="S1098" s="20"/>
      <c r="T1098" s="20"/>
      <c r="U1098" s="20"/>
      <c r="V1098" s="20"/>
      <c r="W1098" s="20"/>
      <c r="X1098" s="20"/>
      <c r="Y1098" s="20"/>
      <c r="Z1098" s="20"/>
      <c r="AA1098" s="20"/>
    </row>
    <row r="1099" spans="1:27" ht="12.75">
      <c r="A1099" s="20"/>
      <c r="B1099" s="10">
        <v>46017</v>
      </c>
      <c r="C1099" s="11">
        <f>VLOOKUP(B:B,'Курс валют'!A:D,4,0)</f>
        <v>91.890199999999993</v>
      </c>
      <c r="D1099" s="57" t="s">
        <v>1816</v>
      </c>
      <c r="E1099" s="58" t="s">
        <v>54</v>
      </c>
      <c r="F1099" s="58">
        <v>1000</v>
      </c>
      <c r="G1099" s="13">
        <v>1008.5</v>
      </c>
      <c r="H1099" s="56">
        <v>0</v>
      </c>
      <c r="I1099" s="13">
        <f t="shared" si="121"/>
        <v>8.5</v>
      </c>
      <c r="J1099" s="14">
        <f t="shared" si="126"/>
        <v>0.85000000000000009</v>
      </c>
      <c r="K1099" s="56">
        <v>2.52</v>
      </c>
      <c r="L1099" s="15">
        <f t="shared" si="122"/>
        <v>0</v>
      </c>
      <c r="M1099" s="16">
        <f t="shared" si="123"/>
        <v>231.56330399999999</v>
      </c>
      <c r="N1099" s="17">
        <f t="shared" si="127"/>
        <v>2.52</v>
      </c>
      <c r="O1099" s="17">
        <f t="shared" si="124"/>
        <v>2520</v>
      </c>
      <c r="P1099" s="18">
        <f t="shared" si="125"/>
        <v>231563.30399999997</v>
      </c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</row>
    <row r="1100" spans="1:27" ht="12.75">
      <c r="A1100" s="20"/>
      <c r="B1100" s="10">
        <v>46017</v>
      </c>
      <c r="C1100" s="11">
        <f>VLOOKUP(B:B,'Курс валют'!A:D,4,0)</f>
        <v>91.890199999999993</v>
      </c>
      <c r="D1100" s="57" t="s">
        <v>1817</v>
      </c>
      <c r="E1100" s="58" t="s">
        <v>54</v>
      </c>
      <c r="F1100" s="58">
        <v>1000</v>
      </c>
      <c r="G1100" s="13">
        <v>1008.5</v>
      </c>
      <c r="H1100" s="56">
        <v>0</v>
      </c>
      <c r="I1100" s="13">
        <f t="shared" si="121"/>
        <v>8.5</v>
      </c>
      <c r="J1100" s="14">
        <f t="shared" si="126"/>
        <v>0.85000000000000009</v>
      </c>
      <c r="K1100" s="56">
        <v>2.54</v>
      </c>
      <c r="L1100" s="15">
        <f t="shared" si="122"/>
        <v>0</v>
      </c>
      <c r="M1100" s="16">
        <f t="shared" si="123"/>
        <v>233.40110799999997</v>
      </c>
      <c r="N1100" s="17">
        <f t="shared" si="127"/>
        <v>2.54</v>
      </c>
      <c r="O1100" s="17">
        <f t="shared" si="124"/>
        <v>2540</v>
      </c>
      <c r="P1100" s="18">
        <f t="shared" si="125"/>
        <v>233401.10799999998</v>
      </c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</row>
    <row r="1101" spans="1:27" ht="12.75">
      <c r="A1101" s="20"/>
      <c r="B1101" s="10">
        <v>46017</v>
      </c>
      <c r="C1101" s="11">
        <f>VLOOKUP(B:B,'Курс валют'!A:D,4,0)</f>
        <v>91.890199999999993</v>
      </c>
      <c r="D1101" s="57" t="s">
        <v>1818</v>
      </c>
      <c r="E1101" s="58" t="s">
        <v>95</v>
      </c>
      <c r="F1101" s="58">
        <v>2160</v>
      </c>
      <c r="G1101" s="13">
        <v>2182.5</v>
      </c>
      <c r="H1101" s="56">
        <v>0</v>
      </c>
      <c r="I1101" s="13">
        <f t="shared" si="121"/>
        <v>22.5</v>
      </c>
      <c r="J1101" s="14">
        <f t="shared" si="126"/>
        <v>1.0416666666666665</v>
      </c>
      <c r="K1101" s="56">
        <v>2</v>
      </c>
      <c r="L1101" s="15">
        <f t="shared" si="122"/>
        <v>0</v>
      </c>
      <c r="M1101" s="16">
        <f t="shared" si="123"/>
        <v>183.78039999999999</v>
      </c>
      <c r="N1101" s="17">
        <f t="shared" si="127"/>
        <v>2</v>
      </c>
      <c r="O1101" s="17">
        <f t="shared" si="124"/>
        <v>4320</v>
      </c>
      <c r="P1101" s="18">
        <f t="shared" si="125"/>
        <v>396965.66399999999</v>
      </c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</row>
    <row r="1102" spans="1:27" ht="12.75">
      <c r="A1102" s="10"/>
      <c r="B1102" s="10">
        <v>46034</v>
      </c>
      <c r="C1102" s="11">
        <f>VLOOKUP(B:B,'Курс валют'!A:D,4,0)</f>
        <v>92.093800000000002</v>
      </c>
      <c r="D1102" s="45" t="s">
        <v>1598</v>
      </c>
      <c r="E1102" s="62" t="s">
        <v>103</v>
      </c>
      <c r="F1102" s="11">
        <v>800</v>
      </c>
      <c r="G1102" s="11">
        <v>806</v>
      </c>
      <c r="H1102" s="56">
        <v>78</v>
      </c>
      <c r="I1102" s="58">
        <f t="shared" ref="I1102:I1214" si="128">G1102-F1102</f>
        <v>6</v>
      </c>
      <c r="J1102" s="14">
        <f t="shared" ref="J1102:J1214" si="129">I1102/F1102*100</f>
        <v>0.75</v>
      </c>
      <c r="K1102" s="46">
        <v>2.19</v>
      </c>
      <c r="L1102" s="15">
        <f t="shared" ref="L1102:L1214" si="130">H1102/F1102*100</f>
        <v>9.75</v>
      </c>
      <c r="M1102" s="16">
        <f t="shared" ref="M1102:M1214" si="131">P1102/F1102</f>
        <v>174.38881968000001</v>
      </c>
      <c r="N1102" s="17">
        <f t="shared" si="127"/>
        <v>1.8936000000000002</v>
      </c>
      <c r="O1102" s="17">
        <f t="shared" ref="O1102:O1214" si="132">N1102*F1102</f>
        <v>1514.88</v>
      </c>
      <c r="P1102" s="18">
        <f t="shared" ref="P1102:P1214" si="133">O1102*C1102</f>
        <v>139511.05574400001</v>
      </c>
      <c r="R1102" s="66"/>
      <c r="S1102" s="19"/>
      <c r="T1102" s="20"/>
      <c r="U1102" s="20"/>
      <c r="V1102" s="20"/>
      <c r="W1102" s="20"/>
      <c r="X1102" s="20"/>
      <c r="Y1102" s="20"/>
      <c r="Z1102" s="20"/>
      <c r="AA1102" s="20"/>
    </row>
    <row r="1103" spans="1:27" ht="12.75">
      <c r="A1103" s="10"/>
      <c r="B1103" s="10">
        <v>46034</v>
      </c>
      <c r="C1103" s="11">
        <f>VLOOKUP(B:B,'Курс валют'!A:D,4,0)</f>
        <v>92.093800000000002</v>
      </c>
      <c r="D1103" s="57" t="s">
        <v>1599</v>
      </c>
      <c r="E1103" s="12" t="s">
        <v>103</v>
      </c>
      <c r="F1103" s="58">
        <v>800</v>
      </c>
      <c r="G1103" s="58">
        <v>806</v>
      </c>
      <c r="H1103" s="56">
        <v>78</v>
      </c>
      <c r="I1103" s="58">
        <f t="shared" si="128"/>
        <v>6</v>
      </c>
      <c r="J1103" s="14">
        <f t="shared" si="129"/>
        <v>0.75</v>
      </c>
      <c r="K1103" s="56">
        <v>2.1800000000000002</v>
      </c>
      <c r="L1103" s="15">
        <f t="shared" si="130"/>
        <v>9.75</v>
      </c>
      <c r="M1103" s="16">
        <f t="shared" si="131"/>
        <v>173.46788168000003</v>
      </c>
      <c r="N1103" s="17">
        <f t="shared" si="127"/>
        <v>1.8836000000000002</v>
      </c>
      <c r="O1103" s="17">
        <f t="shared" si="132"/>
        <v>1506.88</v>
      </c>
      <c r="P1103" s="18">
        <f t="shared" si="133"/>
        <v>138774.30534400002</v>
      </c>
      <c r="R1103" s="66"/>
      <c r="S1103" s="19"/>
      <c r="T1103" s="20"/>
      <c r="U1103" s="20"/>
      <c r="V1103" s="20"/>
      <c r="W1103" s="20"/>
      <c r="X1103" s="20"/>
      <c r="Y1103" s="20"/>
      <c r="Z1103" s="20"/>
      <c r="AA1103" s="20"/>
    </row>
    <row r="1104" spans="1:27" ht="12.75">
      <c r="A1104" s="10"/>
      <c r="B1104" s="10">
        <v>46034</v>
      </c>
      <c r="C1104" s="11">
        <f>VLOOKUP(B:B,'Курс валют'!A:D,4,0)</f>
        <v>92.093800000000002</v>
      </c>
      <c r="D1104" s="57" t="s">
        <v>1600</v>
      </c>
      <c r="E1104" s="12" t="s">
        <v>103</v>
      </c>
      <c r="F1104" s="58">
        <v>800</v>
      </c>
      <c r="G1104" s="11">
        <v>806</v>
      </c>
      <c r="H1104" s="56">
        <v>78</v>
      </c>
      <c r="I1104" s="58">
        <f t="shared" si="128"/>
        <v>6</v>
      </c>
      <c r="J1104" s="14">
        <f t="shared" si="129"/>
        <v>0.75</v>
      </c>
      <c r="K1104" s="56">
        <v>2.17</v>
      </c>
      <c r="L1104" s="15">
        <f t="shared" si="130"/>
        <v>9.75</v>
      </c>
      <c r="M1104" s="16">
        <f t="shared" si="131"/>
        <v>172.54694368</v>
      </c>
      <c r="N1104" s="17">
        <f t="shared" si="127"/>
        <v>1.8736000000000002</v>
      </c>
      <c r="O1104" s="17">
        <f t="shared" si="132"/>
        <v>1498.88</v>
      </c>
      <c r="P1104" s="18">
        <f t="shared" si="133"/>
        <v>138037.554944</v>
      </c>
      <c r="R1104" s="66"/>
      <c r="S1104" s="19"/>
      <c r="T1104" s="20"/>
      <c r="U1104" s="20"/>
      <c r="V1104" s="20"/>
      <c r="W1104" s="20"/>
      <c r="X1104" s="20"/>
      <c r="Y1104" s="20"/>
      <c r="Z1104" s="20"/>
      <c r="AA1104" s="20"/>
    </row>
    <row r="1105" spans="1:27" ht="12.75">
      <c r="A1105" s="10"/>
      <c r="B1105" s="10">
        <v>46034</v>
      </c>
      <c r="C1105" s="11">
        <f>VLOOKUP(B:B,'Курс валют'!A:D,4,0)</f>
        <v>92.093800000000002</v>
      </c>
      <c r="D1105" s="57" t="s">
        <v>1601</v>
      </c>
      <c r="E1105" s="26" t="s">
        <v>103</v>
      </c>
      <c r="F1105" s="58">
        <v>800</v>
      </c>
      <c r="G1105" s="58">
        <v>806</v>
      </c>
      <c r="H1105" s="56">
        <v>78</v>
      </c>
      <c r="I1105" s="58">
        <f t="shared" si="128"/>
        <v>6</v>
      </c>
      <c r="J1105" s="14">
        <f t="shared" si="129"/>
        <v>0.75</v>
      </c>
      <c r="K1105" s="56">
        <v>2.17</v>
      </c>
      <c r="L1105" s="15">
        <f t="shared" si="130"/>
        <v>9.75</v>
      </c>
      <c r="M1105" s="16">
        <f t="shared" si="131"/>
        <v>172.54694368</v>
      </c>
      <c r="N1105" s="17">
        <f t="shared" si="127"/>
        <v>1.8736000000000002</v>
      </c>
      <c r="O1105" s="17">
        <f t="shared" si="132"/>
        <v>1498.88</v>
      </c>
      <c r="P1105" s="18">
        <f t="shared" si="133"/>
        <v>138037.554944</v>
      </c>
      <c r="R1105" s="66"/>
      <c r="S1105" s="19"/>
      <c r="T1105" s="20"/>
      <c r="U1105" s="20"/>
      <c r="V1105" s="20"/>
      <c r="W1105" s="20"/>
      <c r="X1105" s="20"/>
      <c r="Y1105" s="20"/>
      <c r="Z1105" s="20"/>
      <c r="AA1105" s="20"/>
    </row>
    <row r="1106" spans="1:27" ht="12.75">
      <c r="A1106" s="10"/>
      <c r="B1106" s="10">
        <v>46034</v>
      </c>
      <c r="C1106" s="11">
        <f>VLOOKUP(B:B,'Курс валют'!A:D,4,0)</f>
        <v>92.093800000000002</v>
      </c>
      <c r="D1106" s="57" t="s">
        <v>1602</v>
      </c>
      <c r="E1106" s="26" t="s">
        <v>103</v>
      </c>
      <c r="F1106" s="58">
        <v>800</v>
      </c>
      <c r="G1106" s="11">
        <v>806</v>
      </c>
      <c r="H1106" s="56">
        <v>78</v>
      </c>
      <c r="I1106" s="58">
        <f t="shared" si="128"/>
        <v>6</v>
      </c>
      <c r="J1106" s="14">
        <f t="shared" si="129"/>
        <v>0.75</v>
      </c>
      <c r="K1106" s="56">
        <v>2.1800000000000002</v>
      </c>
      <c r="L1106" s="15">
        <f t="shared" si="130"/>
        <v>9.75</v>
      </c>
      <c r="M1106" s="16">
        <f t="shared" si="131"/>
        <v>173.46788168000003</v>
      </c>
      <c r="N1106" s="17">
        <f t="shared" si="127"/>
        <v>1.8836000000000002</v>
      </c>
      <c r="O1106" s="17">
        <f t="shared" si="132"/>
        <v>1506.88</v>
      </c>
      <c r="P1106" s="18">
        <f t="shared" si="133"/>
        <v>138774.30534400002</v>
      </c>
      <c r="R1106" s="66"/>
      <c r="S1106" s="19"/>
      <c r="T1106" s="20"/>
      <c r="U1106" s="20"/>
      <c r="V1106" s="20"/>
      <c r="W1106" s="20"/>
      <c r="X1106" s="20"/>
      <c r="Y1106" s="20"/>
      <c r="Z1106" s="20"/>
      <c r="AA1106" s="20"/>
    </row>
    <row r="1107" spans="1:27" ht="12.75">
      <c r="A1107" s="10"/>
      <c r="B1107" s="10">
        <v>46034</v>
      </c>
      <c r="C1107" s="11">
        <f>VLOOKUP(B:B,'Курс валют'!A:D,4,0)</f>
        <v>92.093800000000002</v>
      </c>
      <c r="D1107" s="57" t="s">
        <v>1603</v>
      </c>
      <c r="E1107" s="26" t="s">
        <v>103</v>
      </c>
      <c r="F1107" s="58">
        <v>800</v>
      </c>
      <c r="G1107" s="58">
        <v>806</v>
      </c>
      <c r="H1107" s="56">
        <v>78</v>
      </c>
      <c r="I1107" s="58">
        <f t="shared" si="128"/>
        <v>6</v>
      </c>
      <c r="J1107" s="14">
        <f t="shared" si="129"/>
        <v>0.75</v>
      </c>
      <c r="K1107" s="56">
        <v>2.17</v>
      </c>
      <c r="L1107" s="15">
        <f t="shared" si="130"/>
        <v>9.75</v>
      </c>
      <c r="M1107" s="16">
        <f t="shared" si="131"/>
        <v>172.54694368</v>
      </c>
      <c r="N1107" s="17">
        <f t="shared" si="127"/>
        <v>1.8736000000000002</v>
      </c>
      <c r="O1107" s="17">
        <f t="shared" si="132"/>
        <v>1498.88</v>
      </c>
      <c r="P1107" s="18">
        <f t="shared" si="133"/>
        <v>138037.554944</v>
      </c>
      <c r="R1107" s="66"/>
      <c r="S1107" s="19"/>
      <c r="T1107" s="20"/>
      <c r="U1107" s="20"/>
      <c r="V1107" s="20"/>
      <c r="W1107" s="20"/>
      <c r="X1107" s="20"/>
      <c r="Y1107" s="20"/>
      <c r="Z1107" s="20"/>
      <c r="AA1107" s="20"/>
    </row>
    <row r="1108" spans="1:27" ht="12.75">
      <c r="A1108" s="10"/>
      <c r="B1108" s="10">
        <v>46034</v>
      </c>
      <c r="C1108" s="11">
        <f>VLOOKUP(B:B,'Курс валют'!A:D,4,0)</f>
        <v>92.093800000000002</v>
      </c>
      <c r="D1108" s="58" t="s">
        <v>1604</v>
      </c>
      <c r="E1108" s="26" t="s">
        <v>103</v>
      </c>
      <c r="F1108" s="58">
        <v>800</v>
      </c>
      <c r="G1108" s="11">
        <v>806</v>
      </c>
      <c r="H1108" s="56">
        <v>78</v>
      </c>
      <c r="I1108" s="58">
        <f t="shared" si="128"/>
        <v>6</v>
      </c>
      <c r="J1108" s="14">
        <f t="shared" si="129"/>
        <v>0.75</v>
      </c>
      <c r="K1108" s="56">
        <v>2.1800000000000002</v>
      </c>
      <c r="L1108" s="15">
        <f t="shared" si="130"/>
        <v>9.75</v>
      </c>
      <c r="M1108" s="16">
        <f t="shared" si="131"/>
        <v>173.46788168000003</v>
      </c>
      <c r="N1108" s="17">
        <f t="shared" si="127"/>
        <v>1.8836000000000002</v>
      </c>
      <c r="O1108" s="17">
        <f t="shared" si="132"/>
        <v>1506.88</v>
      </c>
      <c r="P1108" s="18">
        <f t="shared" si="133"/>
        <v>138774.30534400002</v>
      </c>
      <c r="R1108" s="66"/>
      <c r="S1108" s="19"/>
      <c r="T1108" s="20"/>
      <c r="U1108" s="20"/>
      <c r="V1108" s="20"/>
      <c r="W1108" s="20"/>
      <c r="X1108" s="20"/>
      <c r="Y1108" s="20"/>
      <c r="Z1108" s="20"/>
      <c r="AA1108" s="20"/>
    </row>
    <row r="1109" spans="1:27" ht="12.75">
      <c r="A1109" s="10"/>
      <c r="B1109" s="10">
        <v>46034</v>
      </c>
      <c r="C1109" s="11">
        <f>VLOOKUP(B:B,'Курс валют'!A:D,4,0)</f>
        <v>92.093800000000002</v>
      </c>
      <c r="D1109" s="57" t="s">
        <v>1605</v>
      </c>
      <c r="E1109" s="26" t="s">
        <v>103</v>
      </c>
      <c r="F1109" s="58">
        <v>800</v>
      </c>
      <c r="G1109" s="58">
        <v>806</v>
      </c>
      <c r="H1109" s="56">
        <v>78</v>
      </c>
      <c r="I1109" s="58">
        <f t="shared" si="128"/>
        <v>6</v>
      </c>
      <c r="J1109" s="14">
        <f t="shared" si="129"/>
        <v>0.75</v>
      </c>
      <c r="K1109" s="56">
        <v>2.1800000000000002</v>
      </c>
      <c r="L1109" s="15">
        <f t="shared" si="130"/>
        <v>9.75</v>
      </c>
      <c r="M1109" s="16">
        <f t="shared" si="131"/>
        <v>173.46788168000003</v>
      </c>
      <c r="N1109" s="17">
        <f t="shared" si="127"/>
        <v>1.8836000000000002</v>
      </c>
      <c r="O1109" s="17">
        <f t="shared" si="132"/>
        <v>1506.88</v>
      </c>
      <c r="P1109" s="18">
        <f t="shared" si="133"/>
        <v>138774.30534400002</v>
      </c>
      <c r="R1109" s="66"/>
      <c r="S1109" s="19"/>
      <c r="T1109" s="20"/>
      <c r="U1109" s="20"/>
      <c r="V1109" s="20"/>
      <c r="W1109" s="20"/>
      <c r="X1109" s="20"/>
      <c r="Y1109" s="20"/>
      <c r="Z1109" s="20"/>
      <c r="AA1109" s="20"/>
    </row>
    <row r="1110" spans="1:27" ht="12.75">
      <c r="A1110" s="10"/>
      <c r="B1110" s="10">
        <v>46034</v>
      </c>
      <c r="C1110" s="11">
        <f>VLOOKUP(B:B,'Курс валют'!A:D,4,0)</f>
        <v>92.093800000000002</v>
      </c>
      <c r="D1110" s="57" t="s">
        <v>1606</v>
      </c>
      <c r="E1110" s="26" t="s">
        <v>103</v>
      </c>
      <c r="F1110" s="58">
        <v>800</v>
      </c>
      <c r="G1110" s="11">
        <v>806</v>
      </c>
      <c r="H1110" s="56">
        <v>78</v>
      </c>
      <c r="I1110" s="58">
        <f t="shared" si="128"/>
        <v>6</v>
      </c>
      <c r="J1110" s="14">
        <f t="shared" si="129"/>
        <v>0.75</v>
      </c>
      <c r="K1110" s="56">
        <v>2.1800000000000002</v>
      </c>
      <c r="L1110" s="15">
        <f t="shared" si="130"/>
        <v>9.75</v>
      </c>
      <c r="M1110" s="16">
        <f t="shared" si="131"/>
        <v>173.46788168000003</v>
      </c>
      <c r="N1110" s="17">
        <f t="shared" si="127"/>
        <v>1.8836000000000002</v>
      </c>
      <c r="O1110" s="17">
        <f t="shared" si="132"/>
        <v>1506.88</v>
      </c>
      <c r="P1110" s="18">
        <f t="shared" si="133"/>
        <v>138774.30534400002</v>
      </c>
      <c r="R1110" s="66"/>
      <c r="S1110" s="19"/>
      <c r="T1110" s="20"/>
      <c r="U1110" s="20"/>
      <c r="V1110" s="20"/>
      <c r="W1110" s="20"/>
      <c r="X1110" s="20"/>
      <c r="Y1110" s="20"/>
      <c r="Z1110" s="20"/>
      <c r="AA1110" s="20"/>
    </row>
    <row r="1111" spans="1:27" ht="12.75">
      <c r="A1111" s="10"/>
      <c r="B1111" s="10">
        <v>46034</v>
      </c>
      <c r="C1111" s="11">
        <f>VLOOKUP(B:B,'Курс валют'!A:D,4,0)</f>
        <v>92.093800000000002</v>
      </c>
      <c r="D1111" s="57" t="s">
        <v>1607</v>
      </c>
      <c r="E1111" s="26" t="s">
        <v>103</v>
      </c>
      <c r="F1111" s="58">
        <v>800</v>
      </c>
      <c r="G1111" s="58">
        <v>806</v>
      </c>
      <c r="H1111" s="56">
        <v>78</v>
      </c>
      <c r="I1111" s="58">
        <f t="shared" si="128"/>
        <v>6</v>
      </c>
      <c r="J1111" s="14">
        <f t="shared" si="129"/>
        <v>0.75</v>
      </c>
      <c r="K1111" s="56">
        <v>2.1800000000000002</v>
      </c>
      <c r="L1111" s="15">
        <f t="shared" si="130"/>
        <v>9.75</v>
      </c>
      <c r="M1111" s="16">
        <f t="shared" si="131"/>
        <v>173.46788168000003</v>
      </c>
      <c r="N1111" s="17">
        <f t="shared" si="127"/>
        <v>1.8836000000000002</v>
      </c>
      <c r="O1111" s="17">
        <f t="shared" si="132"/>
        <v>1506.88</v>
      </c>
      <c r="P1111" s="18">
        <f t="shared" si="133"/>
        <v>138774.30534400002</v>
      </c>
      <c r="R1111" s="66"/>
      <c r="S1111" s="19"/>
      <c r="T1111" s="20"/>
      <c r="U1111" s="20"/>
      <c r="V1111" s="20"/>
      <c r="W1111" s="20"/>
      <c r="X1111" s="20"/>
      <c r="Y1111" s="20"/>
      <c r="Z1111" s="20"/>
      <c r="AA1111" s="20"/>
    </row>
    <row r="1112" spans="1:27" ht="12.75">
      <c r="A1112" s="10"/>
      <c r="B1112" s="10">
        <v>46035</v>
      </c>
      <c r="C1112" s="11">
        <f>VLOOKUP(B:B,'Курс валют'!A:D,4,0)</f>
        <v>91.966800000000006</v>
      </c>
      <c r="D1112" s="57" t="s">
        <v>1608</v>
      </c>
      <c r="E1112" s="21" t="s">
        <v>51</v>
      </c>
      <c r="F1112" s="58">
        <v>800</v>
      </c>
      <c r="G1112" s="58">
        <v>804.34</v>
      </c>
      <c r="H1112" s="22">
        <v>0</v>
      </c>
      <c r="I1112" s="58">
        <f t="shared" si="128"/>
        <v>4.3400000000000318</v>
      </c>
      <c r="J1112" s="14">
        <f t="shared" si="129"/>
        <v>0.54250000000000398</v>
      </c>
      <c r="K1112" s="56">
        <v>2.0099999999999998</v>
      </c>
      <c r="L1112" s="15">
        <f t="shared" si="130"/>
        <v>0</v>
      </c>
      <c r="M1112" s="16">
        <f t="shared" si="131"/>
        <v>184.85326799999999</v>
      </c>
      <c r="N1112" s="17">
        <f t="shared" si="127"/>
        <v>2.0099999999999998</v>
      </c>
      <c r="O1112" s="17">
        <f t="shared" si="132"/>
        <v>1607.9999999999998</v>
      </c>
      <c r="P1112" s="18">
        <f t="shared" si="133"/>
        <v>147882.61439999999</v>
      </c>
      <c r="R1112" s="66"/>
      <c r="S1112" s="19"/>
      <c r="T1112" s="20"/>
      <c r="U1112" s="20"/>
      <c r="V1112" s="20"/>
      <c r="W1112" s="20"/>
      <c r="X1112" s="20"/>
      <c r="Y1112" s="20"/>
      <c r="Z1112" s="20"/>
      <c r="AA1112" s="20"/>
    </row>
    <row r="1113" spans="1:27" ht="12.75">
      <c r="A1113" s="10"/>
      <c r="B1113" s="10">
        <v>46035</v>
      </c>
      <c r="C1113" s="11">
        <f>VLOOKUP(B:B,'Курс валют'!A:D,4,0)</f>
        <v>91.966800000000006</v>
      </c>
      <c r="D1113" s="57" t="s">
        <v>1609</v>
      </c>
      <c r="E1113" s="21" t="s">
        <v>51</v>
      </c>
      <c r="F1113" s="58">
        <v>800</v>
      </c>
      <c r="G1113" s="58">
        <v>804.34</v>
      </c>
      <c r="H1113" s="56">
        <v>0</v>
      </c>
      <c r="I1113" s="58">
        <f t="shared" si="128"/>
        <v>4.3400000000000318</v>
      </c>
      <c r="J1113" s="14">
        <f t="shared" si="129"/>
        <v>0.54250000000000398</v>
      </c>
      <c r="K1113" s="56">
        <v>2</v>
      </c>
      <c r="L1113" s="15">
        <f t="shared" si="130"/>
        <v>0</v>
      </c>
      <c r="M1113" s="16">
        <f t="shared" si="131"/>
        <v>183.93360000000001</v>
      </c>
      <c r="N1113" s="23">
        <f t="shared" si="127"/>
        <v>2</v>
      </c>
      <c r="O1113" s="17">
        <f t="shared" si="132"/>
        <v>1600</v>
      </c>
      <c r="P1113" s="18">
        <f t="shared" si="133"/>
        <v>147146.88</v>
      </c>
      <c r="R1113" s="66"/>
      <c r="S1113" s="19"/>
      <c r="T1113" s="20"/>
      <c r="U1113" s="20"/>
      <c r="V1113" s="20"/>
      <c r="W1113" s="20"/>
      <c r="X1113" s="20"/>
      <c r="Y1113" s="20"/>
      <c r="Z1113" s="20"/>
      <c r="AA1113" s="20"/>
    </row>
    <row r="1114" spans="1:27" ht="12.75">
      <c r="A1114" s="10"/>
      <c r="B1114" s="10">
        <v>46035</v>
      </c>
      <c r="C1114" s="11">
        <f>VLOOKUP(B:B,'Курс валют'!A:D,4,0)</f>
        <v>91.966800000000006</v>
      </c>
      <c r="D1114" s="57" t="s">
        <v>1610</v>
      </c>
      <c r="E1114" s="21" t="s">
        <v>51</v>
      </c>
      <c r="F1114" s="58">
        <v>800</v>
      </c>
      <c r="G1114" s="58">
        <v>804.34</v>
      </c>
      <c r="H1114" s="22">
        <v>0</v>
      </c>
      <c r="I1114" s="58">
        <f t="shared" si="128"/>
        <v>4.3400000000000318</v>
      </c>
      <c r="J1114" s="14">
        <f t="shared" si="129"/>
        <v>0.54250000000000398</v>
      </c>
      <c r="K1114" s="56">
        <v>2</v>
      </c>
      <c r="L1114" s="15">
        <f t="shared" si="130"/>
        <v>0</v>
      </c>
      <c r="M1114" s="16">
        <f t="shared" si="131"/>
        <v>183.93360000000001</v>
      </c>
      <c r="N1114" s="17">
        <f t="shared" si="127"/>
        <v>2</v>
      </c>
      <c r="O1114" s="17">
        <f t="shared" si="132"/>
        <v>1600</v>
      </c>
      <c r="P1114" s="18">
        <f t="shared" si="133"/>
        <v>147146.88</v>
      </c>
      <c r="R1114" s="66"/>
      <c r="S1114" s="19"/>
      <c r="T1114" s="20"/>
      <c r="U1114" s="20"/>
      <c r="V1114" s="20"/>
      <c r="W1114" s="20"/>
      <c r="X1114" s="20"/>
      <c r="Y1114" s="20"/>
      <c r="Z1114" s="20"/>
      <c r="AA1114" s="20"/>
    </row>
    <row r="1115" spans="1:27" ht="12.75">
      <c r="A1115" s="10"/>
      <c r="B1115" s="10">
        <v>46035</v>
      </c>
      <c r="C1115" s="11">
        <f>VLOOKUP(B:B,'Курс валют'!A:D,4,0)</f>
        <v>91.966800000000006</v>
      </c>
      <c r="D1115" s="57" t="s">
        <v>1611</v>
      </c>
      <c r="E1115" s="21" t="s">
        <v>51</v>
      </c>
      <c r="F1115" s="58">
        <v>800</v>
      </c>
      <c r="G1115" s="58">
        <v>804.34</v>
      </c>
      <c r="H1115" s="22">
        <v>0</v>
      </c>
      <c r="I1115" s="58">
        <f t="shared" si="128"/>
        <v>4.3400000000000318</v>
      </c>
      <c r="J1115" s="14">
        <f t="shared" si="129"/>
        <v>0.54250000000000398</v>
      </c>
      <c r="K1115" s="56">
        <v>2</v>
      </c>
      <c r="L1115" s="15">
        <f t="shared" si="130"/>
        <v>0</v>
      </c>
      <c r="M1115" s="16">
        <f t="shared" si="131"/>
        <v>183.93360000000001</v>
      </c>
      <c r="N1115" s="17">
        <f t="shared" ref="N1115:N1214" si="134">(F1115*K1115-H1115*3.04)/F1115</f>
        <v>2</v>
      </c>
      <c r="O1115" s="17">
        <f t="shared" si="132"/>
        <v>1600</v>
      </c>
      <c r="P1115" s="18">
        <f t="shared" si="133"/>
        <v>147146.88</v>
      </c>
      <c r="R1115" s="66"/>
      <c r="S1115" s="19"/>
      <c r="T1115" s="20"/>
      <c r="U1115" s="20"/>
      <c r="V1115" s="20"/>
      <c r="W1115" s="20"/>
      <c r="X1115" s="20"/>
      <c r="Y1115" s="20"/>
      <c r="Z1115" s="20"/>
      <c r="AA1115" s="20"/>
    </row>
    <row r="1116" spans="1:27" ht="12.75">
      <c r="A1116" s="10"/>
      <c r="B1116" s="10">
        <v>46035</v>
      </c>
      <c r="C1116" s="11">
        <f>VLOOKUP(B:B,'Курс валют'!A:D,4,0)</f>
        <v>91.966800000000006</v>
      </c>
      <c r="D1116" s="57" t="s">
        <v>1612</v>
      </c>
      <c r="E1116" s="21" t="s">
        <v>51</v>
      </c>
      <c r="F1116" s="58">
        <v>800</v>
      </c>
      <c r="G1116" s="58">
        <v>804.34</v>
      </c>
      <c r="H1116" s="22">
        <v>0</v>
      </c>
      <c r="I1116" s="58">
        <f t="shared" si="128"/>
        <v>4.3400000000000318</v>
      </c>
      <c r="J1116" s="14">
        <f t="shared" si="129"/>
        <v>0.54250000000000398</v>
      </c>
      <c r="K1116" s="56">
        <v>2</v>
      </c>
      <c r="L1116" s="15">
        <f t="shared" si="130"/>
        <v>0</v>
      </c>
      <c r="M1116" s="16">
        <f t="shared" si="131"/>
        <v>183.93360000000001</v>
      </c>
      <c r="N1116" s="23">
        <f t="shared" si="134"/>
        <v>2</v>
      </c>
      <c r="O1116" s="17">
        <f t="shared" si="132"/>
        <v>1600</v>
      </c>
      <c r="P1116" s="18">
        <f t="shared" si="133"/>
        <v>147146.88</v>
      </c>
      <c r="R1116" s="66"/>
      <c r="S1116" s="19"/>
      <c r="T1116" s="20"/>
      <c r="U1116" s="20"/>
      <c r="V1116" s="20"/>
      <c r="W1116" s="20"/>
      <c r="X1116" s="20"/>
      <c r="Y1116" s="20"/>
      <c r="Z1116" s="20"/>
      <c r="AA1116" s="20"/>
    </row>
    <row r="1117" spans="1:27" ht="12.75">
      <c r="A1117" s="10"/>
      <c r="B1117" s="10">
        <v>46035</v>
      </c>
      <c r="C1117" s="11">
        <f>VLOOKUP(B:B,'Курс валют'!A:D,4,0)</f>
        <v>91.966800000000006</v>
      </c>
      <c r="D1117" s="57" t="s">
        <v>1613</v>
      </c>
      <c r="E1117" s="21" t="s">
        <v>51</v>
      </c>
      <c r="F1117" s="58">
        <v>800</v>
      </c>
      <c r="G1117" s="58">
        <v>804.34</v>
      </c>
      <c r="H1117" s="22">
        <v>0</v>
      </c>
      <c r="I1117" s="58">
        <f t="shared" si="128"/>
        <v>4.3400000000000318</v>
      </c>
      <c r="J1117" s="14">
        <f t="shared" si="129"/>
        <v>0.54250000000000398</v>
      </c>
      <c r="K1117" s="56">
        <v>2.0099999999999998</v>
      </c>
      <c r="L1117" s="15">
        <f t="shared" si="130"/>
        <v>0</v>
      </c>
      <c r="M1117" s="16">
        <f t="shared" si="131"/>
        <v>184.85326799999999</v>
      </c>
      <c r="N1117" s="23">
        <f t="shared" si="134"/>
        <v>2.0099999999999998</v>
      </c>
      <c r="O1117" s="17">
        <f t="shared" si="132"/>
        <v>1607.9999999999998</v>
      </c>
      <c r="P1117" s="18">
        <f t="shared" si="133"/>
        <v>147882.61439999999</v>
      </c>
      <c r="R1117" s="66"/>
      <c r="S1117" s="19"/>
      <c r="T1117" s="20"/>
      <c r="U1117" s="20"/>
      <c r="V1117" s="20"/>
      <c r="W1117" s="20"/>
      <c r="X1117" s="20"/>
      <c r="Y1117" s="20"/>
      <c r="Z1117" s="20"/>
      <c r="AA1117" s="20"/>
    </row>
    <row r="1118" spans="1:27" ht="12.75">
      <c r="A1118" s="54"/>
      <c r="B1118" s="10">
        <v>46035</v>
      </c>
      <c r="C1118" s="11">
        <f>VLOOKUP(B:B,'Курс валют'!A:D,4,0)</f>
        <v>91.966800000000006</v>
      </c>
      <c r="D1118" s="57" t="s">
        <v>1614</v>
      </c>
      <c r="E1118" s="21" t="s">
        <v>51</v>
      </c>
      <c r="F1118" s="58">
        <v>800</v>
      </c>
      <c r="G1118" s="58">
        <v>804.34</v>
      </c>
      <c r="H1118" s="22">
        <v>0</v>
      </c>
      <c r="I1118" s="58">
        <f t="shared" si="128"/>
        <v>4.3400000000000318</v>
      </c>
      <c r="J1118" s="14">
        <f t="shared" si="129"/>
        <v>0.54250000000000398</v>
      </c>
      <c r="K1118" s="56">
        <v>2</v>
      </c>
      <c r="L1118" s="15">
        <f t="shared" si="130"/>
        <v>0</v>
      </c>
      <c r="M1118" s="16">
        <f t="shared" si="131"/>
        <v>183.93360000000001</v>
      </c>
      <c r="N1118" s="17">
        <f t="shared" si="134"/>
        <v>2</v>
      </c>
      <c r="O1118" s="17">
        <f t="shared" si="132"/>
        <v>1600</v>
      </c>
      <c r="P1118" s="18">
        <f t="shared" si="133"/>
        <v>147146.88</v>
      </c>
      <c r="R1118" s="65"/>
      <c r="S1118" s="19"/>
      <c r="T1118" s="24"/>
      <c r="U1118" s="24"/>
      <c r="V1118" s="24"/>
      <c r="W1118" s="24"/>
      <c r="X1118" s="24"/>
      <c r="Y1118" s="24"/>
      <c r="Z1118" s="24"/>
      <c r="AA1118" s="24"/>
    </row>
    <row r="1119" spans="1:27" ht="12.75">
      <c r="A1119" s="54"/>
      <c r="B1119" s="10">
        <v>46035</v>
      </c>
      <c r="C1119" s="11">
        <f>VLOOKUP(B:B,'Курс валют'!A:D,4,0)</f>
        <v>91.966800000000006</v>
      </c>
      <c r="D1119" s="57" t="s">
        <v>1615</v>
      </c>
      <c r="E1119" s="21" t="s">
        <v>51</v>
      </c>
      <c r="F1119" s="58">
        <v>800</v>
      </c>
      <c r="G1119" s="58">
        <v>804.34</v>
      </c>
      <c r="H1119" s="22">
        <v>0</v>
      </c>
      <c r="I1119" s="58">
        <f t="shared" si="128"/>
        <v>4.3400000000000318</v>
      </c>
      <c r="J1119" s="14">
        <f t="shared" si="129"/>
        <v>0.54250000000000398</v>
      </c>
      <c r="K1119" s="56">
        <v>2</v>
      </c>
      <c r="L1119" s="15">
        <f t="shared" si="130"/>
        <v>0</v>
      </c>
      <c r="M1119" s="16">
        <f t="shared" si="131"/>
        <v>183.93360000000001</v>
      </c>
      <c r="N1119" s="17">
        <f t="shared" si="134"/>
        <v>2</v>
      </c>
      <c r="O1119" s="17">
        <f t="shared" si="132"/>
        <v>1600</v>
      </c>
      <c r="P1119" s="18">
        <f t="shared" si="133"/>
        <v>147146.88</v>
      </c>
      <c r="R1119" s="65"/>
      <c r="S1119" s="19"/>
      <c r="T1119" s="20"/>
      <c r="U1119" s="20"/>
      <c r="V1119" s="20"/>
      <c r="W1119" s="20"/>
      <c r="X1119" s="20"/>
      <c r="Y1119" s="20"/>
      <c r="Z1119" s="20"/>
      <c r="AA1119" s="20"/>
    </row>
    <row r="1120" spans="1:27" ht="12.75">
      <c r="A1120" s="54"/>
      <c r="B1120" s="10">
        <v>46035</v>
      </c>
      <c r="C1120" s="11">
        <f>VLOOKUP(B:B,'Курс валют'!A:D,4,0)</f>
        <v>91.966800000000006</v>
      </c>
      <c r="D1120" s="57" t="s">
        <v>1616</v>
      </c>
      <c r="E1120" s="21" t="s">
        <v>51</v>
      </c>
      <c r="F1120" s="58">
        <v>800</v>
      </c>
      <c r="G1120" s="58">
        <v>804.34</v>
      </c>
      <c r="H1120" s="22">
        <v>0</v>
      </c>
      <c r="I1120" s="58">
        <f t="shared" si="128"/>
        <v>4.3400000000000318</v>
      </c>
      <c r="J1120" s="14">
        <f t="shared" si="129"/>
        <v>0.54250000000000398</v>
      </c>
      <c r="K1120" s="56">
        <v>2</v>
      </c>
      <c r="L1120" s="15">
        <f t="shared" si="130"/>
        <v>0</v>
      </c>
      <c r="M1120" s="16">
        <f t="shared" si="131"/>
        <v>183.93360000000001</v>
      </c>
      <c r="N1120" s="17">
        <f t="shared" si="134"/>
        <v>2</v>
      </c>
      <c r="O1120" s="17">
        <f t="shared" si="132"/>
        <v>1600</v>
      </c>
      <c r="P1120" s="18">
        <f t="shared" si="133"/>
        <v>147146.88</v>
      </c>
      <c r="R1120" s="65"/>
      <c r="S1120" s="19"/>
      <c r="T1120" s="20"/>
      <c r="U1120" s="20"/>
      <c r="V1120" s="20"/>
      <c r="W1120" s="20"/>
      <c r="X1120" s="20"/>
      <c r="Y1120" s="20"/>
      <c r="Z1120" s="20"/>
      <c r="AA1120" s="20"/>
    </row>
    <row r="1121" spans="1:27" ht="12.75">
      <c r="A1121" s="54"/>
      <c r="B1121" s="10">
        <v>46035</v>
      </c>
      <c r="C1121" s="11">
        <f>VLOOKUP(B:B,'Курс валют'!A:D,4,0)</f>
        <v>91.966800000000006</v>
      </c>
      <c r="D1121" s="57" t="s">
        <v>1617</v>
      </c>
      <c r="E1121" s="21" t="s">
        <v>51</v>
      </c>
      <c r="F1121" s="58">
        <v>800</v>
      </c>
      <c r="G1121" s="58">
        <v>804.34</v>
      </c>
      <c r="H1121" s="22">
        <v>0</v>
      </c>
      <c r="I1121" s="58">
        <f t="shared" si="128"/>
        <v>4.3400000000000318</v>
      </c>
      <c r="J1121" s="14">
        <f t="shared" si="129"/>
        <v>0.54250000000000398</v>
      </c>
      <c r="K1121" s="56">
        <v>2</v>
      </c>
      <c r="L1121" s="15">
        <f t="shared" si="130"/>
        <v>0</v>
      </c>
      <c r="M1121" s="16">
        <f t="shared" si="131"/>
        <v>183.93360000000001</v>
      </c>
      <c r="N1121" s="17">
        <f t="shared" si="134"/>
        <v>2</v>
      </c>
      <c r="O1121" s="17">
        <f t="shared" si="132"/>
        <v>1600</v>
      </c>
      <c r="P1121" s="18">
        <f t="shared" si="133"/>
        <v>147146.88</v>
      </c>
      <c r="R1121" s="66"/>
      <c r="S1121" s="19"/>
      <c r="T1121" s="24"/>
      <c r="U1121" s="24"/>
      <c r="V1121" s="24"/>
      <c r="W1121" s="24"/>
      <c r="X1121" s="24"/>
      <c r="Y1121" s="24"/>
      <c r="Z1121" s="24"/>
      <c r="AA1121" s="24"/>
    </row>
    <row r="1122" spans="1:27" ht="12.75">
      <c r="A1122" s="54"/>
      <c r="B1122" s="10">
        <v>46036</v>
      </c>
      <c r="C1122" s="11">
        <f>VLOOKUP(B:B,'Курс валют'!A:D,4,0)</f>
        <v>92.397300000000001</v>
      </c>
      <c r="D1122" s="57" t="s">
        <v>1618</v>
      </c>
      <c r="E1122" s="26" t="s">
        <v>52</v>
      </c>
      <c r="F1122" s="58">
        <v>1000</v>
      </c>
      <c r="G1122" s="13">
        <v>1011.96</v>
      </c>
      <c r="H1122" s="56">
        <v>0</v>
      </c>
      <c r="I1122" s="13">
        <f t="shared" si="128"/>
        <v>11.960000000000036</v>
      </c>
      <c r="J1122" s="14">
        <f t="shared" si="129"/>
        <v>1.1960000000000037</v>
      </c>
      <c r="K1122" s="56">
        <v>2.74</v>
      </c>
      <c r="L1122" s="15">
        <f t="shared" si="130"/>
        <v>0</v>
      </c>
      <c r="M1122" s="16">
        <f t="shared" si="131"/>
        <v>253.16860200000002</v>
      </c>
      <c r="N1122" s="17">
        <f t="shared" si="134"/>
        <v>2.74</v>
      </c>
      <c r="O1122" s="17">
        <f t="shared" si="132"/>
        <v>2740</v>
      </c>
      <c r="P1122" s="18">
        <f t="shared" si="133"/>
        <v>253168.60200000001</v>
      </c>
      <c r="R1122" s="65"/>
      <c r="S1122" s="19"/>
      <c r="T1122" s="24"/>
      <c r="U1122" s="24"/>
      <c r="V1122" s="24"/>
      <c r="W1122" s="24"/>
      <c r="X1122" s="24"/>
      <c r="Y1122" s="24"/>
      <c r="Z1122" s="24"/>
      <c r="AA1122" s="24"/>
    </row>
    <row r="1123" spans="1:27" ht="12.75">
      <c r="A1123" s="54"/>
      <c r="B1123" s="10">
        <v>46036</v>
      </c>
      <c r="C1123" s="11">
        <f>VLOOKUP(B:B,'Курс валют'!A:D,4,0)</f>
        <v>92.397300000000001</v>
      </c>
      <c r="D1123" s="57" t="s">
        <v>1619</v>
      </c>
      <c r="E1123" s="26" t="s">
        <v>52</v>
      </c>
      <c r="F1123" s="58">
        <v>1000</v>
      </c>
      <c r="G1123" s="13">
        <v>1011.96</v>
      </c>
      <c r="H1123" s="56">
        <v>0</v>
      </c>
      <c r="I1123" s="13">
        <f t="shared" si="128"/>
        <v>11.960000000000036</v>
      </c>
      <c r="J1123" s="14">
        <f t="shared" si="129"/>
        <v>1.1960000000000037</v>
      </c>
      <c r="K1123" s="56">
        <v>2.74</v>
      </c>
      <c r="L1123" s="15">
        <f t="shared" si="130"/>
        <v>0</v>
      </c>
      <c r="M1123" s="16">
        <f t="shared" si="131"/>
        <v>253.16860200000002</v>
      </c>
      <c r="N1123" s="17">
        <f t="shared" si="134"/>
        <v>2.74</v>
      </c>
      <c r="O1123" s="17">
        <f t="shared" si="132"/>
        <v>2740</v>
      </c>
      <c r="P1123" s="18">
        <f t="shared" si="133"/>
        <v>253168.60200000001</v>
      </c>
      <c r="R1123" s="66"/>
      <c r="S1123" s="19"/>
      <c r="T1123" s="24"/>
      <c r="U1123" s="24"/>
      <c r="V1123" s="24"/>
      <c r="W1123" s="24"/>
      <c r="X1123" s="24"/>
      <c r="Y1123" s="24"/>
      <c r="Z1123" s="24"/>
      <c r="AA1123" s="24"/>
    </row>
    <row r="1124" spans="1:27" ht="12.75">
      <c r="A1124" s="54"/>
      <c r="B1124" s="10">
        <v>46037</v>
      </c>
      <c r="C1124" s="11">
        <f>VLOOKUP(B:B,'Курс валют'!A:D,4,0)</f>
        <v>92.196399999999997</v>
      </c>
      <c r="D1124" s="57" t="s">
        <v>1620</v>
      </c>
      <c r="E1124" s="50" t="s">
        <v>56</v>
      </c>
      <c r="F1124" s="58">
        <v>2000</v>
      </c>
      <c r="G1124" s="13">
        <v>2055.9499999999998</v>
      </c>
      <c r="H1124" s="56">
        <v>0</v>
      </c>
      <c r="I1124" s="13">
        <f t="shared" si="128"/>
        <v>55.949999999999818</v>
      </c>
      <c r="J1124" s="14">
        <f t="shared" si="129"/>
        <v>2.797499999999991</v>
      </c>
      <c r="K1124" s="56">
        <v>2.2400000000000002</v>
      </c>
      <c r="L1124" s="15">
        <f t="shared" si="130"/>
        <v>0</v>
      </c>
      <c r="M1124" s="16">
        <f t="shared" si="131"/>
        <v>206.51993599999997</v>
      </c>
      <c r="N1124" s="17">
        <f t="shared" si="134"/>
        <v>2.2400000000000002</v>
      </c>
      <c r="O1124" s="17">
        <f t="shared" si="132"/>
        <v>4480</v>
      </c>
      <c r="P1124" s="18">
        <f t="shared" si="133"/>
        <v>413039.87199999997</v>
      </c>
      <c r="R1124" s="66"/>
      <c r="S1124" s="19"/>
      <c r="T1124" s="20"/>
      <c r="U1124" s="20"/>
      <c r="V1124" s="20"/>
      <c r="W1124" s="20"/>
      <c r="X1124" s="20"/>
      <c r="Y1124" s="20"/>
      <c r="Z1124" s="20"/>
      <c r="AA1124" s="20"/>
    </row>
    <row r="1125" spans="1:27" ht="12.75">
      <c r="A1125" s="54"/>
      <c r="B1125" s="10">
        <v>46038</v>
      </c>
      <c r="C1125" s="11">
        <f>VLOOKUP(B:B,'Курс валют'!A:D,4,0)</f>
        <v>91.812299999999993</v>
      </c>
      <c r="D1125" s="57" t="s">
        <v>1621</v>
      </c>
      <c r="E1125" s="64" t="s">
        <v>56</v>
      </c>
      <c r="F1125" s="58">
        <v>2000</v>
      </c>
      <c r="G1125" s="13">
        <v>2055.9499999999998</v>
      </c>
      <c r="H1125" s="56">
        <v>0</v>
      </c>
      <c r="I1125" s="13">
        <f t="shared" si="128"/>
        <v>55.949999999999818</v>
      </c>
      <c r="J1125" s="14">
        <f t="shared" si="129"/>
        <v>2.797499999999991</v>
      </c>
      <c r="K1125" s="56">
        <v>2.2400000000000002</v>
      </c>
      <c r="L1125" s="15">
        <f t="shared" si="130"/>
        <v>0</v>
      </c>
      <c r="M1125" s="16">
        <f t="shared" si="131"/>
        <v>205.65955199999999</v>
      </c>
      <c r="N1125" s="17">
        <f t="shared" si="134"/>
        <v>2.2400000000000002</v>
      </c>
      <c r="O1125" s="17">
        <f t="shared" si="132"/>
        <v>4480</v>
      </c>
      <c r="P1125" s="18">
        <f t="shared" si="133"/>
        <v>411319.10399999999</v>
      </c>
      <c r="R1125" s="66"/>
      <c r="S1125" s="19"/>
      <c r="T1125" s="20"/>
      <c r="U1125" s="20"/>
      <c r="V1125" s="20"/>
      <c r="W1125" s="20"/>
      <c r="X1125" s="20"/>
      <c r="Y1125" s="20"/>
      <c r="Z1125" s="20"/>
      <c r="AA1125" s="20"/>
    </row>
    <row r="1126" spans="1:27" ht="12.75">
      <c r="A1126" s="54"/>
      <c r="B1126" s="10">
        <v>46039</v>
      </c>
      <c r="C1126" s="11">
        <f>VLOOKUP(B:B,'Курс валют'!A:D,4,0)</f>
        <v>90.536600000000007</v>
      </c>
      <c r="D1126" s="57" t="s">
        <v>1622</v>
      </c>
      <c r="E1126" s="50" t="s">
        <v>78</v>
      </c>
      <c r="F1126" s="58">
        <v>2000</v>
      </c>
      <c r="G1126" s="13">
        <v>2040.45</v>
      </c>
      <c r="H1126" s="56">
        <v>0</v>
      </c>
      <c r="I1126" s="13">
        <f t="shared" si="128"/>
        <v>40.450000000000045</v>
      </c>
      <c r="J1126" s="14">
        <f t="shared" si="129"/>
        <v>2.0225000000000026</v>
      </c>
      <c r="K1126" s="56">
        <v>2.3199999999999998</v>
      </c>
      <c r="L1126" s="15">
        <f t="shared" si="130"/>
        <v>0</v>
      </c>
      <c r="M1126" s="16">
        <f t="shared" si="131"/>
        <v>210.04491200000001</v>
      </c>
      <c r="N1126" s="17">
        <f t="shared" si="134"/>
        <v>2.3199999999999998</v>
      </c>
      <c r="O1126" s="17">
        <f t="shared" si="132"/>
        <v>4640</v>
      </c>
      <c r="P1126" s="18">
        <f t="shared" si="133"/>
        <v>420089.82400000002</v>
      </c>
      <c r="R1126" s="66"/>
      <c r="S1126" s="20"/>
      <c r="T1126" s="20"/>
      <c r="U1126" s="20"/>
      <c r="V1126" s="20"/>
      <c r="W1126" s="20"/>
      <c r="X1126" s="20"/>
      <c r="Y1126" s="20"/>
      <c r="Z1126" s="20"/>
      <c r="AA1126" s="20"/>
    </row>
    <row r="1127" spans="1:27" ht="15" customHeight="1">
      <c r="A1127" s="54"/>
      <c r="B1127" s="10">
        <v>46040</v>
      </c>
      <c r="C1127" s="11">
        <f>VLOOKUP(B:B,'Курс валют'!A:D,4,0)</f>
        <v>90.536600000000007</v>
      </c>
      <c r="D1127" s="57" t="s">
        <v>1623</v>
      </c>
      <c r="E1127" s="50" t="s">
        <v>92</v>
      </c>
      <c r="F1127" s="58">
        <v>20</v>
      </c>
      <c r="G1127" s="58">
        <v>21.72</v>
      </c>
      <c r="H1127" s="56">
        <v>0</v>
      </c>
      <c r="I1127" s="58">
        <f t="shared" si="128"/>
        <v>1.7199999999999989</v>
      </c>
      <c r="J1127" s="14">
        <f t="shared" si="129"/>
        <v>8.5999999999999943</v>
      </c>
      <c r="K1127" s="56">
        <v>2.4</v>
      </c>
      <c r="L1127" s="15">
        <f t="shared" si="130"/>
        <v>0</v>
      </c>
      <c r="M1127" s="16">
        <f t="shared" si="131"/>
        <v>217.28784000000002</v>
      </c>
      <c r="N1127" s="17">
        <f t="shared" si="134"/>
        <v>2.4</v>
      </c>
      <c r="O1127" s="17">
        <f t="shared" si="132"/>
        <v>48</v>
      </c>
      <c r="P1127" s="18">
        <f t="shared" si="133"/>
        <v>4345.7568000000001</v>
      </c>
      <c r="R1127" s="66"/>
      <c r="S1127" s="20"/>
      <c r="T1127" s="20"/>
      <c r="U1127" s="20"/>
      <c r="V1127" s="20"/>
      <c r="W1127" s="20"/>
      <c r="X1127" s="20"/>
      <c r="Y1127" s="20"/>
      <c r="Z1127" s="20"/>
      <c r="AA1127" s="20"/>
    </row>
    <row r="1128" spans="1:27" ht="12.75">
      <c r="A1128" s="54"/>
      <c r="B1128" s="10">
        <v>46040</v>
      </c>
      <c r="C1128" s="11">
        <f>VLOOKUP(B:B,'Курс валют'!A:D,4,0)</f>
        <v>90.536600000000007</v>
      </c>
      <c r="D1128" s="57" t="s">
        <v>1624</v>
      </c>
      <c r="E1128" s="50" t="s">
        <v>92</v>
      </c>
      <c r="F1128" s="58">
        <v>20</v>
      </c>
      <c r="G1128" s="58">
        <v>21.72</v>
      </c>
      <c r="H1128" s="56">
        <v>0</v>
      </c>
      <c r="I1128" s="58">
        <f t="shared" si="128"/>
        <v>1.7199999999999989</v>
      </c>
      <c r="J1128" s="14">
        <f t="shared" si="129"/>
        <v>8.5999999999999943</v>
      </c>
      <c r="K1128" s="56">
        <v>2.4</v>
      </c>
      <c r="L1128" s="15">
        <f t="shared" si="130"/>
        <v>0</v>
      </c>
      <c r="M1128" s="16">
        <f t="shared" si="131"/>
        <v>217.28784000000002</v>
      </c>
      <c r="N1128" s="17">
        <f t="shared" si="134"/>
        <v>2.4</v>
      </c>
      <c r="O1128" s="17">
        <f t="shared" si="132"/>
        <v>48</v>
      </c>
      <c r="P1128" s="18">
        <f t="shared" si="133"/>
        <v>4345.7568000000001</v>
      </c>
      <c r="R1128" s="66"/>
      <c r="S1128" s="20"/>
      <c r="T1128" s="20"/>
      <c r="U1128" s="20"/>
      <c r="V1128" s="20"/>
      <c r="W1128" s="20"/>
      <c r="X1128" s="20"/>
      <c r="Y1128" s="20"/>
      <c r="Z1128" s="20"/>
      <c r="AA1128" s="20"/>
    </row>
    <row r="1129" spans="1:27" ht="12.75">
      <c r="A1129" s="54"/>
      <c r="B1129" s="10">
        <v>46040</v>
      </c>
      <c r="C1129" s="11">
        <f>VLOOKUP(B:B,'Курс валют'!A:D,4,0)</f>
        <v>90.536600000000007</v>
      </c>
      <c r="D1129" s="57" t="s">
        <v>1625</v>
      </c>
      <c r="E1129" s="50" t="s">
        <v>101</v>
      </c>
      <c r="F1129" s="58">
        <v>800</v>
      </c>
      <c r="G1129" s="58">
        <v>806.95</v>
      </c>
      <c r="H1129" s="56">
        <v>0</v>
      </c>
      <c r="I1129" s="58">
        <f t="shared" si="128"/>
        <v>6.9500000000000455</v>
      </c>
      <c r="J1129" s="14">
        <f t="shared" si="129"/>
        <v>0.86875000000000568</v>
      </c>
      <c r="K1129" s="56">
        <v>2.5099999999999998</v>
      </c>
      <c r="L1129" s="15">
        <f t="shared" si="130"/>
        <v>0</v>
      </c>
      <c r="M1129" s="16">
        <f t="shared" si="131"/>
        <v>227.24686600000001</v>
      </c>
      <c r="N1129" s="17">
        <f t="shared" si="134"/>
        <v>2.5099999999999998</v>
      </c>
      <c r="O1129" s="17">
        <f t="shared" si="132"/>
        <v>2007.9999999999998</v>
      </c>
      <c r="P1129" s="18">
        <f t="shared" si="133"/>
        <v>181797.49280000001</v>
      </c>
      <c r="R1129" s="66"/>
      <c r="S1129" s="48"/>
      <c r="T1129" s="20"/>
      <c r="U1129" s="20"/>
      <c r="V1129" s="20"/>
      <c r="W1129" s="20"/>
      <c r="X1129" s="20"/>
      <c r="Y1129" s="20"/>
      <c r="Z1129" s="20"/>
      <c r="AA1129" s="20"/>
    </row>
    <row r="1130" spans="1:27" ht="12.75">
      <c r="A1130" s="54"/>
      <c r="B1130" s="10">
        <v>46040</v>
      </c>
      <c r="C1130" s="11">
        <f>VLOOKUP(B:B,'Курс валют'!A:D,4,0)</f>
        <v>90.536600000000007</v>
      </c>
      <c r="D1130" s="57" t="s">
        <v>1626</v>
      </c>
      <c r="E1130" s="50" t="s">
        <v>101</v>
      </c>
      <c r="F1130" s="63">
        <v>800</v>
      </c>
      <c r="G1130" s="63">
        <v>806.95</v>
      </c>
      <c r="H1130" s="49">
        <v>0</v>
      </c>
      <c r="I1130" s="58">
        <f t="shared" si="128"/>
        <v>6.9500000000000455</v>
      </c>
      <c r="J1130" s="14">
        <f t="shared" si="129"/>
        <v>0.86875000000000568</v>
      </c>
      <c r="K1130" s="49">
        <v>2.52</v>
      </c>
      <c r="L1130" s="15">
        <f t="shared" si="130"/>
        <v>0</v>
      </c>
      <c r="M1130" s="16">
        <f t="shared" si="131"/>
        <v>228.152232</v>
      </c>
      <c r="N1130" s="17">
        <f t="shared" si="134"/>
        <v>2.52</v>
      </c>
      <c r="O1130" s="17">
        <f t="shared" si="132"/>
        <v>2016</v>
      </c>
      <c r="P1130" s="18">
        <f t="shared" si="133"/>
        <v>182521.7856</v>
      </c>
      <c r="R1130" s="66"/>
      <c r="S1130" s="48"/>
      <c r="T1130" s="20"/>
      <c r="U1130" s="20"/>
      <c r="V1130" s="20"/>
      <c r="W1130" s="20"/>
      <c r="X1130" s="20"/>
      <c r="Y1130" s="20"/>
      <c r="Z1130" s="20"/>
      <c r="AA1130" s="20"/>
    </row>
    <row r="1131" spans="1:27" ht="12.75">
      <c r="A1131" s="54"/>
      <c r="B1131" s="10">
        <v>46040</v>
      </c>
      <c r="C1131" s="11">
        <f>VLOOKUP(B:B,'Курс валют'!A:D,4,0)</f>
        <v>90.536600000000007</v>
      </c>
      <c r="D1131" s="57" t="s">
        <v>1627</v>
      </c>
      <c r="E1131" s="50" t="s">
        <v>101</v>
      </c>
      <c r="F1131" s="58">
        <v>800</v>
      </c>
      <c r="G1131" s="58">
        <v>806.95</v>
      </c>
      <c r="H1131" s="56">
        <v>0</v>
      </c>
      <c r="I1131" s="58">
        <f t="shared" si="128"/>
        <v>6.9500000000000455</v>
      </c>
      <c r="J1131" s="14">
        <f t="shared" si="129"/>
        <v>0.86875000000000568</v>
      </c>
      <c r="K1131" s="49">
        <v>2.52</v>
      </c>
      <c r="L1131" s="15">
        <f t="shared" si="130"/>
        <v>0</v>
      </c>
      <c r="M1131" s="16">
        <f t="shared" si="131"/>
        <v>228.152232</v>
      </c>
      <c r="N1131" s="17">
        <f t="shared" si="134"/>
        <v>2.52</v>
      </c>
      <c r="O1131" s="17">
        <f t="shared" si="132"/>
        <v>2016</v>
      </c>
      <c r="P1131" s="18">
        <f t="shared" si="133"/>
        <v>182521.7856</v>
      </c>
      <c r="R1131" s="66"/>
      <c r="S1131" s="48"/>
      <c r="T1131" s="20"/>
      <c r="U1131" s="20"/>
      <c r="V1131" s="20"/>
      <c r="W1131" s="20"/>
      <c r="X1131" s="20"/>
      <c r="Y1131" s="20"/>
      <c r="Z1131" s="20"/>
      <c r="AA1131" s="20"/>
    </row>
    <row r="1132" spans="1:27" ht="12.75">
      <c r="A1132" s="54"/>
      <c r="B1132" s="10">
        <v>46040</v>
      </c>
      <c r="C1132" s="11">
        <f>VLOOKUP(B:B,'Курс валют'!A:D,4,0)</f>
        <v>90.536600000000007</v>
      </c>
      <c r="D1132" s="57" t="s">
        <v>1628</v>
      </c>
      <c r="E1132" s="50" t="s">
        <v>101</v>
      </c>
      <c r="F1132" s="58">
        <v>800</v>
      </c>
      <c r="G1132" s="63">
        <v>806.95</v>
      </c>
      <c r="H1132" s="56">
        <v>0</v>
      </c>
      <c r="I1132" s="58">
        <f t="shared" si="128"/>
        <v>6.9500000000000455</v>
      </c>
      <c r="J1132" s="14">
        <f t="shared" si="129"/>
        <v>0.86875000000000568</v>
      </c>
      <c r="K1132" s="49">
        <v>2.52</v>
      </c>
      <c r="L1132" s="15">
        <f t="shared" si="130"/>
        <v>0</v>
      </c>
      <c r="M1132" s="16">
        <f t="shared" si="131"/>
        <v>228.152232</v>
      </c>
      <c r="N1132" s="17">
        <f t="shared" si="134"/>
        <v>2.52</v>
      </c>
      <c r="O1132" s="17">
        <f t="shared" si="132"/>
        <v>2016</v>
      </c>
      <c r="P1132" s="18">
        <f t="shared" si="133"/>
        <v>182521.7856</v>
      </c>
      <c r="R1132" s="66"/>
      <c r="S1132" s="48"/>
      <c r="T1132" s="20"/>
      <c r="U1132" s="20"/>
      <c r="V1132" s="20"/>
      <c r="W1132" s="20"/>
      <c r="X1132" s="20"/>
      <c r="Y1132" s="20"/>
      <c r="Z1132" s="20"/>
      <c r="AA1132" s="20"/>
    </row>
    <row r="1133" spans="1:27" ht="12.75">
      <c r="A1133" s="54"/>
      <c r="B1133" s="10">
        <v>46041</v>
      </c>
      <c r="C1133" s="11">
        <f>VLOOKUP(B:B,'Курс валют'!A:D,4,0)</f>
        <v>90.536600000000007</v>
      </c>
      <c r="D1133" s="57" t="s">
        <v>1629</v>
      </c>
      <c r="E1133" s="50" t="s">
        <v>1630</v>
      </c>
      <c r="F1133" s="58">
        <v>200</v>
      </c>
      <c r="G1133" s="58">
        <v>204.45</v>
      </c>
      <c r="H1133" s="56">
        <v>0</v>
      </c>
      <c r="I1133" s="58">
        <f t="shared" si="128"/>
        <v>4.4499999999999886</v>
      </c>
      <c r="J1133" s="14">
        <f t="shared" si="129"/>
        <v>2.2249999999999943</v>
      </c>
      <c r="K1133" s="49">
        <v>2.73</v>
      </c>
      <c r="L1133" s="15">
        <f t="shared" si="130"/>
        <v>0</v>
      </c>
      <c r="M1133" s="16">
        <f t="shared" si="131"/>
        <v>247.16491800000003</v>
      </c>
      <c r="N1133" s="17">
        <f t="shared" si="134"/>
        <v>2.73</v>
      </c>
      <c r="O1133" s="17">
        <f t="shared" si="132"/>
        <v>546</v>
      </c>
      <c r="P1133" s="18">
        <f t="shared" si="133"/>
        <v>49432.983600000007</v>
      </c>
      <c r="R1133" s="66"/>
      <c r="S1133" s="48"/>
      <c r="T1133" s="20"/>
      <c r="U1133" s="20"/>
      <c r="V1133" s="20"/>
      <c r="W1133" s="20"/>
      <c r="X1133" s="20"/>
      <c r="Y1133" s="20"/>
      <c r="Z1133" s="20"/>
      <c r="AA1133" s="20"/>
    </row>
    <row r="1134" spans="1:27" ht="12.75">
      <c r="A1134" s="54"/>
      <c r="B1134" s="10">
        <v>46041</v>
      </c>
      <c r="C1134" s="11">
        <f>VLOOKUP(B:B,'Курс валют'!A:D,4,0)</f>
        <v>90.536600000000007</v>
      </c>
      <c r="D1134" s="57" t="s">
        <v>1631</v>
      </c>
      <c r="E1134" s="50" t="s">
        <v>1554</v>
      </c>
      <c r="F1134" s="58">
        <v>200</v>
      </c>
      <c r="G1134" s="63">
        <v>204.45</v>
      </c>
      <c r="H1134" s="56">
        <v>0</v>
      </c>
      <c r="I1134" s="58">
        <f t="shared" si="128"/>
        <v>4.4499999999999886</v>
      </c>
      <c r="J1134" s="14">
        <f t="shared" si="129"/>
        <v>2.2249999999999943</v>
      </c>
      <c r="K1134" s="49">
        <v>2.4700000000000002</v>
      </c>
      <c r="L1134" s="15">
        <f t="shared" si="130"/>
        <v>0</v>
      </c>
      <c r="M1134" s="16">
        <f t="shared" si="131"/>
        <v>223.62540200000004</v>
      </c>
      <c r="N1134" s="17">
        <f t="shared" si="134"/>
        <v>2.4700000000000002</v>
      </c>
      <c r="O1134" s="17">
        <f t="shared" si="132"/>
        <v>494.00000000000006</v>
      </c>
      <c r="P1134" s="18">
        <f t="shared" si="133"/>
        <v>44725.080400000006</v>
      </c>
      <c r="R1134" s="66"/>
      <c r="S1134" s="48"/>
      <c r="T1134" s="20"/>
      <c r="U1134" s="20"/>
      <c r="V1134" s="20"/>
      <c r="W1134" s="20"/>
      <c r="X1134" s="20"/>
      <c r="Y1134" s="20"/>
      <c r="Z1134" s="20"/>
      <c r="AA1134" s="20"/>
    </row>
    <row r="1135" spans="1:27" ht="12.75">
      <c r="A1135" s="54"/>
      <c r="B1135" s="10">
        <v>46041</v>
      </c>
      <c r="C1135" s="11">
        <f>VLOOKUP(B:B,'Курс валют'!A:D,4,0)</f>
        <v>90.536600000000007</v>
      </c>
      <c r="D1135" s="57" t="s">
        <v>1632</v>
      </c>
      <c r="E1135" s="50" t="s">
        <v>1633</v>
      </c>
      <c r="F1135" s="58">
        <v>40</v>
      </c>
      <c r="G1135" s="58">
        <v>41</v>
      </c>
      <c r="H1135" s="56">
        <v>0</v>
      </c>
      <c r="I1135" s="58">
        <f t="shared" si="128"/>
        <v>1</v>
      </c>
      <c r="J1135" s="14">
        <f t="shared" si="129"/>
        <v>2.5</v>
      </c>
      <c r="K1135" s="49">
        <v>3.64</v>
      </c>
      <c r="L1135" s="15">
        <f t="shared" si="130"/>
        <v>0</v>
      </c>
      <c r="M1135" s="16">
        <f t="shared" si="131"/>
        <v>329.553224</v>
      </c>
      <c r="N1135" s="17">
        <f t="shared" si="134"/>
        <v>3.6399999999999997</v>
      </c>
      <c r="O1135" s="17">
        <f t="shared" si="132"/>
        <v>145.6</v>
      </c>
      <c r="P1135" s="18">
        <f t="shared" si="133"/>
        <v>13182.12896</v>
      </c>
      <c r="R1135" s="66" t="s">
        <v>1634</v>
      </c>
      <c r="S1135" s="20"/>
      <c r="T1135" s="20"/>
      <c r="U1135" s="20"/>
      <c r="V1135" s="20"/>
      <c r="W1135" s="20"/>
      <c r="X1135" s="20"/>
      <c r="Y1135" s="20"/>
      <c r="Z1135" s="20"/>
      <c r="AA1135" s="20"/>
    </row>
    <row r="1136" spans="1:27" ht="12.75">
      <c r="A1136" s="54"/>
      <c r="B1136" s="10">
        <v>46041</v>
      </c>
      <c r="C1136" s="11">
        <f>VLOOKUP(B:B,'Курс валют'!A:D,4,0)</f>
        <v>90.536600000000007</v>
      </c>
      <c r="D1136" s="57" t="s">
        <v>1635</v>
      </c>
      <c r="E1136" s="50" t="s">
        <v>58</v>
      </c>
      <c r="F1136" s="58">
        <v>1100</v>
      </c>
      <c r="G1136" s="51">
        <v>1110.8599999999999</v>
      </c>
      <c r="H1136" s="56">
        <v>457.15</v>
      </c>
      <c r="I1136" s="13">
        <f t="shared" si="128"/>
        <v>10.8599999999999</v>
      </c>
      <c r="J1136" s="14">
        <f t="shared" si="129"/>
        <v>0.9872727272727182</v>
      </c>
      <c r="K1136" s="49">
        <v>3.7</v>
      </c>
      <c r="L1136" s="15">
        <f t="shared" si="130"/>
        <v>41.559090909090905</v>
      </c>
      <c r="M1136" s="16">
        <f t="shared" si="131"/>
        <v>220.60180878400004</v>
      </c>
      <c r="N1136" s="17">
        <f t="shared" si="134"/>
        <v>2.4366036363636363</v>
      </c>
      <c r="O1136" s="17">
        <f t="shared" si="132"/>
        <v>2680.2640000000001</v>
      </c>
      <c r="P1136" s="18">
        <f t="shared" si="133"/>
        <v>242661.98966240004</v>
      </c>
      <c r="R1136" s="66"/>
      <c r="S1136" s="20"/>
      <c r="T1136" s="20"/>
      <c r="U1136" s="20"/>
      <c r="V1136" s="20"/>
      <c r="W1136" s="20"/>
      <c r="X1136" s="20"/>
      <c r="Y1136" s="20"/>
      <c r="Z1136" s="20"/>
      <c r="AA1136" s="20"/>
    </row>
    <row r="1137" spans="1:27" ht="12.75">
      <c r="A1137" s="54"/>
      <c r="B1137" s="10">
        <v>46041</v>
      </c>
      <c r="C1137" s="11">
        <f>VLOOKUP(B:B,'Курс валют'!A:D,4,0)</f>
        <v>90.536600000000007</v>
      </c>
      <c r="D1137" s="57" t="s">
        <v>1636</v>
      </c>
      <c r="E1137" s="50" t="s">
        <v>58</v>
      </c>
      <c r="F1137" s="58">
        <v>1100</v>
      </c>
      <c r="G1137" s="13">
        <v>1110.8599999999999</v>
      </c>
      <c r="H1137" s="56">
        <v>457.15</v>
      </c>
      <c r="I1137" s="13">
        <f t="shared" si="128"/>
        <v>10.8599999999999</v>
      </c>
      <c r="J1137" s="14">
        <f t="shared" si="129"/>
        <v>0.9872727272727182</v>
      </c>
      <c r="K1137" s="49">
        <v>3.71</v>
      </c>
      <c r="L1137" s="15">
        <f t="shared" si="130"/>
        <v>41.559090909090905</v>
      </c>
      <c r="M1137" s="16">
        <f t="shared" si="131"/>
        <v>221.50717478400003</v>
      </c>
      <c r="N1137" s="17">
        <f t="shared" si="134"/>
        <v>2.4466036363636365</v>
      </c>
      <c r="O1137" s="17">
        <f t="shared" si="132"/>
        <v>2691.2640000000001</v>
      </c>
      <c r="P1137" s="18">
        <f t="shared" si="133"/>
        <v>243657.89226240004</v>
      </c>
      <c r="R1137" s="65"/>
      <c r="S1137" s="19"/>
      <c r="T1137" s="20"/>
      <c r="U1137" s="20"/>
      <c r="V1137" s="20"/>
      <c r="W1137" s="20"/>
      <c r="X1137" s="20"/>
      <c r="Y1137" s="20"/>
      <c r="Z1137" s="20"/>
      <c r="AA1137" s="20"/>
    </row>
    <row r="1138" spans="1:27" ht="12.75">
      <c r="A1138" s="54"/>
      <c r="B1138" s="10">
        <v>46041</v>
      </c>
      <c r="C1138" s="11">
        <f>VLOOKUP(B:B,'Курс валют'!A:D,4,0)</f>
        <v>90.536600000000007</v>
      </c>
      <c r="D1138" s="57" t="s">
        <v>1637</v>
      </c>
      <c r="E1138" s="50" t="s">
        <v>58</v>
      </c>
      <c r="F1138" s="58">
        <v>1100</v>
      </c>
      <c r="G1138" s="51">
        <v>1110.8599999999999</v>
      </c>
      <c r="H1138" s="56">
        <v>457.15</v>
      </c>
      <c r="I1138" s="13">
        <f t="shared" si="128"/>
        <v>10.8599999999999</v>
      </c>
      <c r="J1138" s="14">
        <f t="shared" si="129"/>
        <v>0.9872727272727182</v>
      </c>
      <c r="K1138" s="49">
        <v>3.76</v>
      </c>
      <c r="L1138" s="15">
        <f t="shared" si="130"/>
        <v>41.559090909090905</v>
      </c>
      <c r="M1138" s="16">
        <f t="shared" si="131"/>
        <v>226.03400478400002</v>
      </c>
      <c r="N1138" s="17">
        <f t="shared" si="134"/>
        <v>2.4966036363636364</v>
      </c>
      <c r="O1138" s="17">
        <f t="shared" si="132"/>
        <v>2746.2640000000001</v>
      </c>
      <c r="P1138" s="18">
        <f t="shared" si="133"/>
        <v>248637.40526240002</v>
      </c>
      <c r="R1138" s="66"/>
      <c r="S1138" s="19"/>
      <c r="T1138" s="20"/>
      <c r="U1138" s="20"/>
      <c r="V1138" s="20"/>
      <c r="W1138" s="20"/>
      <c r="X1138" s="20"/>
      <c r="Y1138" s="20"/>
      <c r="Z1138" s="20"/>
      <c r="AA1138" s="20"/>
    </row>
    <row r="1139" spans="1:27" ht="12.75">
      <c r="A1139" s="54"/>
      <c r="B1139" s="10">
        <v>46041</v>
      </c>
      <c r="C1139" s="11">
        <f>VLOOKUP(B:B,'Курс валют'!A:D,4,0)</f>
        <v>90.536600000000007</v>
      </c>
      <c r="D1139" s="57" t="s">
        <v>1638</v>
      </c>
      <c r="E1139" s="64" t="s">
        <v>58</v>
      </c>
      <c r="F1139" s="63">
        <v>1100</v>
      </c>
      <c r="G1139" s="51">
        <v>1110.8599999999999</v>
      </c>
      <c r="H1139" s="56">
        <v>457.15</v>
      </c>
      <c r="I1139" s="13">
        <f t="shared" si="128"/>
        <v>10.8599999999999</v>
      </c>
      <c r="J1139" s="14">
        <f t="shared" si="129"/>
        <v>0.9872727272727182</v>
      </c>
      <c r="K1139" s="56">
        <v>3.76</v>
      </c>
      <c r="L1139" s="15">
        <f t="shared" si="130"/>
        <v>41.559090909090905</v>
      </c>
      <c r="M1139" s="16">
        <f t="shared" si="131"/>
        <v>226.03400478400002</v>
      </c>
      <c r="N1139" s="17">
        <f t="shared" si="134"/>
        <v>2.4966036363636364</v>
      </c>
      <c r="O1139" s="17">
        <f t="shared" si="132"/>
        <v>2746.2640000000001</v>
      </c>
      <c r="P1139" s="18">
        <f t="shared" si="133"/>
        <v>248637.40526240002</v>
      </c>
      <c r="R1139" s="66"/>
      <c r="S1139" s="19"/>
      <c r="T1139" s="20"/>
      <c r="U1139" s="20"/>
      <c r="V1139" s="20"/>
      <c r="W1139" s="20"/>
      <c r="X1139" s="20"/>
      <c r="Y1139" s="20"/>
      <c r="Z1139" s="20"/>
      <c r="AA1139" s="20"/>
    </row>
    <row r="1140" spans="1:27" ht="12.75">
      <c r="A1140" s="54"/>
      <c r="B1140" s="54">
        <v>46042</v>
      </c>
      <c r="C1140" s="11">
        <f>VLOOKUP(B:B,'Курс валют'!A:D,4,0)</f>
        <v>90.161100000000005</v>
      </c>
      <c r="D1140" s="57" t="s">
        <v>1639</v>
      </c>
      <c r="E1140" s="50" t="s">
        <v>58</v>
      </c>
      <c r="F1140" s="58">
        <v>1100</v>
      </c>
      <c r="G1140" s="52">
        <v>1110.8599999999999</v>
      </c>
      <c r="H1140" s="49">
        <v>457.15</v>
      </c>
      <c r="I1140" s="13">
        <f t="shared" si="128"/>
        <v>10.8599999999999</v>
      </c>
      <c r="J1140" s="14">
        <f t="shared" si="129"/>
        <v>0.9872727272727182</v>
      </c>
      <c r="K1140" s="56">
        <v>3.76</v>
      </c>
      <c r="L1140" s="15">
        <f t="shared" si="130"/>
        <v>41.559090909090905</v>
      </c>
      <c r="M1140" s="16">
        <f t="shared" si="131"/>
        <v>225.09653011854547</v>
      </c>
      <c r="N1140" s="17">
        <f t="shared" si="134"/>
        <v>2.4966036363636364</v>
      </c>
      <c r="O1140" s="17">
        <f t="shared" si="132"/>
        <v>2746.2640000000001</v>
      </c>
      <c r="P1140" s="18">
        <f t="shared" si="133"/>
        <v>247606.18313040002</v>
      </c>
      <c r="R1140" s="66"/>
      <c r="S1140" s="19"/>
      <c r="T1140" s="20"/>
      <c r="U1140" s="20"/>
      <c r="V1140" s="20"/>
      <c r="W1140" s="20"/>
      <c r="X1140" s="20"/>
      <c r="Y1140" s="20"/>
      <c r="Z1140" s="20"/>
      <c r="AA1140" s="20"/>
    </row>
    <row r="1141" spans="1:27" ht="12.75">
      <c r="A1141" s="54"/>
      <c r="B1141" s="10">
        <v>46042</v>
      </c>
      <c r="C1141" s="11">
        <f>VLOOKUP(B:B,'Курс валют'!A:D,4,0)</f>
        <v>90.161100000000005</v>
      </c>
      <c r="D1141" s="57" t="s">
        <v>1640</v>
      </c>
      <c r="E1141" s="50" t="s">
        <v>58</v>
      </c>
      <c r="F1141" s="58">
        <v>1100</v>
      </c>
      <c r="G1141" s="52">
        <v>1110.8599999999999</v>
      </c>
      <c r="H1141" s="49">
        <v>457.15</v>
      </c>
      <c r="I1141" s="13">
        <f t="shared" si="128"/>
        <v>10.8599999999999</v>
      </c>
      <c r="J1141" s="14">
        <f t="shared" si="129"/>
        <v>0.9872727272727182</v>
      </c>
      <c r="K1141" s="56">
        <v>3.76</v>
      </c>
      <c r="L1141" s="15">
        <f t="shared" si="130"/>
        <v>41.559090909090905</v>
      </c>
      <c r="M1141" s="16">
        <f t="shared" si="131"/>
        <v>225.09653011854547</v>
      </c>
      <c r="N1141" s="17">
        <f t="shared" si="134"/>
        <v>2.4966036363636364</v>
      </c>
      <c r="O1141" s="17">
        <f t="shared" si="132"/>
        <v>2746.2640000000001</v>
      </c>
      <c r="P1141" s="18">
        <f t="shared" si="133"/>
        <v>247606.18313040002</v>
      </c>
      <c r="R1141" s="66"/>
      <c r="S1141" s="19"/>
      <c r="T1141" s="20"/>
      <c r="U1141" s="20"/>
      <c r="V1141" s="20"/>
      <c r="W1141" s="20"/>
      <c r="X1141" s="20"/>
      <c r="Y1141" s="20"/>
      <c r="Z1141" s="20"/>
      <c r="AA1141" s="20"/>
    </row>
    <row r="1142" spans="1:27" ht="12.75">
      <c r="A1142" s="54"/>
      <c r="B1142" s="10">
        <v>46042</v>
      </c>
      <c r="C1142" s="11">
        <f>VLOOKUP(B:B,'Курс валют'!A:D,4,0)</f>
        <v>90.161100000000005</v>
      </c>
      <c r="D1142" s="57" t="s">
        <v>1641</v>
      </c>
      <c r="E1142" s="50" t="s">
        <v>58</v>
      </c>
      <c r="F1142" s="58">
        <v>1100</v>
      </c>
      <c r="G1142" s="52">
        <v>1110.8599999999999</v>
      </c>
      <c r="H1142" s="49">
        <v>457.15</v>
      </c>
      <c r="I1142" s="13">
        <f t="shared" si="128"/>
        <v>10.8599999999999</v>
      </c>
      <c r="J1142" s="14">
        <f t="shared" si="129"/>
        <v>0.9872727272727182</v>
      </c>
      <c r="K1142" s="56">
        <v>3.76</v>
      </c>
      <c r="L1142" s="15">
        <f t="shared" si="130"/>
        <v>41.559090909090905</v>
      </c>
      <c r="M1142" s="16">
        <f t="shared" si="131"/>
        <v>225.09653011854547</v>
      </c>
      <c r="N1142" s="17">
        <f t="shared" si="134"/>
        <v>2.4966036363636364</v>
      </c>
      <c r="O1142" s="17">
        <f t="shared" si="132"/>
        <v>2746.2640000000001</v>
      </c>
      <c r="P1142" s="18">
        <f t="shared" si="133"/>
        <v>247606.18313040002</v>
      </c>
      <c r="R1142" s="66"/>
      <c r="S1142" s="19"/>
      <c r="T1142" s="20"/>
      <c r="U1142" s="20"/>
      <c r="V1142" s="20"/>
      <c r="W1142" s="20"/>
      <c r="X1142" s="20"/>
      <c r="Y1142" s="20"/>
      <c r="Z1142" s="20"/>
      <c r="AA1142" s="20"/>
    </row>
    <row r="1143" spans="1:27" ht="12.75">
      <c r="A1143" s="54"/>
      <c r="B1143" s="10">
        <v>46042</v>
      </c>
      <c r="C1143" s="11">
        <f>VLOOKUP(B:B,'Курс валют'!A:D,4,0)</f>
        <v>90.161100000000005</v>
      </c>
      <c r="D1143" s="57" t="s">
        <v>1642</v>
      </c>
      <c r="E1143" s="50" t="s">
        <v>58</v>
      </c>
      <c r="F1143" s="58">
        <v>1100</v>
      </c>
      <c r="G1143" s="52">
        <v>1110.8599999999999</v>
      </c>
      <c r="H1143" s="49">
        <v>457.15</v>
      </c>
      <c r="I1143" s="13">
        <f t="shared" si="128"/>
        <v>10.8599999999999</v>
      </c>
      <c r="J1143" s="14">
        <f t="shared" si="129"/>
        <v>0.9872727272727182</v>
      </c>
      <c r="K1143" s="56">
        <v>3.76</v>
      </c>
      <c r="L1143" s="15">
        <f t="shared" si="130"/>
        <v>41.559090909090905</v>
      </c>
      <c r="M1143" s="16">
        <f t="shared" si="131"/>
        <v>225.09653011854547</v>
      </c>
      <c r="N1143" s="17">
        <f t="shared" si="134"/>
        <v>2.4966036363636364</v>
      </c>
      <c r="O1143" s="17">
        <f t="shared" si="132"/>
        <v>2746.2640000000001</v>
      </c>
      <c r="P1143" s="18">
        <f t="shared" si="133"/>
        <v>247606.18313040002</v>
      </c>
      <c r="R1143" s="66"/>
      <c r="S1143" s="19"/>
      <c r="T1143" s="20"/>
      <c r="U1143" s="20"/>
      <c r="V1143" s="20"/>
      <c r="W1143" s="20"/>
      <c r="X1143" s="20"/>
      <c r="Y1143" s="20"/>
      <c r="Z1143" s="20"/>
      <c r="AA1143" s="20"/>
    </row>
    <row r="1144" spans="1:27" ht="12.75">
      <c r="A1144" s="54"/>
      <c r="B1144" s="10">
        <v>46042</v>
      </c>
      <c r="C1144" s="11">
        <f>VLOOKUP(B:B,'Курс валют'!A:D,4,0)</f>
        <v>90.161100000000005</v>
      </c>
      <c r="D1144" s="57" t="s">
        <v>1643</v>
      </c>
      <c r="E1144" s="50" t="s">
        <v>58</v>
      </c>
      <c r="F1144" s="58">
        <v>1100</v>
      </c>
      <c r="G1144" s="52">
        <v>1110.8599999999999</v>
      </c>
      <c r="H1144" s="49">
        <v>457.15</v>
      </c>
      <c r="I1144" s="13">
        <f t="shared" si="128"/>
        <v>10.8599999999999</v>
      </c>
      <c r="J1144" s="14">
        <f t="shared" si="129"/>
        <v>0.9872727272727182</v>
      </c>
      <c r="K1144" s="56">
        <v>3.76</v>
      </c>
      <c r="L1144" s="15">
        <f t="shared" si="130"/>
        <v>41.559090909090905</v>
      </c>
      <c r="M1144" s="16">
        <f t="shared" si="131"/>
        <v>225.09653011854547</v>
      </c>
      <c r="N1144" s="17">
        <f t="shared" si="134"/>
        <v>2.4966036363636364</v>
      </c>
      <c r="O1144" s="17">
        <f t="shared" si="132"/>
        <v>2746.2640000000001</v>
      </c>
      <c r="P1144" s="18">
        <f t="shared" si="133"/>
        <v>247606.18313040002</v>
      </c>
      <c r="R1144" s="66"/>
      <c r="S1144" s="20"/>
      <c r="T1144" s="20"/>
      <c r="U1144" s="20"/>
      <c r="V1144" s="20"/>
      <c r="W1144" s="20"/>
      <c r="X1144" s="20"/>
      <c r="Y1144" s="20"/>
      <c r="Z1144" s="20"/>
      <c r="AA1144" s="20"/>
    </row>
    <row r="1145" spans="1:27" ht="12.75">
      <c r="A1145" s="54"/>
      <c r="B1145" s="10">
        <v>46042</v>
      </c>
      <c r="C1145" s="11">
        <f>VLOOKUP(B:B,'Курс валют'!A:D,4,0)</f>
        <v>90.161100000000005</v>
      </c>
      <c r="D1145" s="57" t="s">
        <v>1644</v>
      </c>
      <c r="E1145" s="50" t="s">
        <v>58</v>
      </c>
      <c r="F1145" s="58">
        <v>1100</v>
      </c>
      <c r="G1145" s="52">
        <v>1110.8599999999999</v>
      </c>
      <c r="H1145" s="49">
        <v>457.15</v>
      </c>
      <c r="I1145" s="13">
        <f t="shared" si="128"/>
        <v>10.8599999999999</v>
      </c>
      <c r="J1145" s="14">
        <f t="shared" si="129"/>
        <v>0.9872727272727182</v>
      </c>
      <c r="K1145" s="56">
        <v>3.76</v>
      </c>
      <c r="L1145" s="15">
        <f t="shared" si="130"/>
        <v>41.559090909090905</v>
      </c>
      <c r="M1145" s="16">
        <f t="shared" si="131"/>
        <v>225.09653011854547</v>
      </c>
      <c r="N1145" s="17">
        <f t="shared" si="134"/>
        <v>2.4966036363636364</v>
      </c>
      <c r="O1145" s="17">
        <f t="shared" si="132"/>
        <v>2746.2640000000001</v>
      </c>
      <c r="P1145" s="18">
        <f t="shared" si="133"/>
        <v>247606.18313040002</v>
      </c>
      <c r="R1145" s="66"/>
      <c r="S1145" s="20"/>
      <c r="T1145" s="20"/>
      <c r="U1145" s="20"/>
      <c r="V1145" s="20"/>
      <c r="W1145" s="20"/>
      <c r="X1145" s="20"/>
      <c r="Y1145" s="20"/>
      <c r="Z1145" s="20"/>
      <c r="AA1145" s="20"/>
    </row>
    <row r="1146" spans="1:27" ht="12.75">
      <c r="A1146" s="54"/>
      <c r="B1146" s="10">
        <v>46042</v>
      </c>
      <c r="C1146" s="11">
        <f>VLOOKUP(B:B,'Курс валют'!A:D,4,0)</f>
        <v>90.161100000000005</v>
      </c>
      <c r="D1146" s="57" t="s">
        <v>1645</v>
      </c>
      <c r="E1146" s="50" t="s">
        <v>58</v>
      </c>
      <c r="F1146" s="58">
        <v>1100</v>
      </c>
      <c r="G1146" s="52">
        <v>1110.8599999999999</v>
      </c>
      <c r="H1146" s="49">
        <v>457.15</v>
      </c>
      <c r="I1146" s="13">
        <f t="shared" si="128"/>
        <v>10.8599999999999</v>
      </c>
      <c r="J1146" s="14">
        <f t="shared" si="129"/>
        <v>0.9872727272727182</v>
      </c>
      <c r="K1146" s="56">
        <v>3.76</v>
      </c>
      <c r="L1146" s="15">
        <f t="shared" si="130"/>
        <v>41.559090909090905</v>
      </c>
      <c r="M1146" s="16">
        <f t="shared" si="131"/>
        <v>225.09653011854547</v>
      </c>
      <c r="N1146" s="17">
        <f t="shared" si="134"/>
        <v>2.4966036363636364</v>
      </c>
      <c r="O1146" s="17">
        <f t="shared" si="132"/>
        <v>2746.2640000000001</v>
      </c>
      <c r="P1146" s="18">
        <f t="shared" si="133"/>
        <v>247606.18313040002</v>
      </c>
      <c r="R1146" s="66"/>
      <c r="S1146" s="19"/>
      <c r="T1146" s="20"/>
      <c r="U1146" s="20"/>
      <c r="V1146" s="20"/>
      <c r="W1146" s="20"/>
      <c r="X1146" s="20"/>
      <c r="Y1146" s="20"/>
      <c r="Z1146" s="20"/>
      <c r="AA1146" s="20"/>
    </row>
    <row r="1147" spans="1:27" ht="12.75">
      <c r="A1147" s="54"/>
      <c r="B1147" s="10">
        <v>46042</v>
      </c>
      <c r="C1147" s="11">
        <f>VLOOKUP(B:B,'Курс валют'!A:D,4,0)</f>
        <v>90.161100000000005</v>
      </c>
      <c r="D1147" s="57" t="s">
        <v>1646</v>
      </c>
      <c r="E1147" s="50" t="s">
        <v>58</v>
      </c>
      <c r="F1147" s="58">
        <v>1100</v>
      </c>
      <c r="G1147" s="52">
        <v>1110.8599999999999</v>
      </c>
      <c r="H1147" s="49">
        <v>457.15</v>
      </c>
      <c r="I1147" s="13">
        <f t="shared" si="128"/>
        <v>10.8599999999999</v>
      </c>
      <c r="J1147" s="14">
        <f t="shared" si="129"/>
        <v>0.9872727272727182</v>
      </c>
      <c r="K1147" s="56">
        <v>3.76</v>
      </c>
      <c r="L1147" s="15">
        <f t="shared" si="130"/>
        <v>41.559090909090905</v>
      </c>
      <c r="M1147" s="16">
        <f t="shared" si="131"/>
        <v>225.09653011854547</v>
      </c>
      <c r="N1147" s="17">
        <f t="shared" si="134"/>
        <v>2.4966036363636364</v>
      </c>
      <c r="O1147" s="17">
        <f t="shared" si="132"/>
        <v>2746.2640000000001</v>
      </c>
      <c r="P1147" s="18">
        <f t="shared" si="133"/>
        <v>247606.18313040002</v>
      </c>
      <c r="R1147" s="66"/>
      <c r="S1147" s="19"/>
      <c r="T1147" s="20"/>
      <c r="U1147" s="20"/>
      <c r="V1147" s="20"/>
      <c r="W1147" s="20"/>
      <c r="X1147" s="20"/>
      <c r="Y1147" s="20"/>
      <c r="Z1147" s="20"/>
      <c r="AA1147" s="20"/>
    </row>
    <row r="1148" spans="1:27" ht="12.75">
      <c r="A1148" s="54"/>
      <c r="B1148" s="10">
        <v>46043</v>
      </c>
      <c r="C1148" s="11">
        <f>VLOOKUP(B:B,'Курс валют'!A:D,4,0)</f>
        <v>91.195400000000006</v>
      </c>
      <c r="D1148" s="57" t="s">
        <v>1647</v>
      </c>
      <c r="E1148" s="50" t="s">
        <v>58</v>
      </c>
      <c r="F1148" s="58">
        <v>1100</v>
      </c>
      <c r="G1148" s="52">
        <v>1110.8599999999999</v>
      </c>
      <c r="H1148" s="49">
        <v>457.15</v>
      </c>
      <c r="I1148" s="13">
        <f t="shared" si="128"/>
        <v>10.8599999999999</v>
      </c>
      <c r="J1148" s="14">
        <f t="shared" si="129"/>
        <v>0.9872727272727182</v>
      </c>
      <c r="K1148" s="56">
        <v>3.76</v>
      </c>
      <c r="L1148" s="15">
        <f t="shared" si="130"/>
        <v>41.559090909090905</v>
      </c>
      <c r="M1148" s="16">
        <f t="shared" si="131"/>
        <v>227.6787672596364</v>
      </c>
      <c r="N1148" s="17">
        <f t="shared" si="134"/>
        <v>2.4966036363636364</v>
      </c>
      <c r="O1148" s="17">
        <f t="shared" si="132"/>
        <v>2746.2640000000001</v>
      </c>
      <c r="P1148" s="18">
        <f t="shared" si="133"/>
        <v>250446.64398560004</v>
      </c>
      <c r="R1148" s="65"/>
      <c r="S1148" s="19"/>
      <c r="T1148" s="20"/>
      <c r="U1148" s="20"/>
      <c r="V1148" s="20"/>
      <c r="W1148" s="20"/>
      <c r="X1148" s="20"/>
      <c r="Y1148" s="20"/>
      <c r="Z1148" s="20"/>
      <c r="AA1148" s="20"/>
    </row>
    <row r="1149" spans="1:27" ht="12.75">
      <c r="A1149" s="54"/>
      <c r="B1149" s="10">
        <v>46043</v>
      </c>
      <c r="C1149" s="11">
        <f>VLOOKUP(B:B,'Курс валют'!A:D,4,0)</f>
        <v>91.195400000000006</v>
      </c>
      <c r="D1149" s="57" t="s">
        <v>1648</v>
      </c>
      <c r="E1149" s="50" t="s">
        <v>58</v>
      </c>
      <c r="F1149" s="58">
        <v>1100</v>
      </c>
      <c r="G1149" s="52">
        <v>1110.8599999999999</v>
      </c>
      <c r="H1149" s="49">
        <v>457.15</v>
      </c>
      <c r="I1149" s="13">
        <f t="shared" si="128"/>
        <v>10.8599999999999</v>
      </c>
      <c r="J1149" s="14">
        <f t="shared" si="129"/>
        <v>0.9872727272727182</v>
      </c>
      <c r="K1149" s="56">
        <v>3.76</v>
      </c>
      <c r="L1149" s="15">
        <f t="shared" si="130"/>
        <v>41.559090909090905</v>
      </c>
      <c r="M1149" s="16">
        <f t="shared" si="131"/>
        <v>227.6787672596364</v>
      </c>
      <c r="N1149" s="17">
        <f t="shared" si="134"/>
        <v>2.4966036363636364</v>
      </c>
      <c r="O1149" s="17">
        <f t="shared" si="132"/>
        <v>2746.2640000000001</v>
      </c>
      <c r="P1149" s="18">
        <f t="shared" si="133"/>
        <v>250446.64398560004</v>
      </c>
      <c r="R1149" s="65"/>
      <c r="S1149" s="19"/>
      <c r="T1149" s="20"/>
      <c r="U1149" s="20"/>
      <c r="V1149" s="20"/>
      <c r="W1149" s="20"/>
      <c r="X1149" s="20"/>
      <c r="Y1149" s="20"/>
      <c r="Z1149" s="20"/>
      <c r="AA1149" s="20"/>
    </row>
    <row r="1150" spans="1:27" ht="12.75">
      <c r="A1150" s="54"/>
      <c r="B1150" s="10">
        <v>46043</v>
      </c>
      <c r="C1150" s="11">
        <f>VLOOKUP(B:B,'Курс валют'!A:D,4,0)</f>
        <v>91.195400000000006</v>
      </c>
      <c r="D1150" s="57" t="s">
        <v>1649</v>
      </c>
      <c r="E1150" s="50" t="s">
        <v>58</v>
      </c>
      <c r="F1150" s="58">
        <v>1100</v>
      </c>
      <c r="G1150" s="52">
        <v>1110.8599999999999</v>
      </c>
      <c r="H1150" s="49">
        <v>457.15</v>
      </c>
      <c r="I1150" s="13">
        <f t="shared" si="128"/>
        <v>10.8599999999999</v>
      </c>
      <c r="J1150" s="14">
        <f t="shared" si="129"/>
        <v>0.9872727272727182</v>
      </c>
      <c r="K1150" s="56">
        <v>3.76</v>
      </c>
      <c r="L1150" s="15">
        <f t="shared" si="130"/>
        <v>41.559090909090905</v>
      </c>
      <c r="M1150" s="16">
        <f t="shared" si="131"/>
        <v>227.6787672596364</v>
      </c>
      <c r="N1150" s="17">
        <f t="shared" si="134"/>
        <v>2.4966036363636364</v>
      </c>
      <c r="O1150" s="17">
        <f t="shared" si="132"/>
        <v>2746.2640000000001</v>
      </c>
      <c r="P1150" s="18">
        <f t="shared" si="133"/>
        <v>250446.64398560004</v>
      </c>
      <c r="R1150" s="65"/>
      <c r="S1150" s="19"/>
      <c r="T1150" s="20"/>
      <c r="U1150" s="20"/>
      <c r="V1150" s="20"/>
      <c r="W1150" s="20"/>
      <c r="X1150" s="20"/>
      <c r="Y1150" s="20"/>
      <c r="Z1150" s="20"/>
      <c r="AA1150" s="20"/>
    </row>
    <row r="1151" spans="1:27" ht="12.75">
      <c r="A1151" s="54"/>
      <c r="B1151" s="10">
        <v>46043</v>
      </c>
      <c r="C1151" s="11">
        <f>VLOOKUP(B:B,'Курс валют'!A:D,4,0)</f>
        <v>91.195400000000006</v>
      </c>
      <c r="D1151" s="57" t="s">
        <v>1650</v>
      </c>
      <c r="E1151" s="50" t="s">
        <v>58</v>
      </c>
      <c r="F1151" s="58">
        <v>1100</v>
      </c>
      <c r="G1151" s="52">
        <v>1110.8599999999999</v>
      </c>
      <c r="H1151" s="49">
        <v>457.15</v>
      </c>
      <c r="I1151" s="13">
        <f t="shared" si="128"/>
        <v>10.8599999999999</v>
      </c>
      <c r="J1151" s="14">
        <f t="shared" si="129"/>
        <v>0.9872727272727182</v>
      </c>
      <c r="K1151" s="56">
        <v>3.76</v>
      </c>
      <c r="L1151" s="15">
        <f t="shared" si="130"/>
        <v>41.559090909090905</v>
      </c>
      <c r="M1151" s="16">
        <f t="shared" si="131"/>
        <v>227.6787672596364</v>
      </c>
      <c r="N1151" s="17">
        <f t="shared" si="134"/>
        <v>2.4966036363636364</v>
      </c>
      <c r="O1151" s="17">
        <f t="shared" si="132"/>
        <v>2746.2640000000001</v>
      </c>
      <c r="P1151" s="18">
        <f t="shared" si="133"/>
        <v>250446.64398560004</v>
      </c>
      <c r="R1151" s="65"/>
      <c r="S1151" s="19"/>
      <c r="T1151" s="20"/>
      <c r="U1151" s="20"/>
      <c r="V1151" s="20"/>
      <c r="W1151" s="20"/>
      <c r="X1151" s="20"/>
      <c r="Y1151" s="20"/>
      <c r="Z1151" s="20"/>
      <c r="AA1151" s="20"/>
    </row>
    <row r="1152" spans="1:27" ht="12.75">
      <c r="A1152" s="54"/>
      <c r="B1152" s="10">
        <v>46043</v>
      </c>
      <c r="C1152" s="11">
        <f>VLOOKUP(B:B,'Курс валют'!A:D,4,0)</f>
        <v>91.195400000000006</v>
      </c>
      <c r="D1152" s="57" t="s">
        <v>1651</v>
      </c>
      <c r="E1152" s="50" t="s">
        <v>58</v>
      </c>
      <c r="F1152" s="58">
        <v>1100</v>
      </c>
      <c r="G1152" s="52">
        <v>1110.8599999999999</v>
      </c>
      <c r="H1152" s="56">
        <v>457.15</v>
      </c>
      <c r="I1152" s="13">
        <f t="shared" si="128"/>
        <v>10.8599999999999</v>
      </c>
      <c r="J1152" s="14">
        <f t="shared" si="129"/>
        <v>0.9872727272727182</v>
      </c>
      <c r="K1152" s="53">
        <v>3.76</v>
      </c>
      <c r="L1152" s="15">
        <f t="shared" si="130"/>
        <v>41.559090909090905</v>
      </c>
      <c r="M1152" s="16">
        <f t="shared" si="131"/>
        <v>227.6787672596364</v>
      </c>
      <c r="N1152" s="17">
        <f t="shared" si="134"/>
        <v>2.4966036363636364</v>
      </c>
      <c r="O1152" s="17">
        <f t="shared" si="132"/>
        <v>2746.2640000000001</v>
      </c>
      <c r="P1152" s="18">
        <f t="shared" si="133"/>
        <v>250446.64398560004</v>
      </c>
      <c r="R1152" s="65"/>
      <c r="S1152" s="19"/>
      <c r="T1152" s="20"/>
      <c r="U1152" s="20"/>
      <c r="V1152" s="20"/>
      <c r="W1152" s="20"/>
      <c r="X1152" s="20"/>
      <c r="Y1152" s="20"/>
      <c r="Z1152" s="20"/>
      <c r="AA1152" s="20"/>
    </row>
    <row r="1153" spans="1:27" ht="12.75">
      <c r="A1153" s="54"/>
      <c r="B1153" s="10">
        <v>46043</v>
      </c>
      <c r="C1153" s="11">
        <f>VLOOKUP(B:B,'Курс валют'!A:D,4,0)</f>
        <v>91.195400000000006</v>
      </c>
      <c r="D1153" s="57" t="s">
        <v>1652</v>
      </c>
      <c r="E1153" s="50" t="s">
        <v>58</v>
      </c>
      <c r="F1153" s="58">
        <v>1100</v>
      </c>
      <c r="G1153" s="52">
        <v>1110.8599999999999</v>
      </c>
      <c r="H1153" s="56">
        <v>457.15</v>
      </c>
      <c r="I1153" s="13">
        <f t="shared" si="128"/>
        <v>10.8599999999999</v>
      </c>
      <c r="J1153" s="14">
        <f t="shared" si="129"/>
        <v>0.9872727272727182</v>
      </c>
      <c r="K1153" s="53">
        <v>3.76</v>
      </c>
      <c r="L1153" s="15">
        <f t="shared" si="130"/>
        <v>41.559090909090905</v>
      </c>
      <c r="M1153" s="16">
        <f t="shared" si="131"/>
        <v>227.6787672596364</v>
      </c>
      <c r="N1153" s="17">
        <f t="shared" si="134"/>
        <v>2.4966036363636364</v>
      </c>
      <c r="O1153" s="17">
        <f t="shared" si="132"/>
        <v>2746.2640000000001</v>
      </c>
      <c r="P1153" s="18">
        <f t="shared" si="133"/>
        <v>250446.64398560004</v>
      </c>
      <c r="R1153" s="65"/>
      <c r="S1153" s="19"/>
      <c r="T1153" s="20"/>
      <c r="U1153" s="20"/>
      <c r="V1153" s="20"/>
      <c r="W1153" s="20"/>
      <c r="X1153" s="20"/>
      <c r="Y1153" s="20"/>
      <c r="Z1153" s="20"/>
      <c r="AA1153" s="20"/>
    </row>
    <row r="1154" spans="1:27" ht="12.75">
      <c r="A1154" s="54"/>
      <c r="B1154" s="10">
        <v>46043</v>
      </c>
      <c r="C1154" s="11">
        <f>VLOOKUP(B:B,'Курс валют'!A:D,4,0)</f>
        <v>91.195400000000006</v>
      </c>
      <c r="D1154" s="57" t="s">
        <v>1653</v>
      </c>
      <c r="E1154" s="50" t="s">
        <v>58</v>
      </c>
      <c r="F1154" s="58">
        <v>1100</v>
      </c>
      <c r="G1154" s="52">
        <v>1110.8599999999999</v>
      </c>
      <c r="H1154" s="56">
        <v>182.15</v>
      </c>
      <c r="I1154" s="13">
        <f t="shared" si="128"/>
        <v>10.8599999999999</v>
      </c>
      <c r="J1154" s="14">
        <f t="shared" si="129"/>
        <v>0.9872727272727182</v>
      </c>
      <c r="K1154" s="56">
        <v>3.02</v>
      </c>
      <c r="L1154" s="15">
        <f t="shared" si="130"/>
        <v>16.559090909090909</v>
      </c>
      <c r="M1154" s="16">
        <f t="shared" si="131"/>
        <v>229.50267525963639</v>
      </c>
      <c r="N1154" s="17">
        <f t="shared" si="134"/>
        <v>2.5166036363636364</v>
      </c>
      <c r="O1154" s="17">
        <f t="shared" si="132"/>
        <v>2768.2640000000001</v>
      </c>
      <c r="P1154" s="18">
        <f t="shared" si="133"/>
        <v>252452.94278560003</v>
      </c>
      <c r="R1154" s="66"/>
      <c r="S1154" s="20"/>
      <c r="T1154" s="20"/>
      <c r="U1154" s="20"/>
      <c r="V1154" s="20"/>
      <c r="W1154" s="20"/>
      <c r="X1154" s="20"/>
      <c r="Y1154" s="20"/>
      <c r="Z1154" s="20"/>
      <c r="AA1154" s="20"/>
    </row>
    <row r="1155" spans="1:27" ht="12.75">
      <c r="A1155" s="54"/>
      <c r="B1155" s="10">
        <v>46043</v>
      </c>
      <c r="C1155" s="11">
        <f>VLOOKUP(B:B,'Курс валют'!A:D,4,0)</f>
        <v>91.195400000000006</v>
      </c>
      <c r="D1155" s="57" t="s">
        <v>1654</v>
      </c>
      <c r="E1155" s="50" t="s">
        <v>58</v>
      </c>
      <c r="F1155" s="58">
        <v>1100</v>
      </c>
      <c r="G1155" s="52">
        <v>1110.8599999999999</v>
      </c>
      <c r="H1155" s="56">
        <v>457.15</v>
      </c>
      <c r="I1155" s="13">
        <f t="shared" si="128"/>
        <v>10.8599999999999</v>
      </c>
      <c r="J1155" s="14">
        <f t="shared" si="129"/>
        <v>0.9872727272727182</v>
      </c>
      <c r="K1155" s="56">
        <v>3.76</v>
      </c>
      <c r="L1155" s="15">
        <f t="shared" si="130"/>
        <v>41.559090909090905</v>
      </c>
      <c r="M1155" s="16">
        <f t="shared" si="131"/>
        <v>227.6787672596364</v>
      </c>
      <c r="N1155" s="17">
        <f t="shared" si="134"/>
        <v>2.4966036363636364</v>
      </c>
      <c r="O1155" s="17">
        <f t="shared" si="132"/>
        <v>2746.2640000000001</v>
      </c>
      <c r="P1155" s="18">
        <f t="shared" si="133"/>
        <v>250446.64398560004</v>
      </c>
      <c r="R1155" s="66"/>
      <c r="S1155" s="20"/>
      <c r="T1155" s="20"/>
      <c r="U1155" s="20"/>
      <c r="V1155" s="20"/>
      <c r="W1155" s="20"/>
      <c r="X1155" s="20"/>
      <c r="Y1155" s="20"/>
      <c r="Z1155" s="20"/>
      <c r="AA1155" s="20"/>
    </row>
    <row r="1156" spans="1:27" ht="12.75">
      <c r="A1156" s="54"/>
      <c r="B1156" s="10">
        <v>46044</v>
      </c>
      <c r="C1156" s="11">
        <f>VLOOKUP(B:B,'Курс валют'!A:D,4,0)</f>
        <v>90.721100000000007</v>
      </c>
      <c r="D1156" s="57" t="s">
        <v>1655</v>
      </c>
      <c r="E1156" s="50" t="s">
        <v>61</v>
      </c>
      <c r="F1156" s="58">
        <v>2200</v>
      </c>
      <c r="G1156" s="52">
        <v>2252.8200000000002</v>
      </c>
      <c r="H1156" s="22">
        <v>0</v>
      </c>
      <c r="I1156" s="13">
        <f t="shared" si="128"/>
        <v>52.820000000000164</v>
      </c>
      <c r="J1156" s="14">
        <f t="shared" si="129"/>
        <v>2.4009090909090984</v>
      </c>
      <c r="K1156" s="56">
        <v>2.4900000000000002</v>
      </c>
      <c r="L1156" s="15">
        <f t="shared" si="130"/>
        <v>0</v>
      </c>
      <c r="M1156" s="16">
        <f t="shared" si="131"/>
        <v>225.89553900000004</v>
      </c>
      <c r="N1156" s="17">
        <f t="shared" si="134"/>
        <v>2.4900000000000002</v>
      </c>
      <c r="O1156" s="17">
        <f t="shared" si="132"/>
        <v>5478.0000000000009</v>
      </c>
      <c r="P1156" s="18">
        <f t="shared" si="133"/>
        <v>496970.18580000009</v>
      </c>
      <c r="R1156" s="65"/>
      <c r="S1156" s="20"/>
      <c r="T1156" s="20"/>
      <c r="U1156" s="20"/>
      <c r="V1156" s="20"/>
      <c r="W1156" s="20"/>
      <c r="X1156" s="20"/>
      <c r="Y1156" s="20"/>
      <c r="Z1156" s="20"/>
      <c r="AA1156" s="20"/>
    </row>
    <row r="1157" spans="1:27" ht="12.75">
      <c r="A1157" s="54"/>
      <c r="B1157" s="10">
        <v>46045</v>
      </c>
      <c r="C1157" s="11">
        <f>VLOOKUP(B:B,'Курс валют'!A:D,4,0)</f>
        <v>88.7898</v>
      </c>
      <c r="D1157" s="57" t="s">
        <v>1656</v>
      </c>
      <c r="E1157" s="50" t="s">
        <v>61</v>
      </c>
      <c r="F1157" s="58">
        <v>2200</v>
      </c>
      <c r="G1157" s="52">
        <v>2253.92</v>
      </c>
      <c r="H1157" s="22">
        <v>0</v>
      </c>
      <c r="I1157" s="13">
        <f t="shared" si="128"/>
        <v>53.920000000000073</v>
      </c>
      <c r="J1157" s="14">
        <f t="shared" si="129"/>
        <v>2.4509090909090943</v>
      </c>
      <c r="K1157" s="56">
        <v>2.4900000000000002</v>
      </c>
      <c r="L1157" s="15">
        <f t="shared" si="130"/>
        <v>0</v>
      </c>
      <c r="M1157" s="16">
        <f t="shared" si="131"/>
        <v>221.08660200000003</v>
      </c>
      <c r="N1157" s="17">
        <f t="shared" si="134"/>
        <v>2.4900000000000002</v>
      </c>
      <c r="O1157" s="17">
        <f t="shared" si="132"/>
        <v>5478.0000000000009</v>
      </c>
      <c r="P1157" s="18">
        <f t="shared" si="133"/>
        <v>486390.52440000005</v>
      </c>
      <c r="R1157" s="65"/>
      <c r="S1157" s="20"/>
      <c r="T1157" s="20"/>
      <c r="U1157" s="20"/>
      <c r="V1157" s="20"/>
      <c r="W1157" s="20"/>
      <c r="X1157" s="20"/>
      <c r="Y1157" s="20"/>
      <c r="Z1157" s="20"/>
      <c r="AA1157" s="20"/>
    </row>
    <row r="1158" spans="1:27" ht="12.75">
      <c r="A1158" s="54"/>
      <c r="B1158" s="10">
        <v>46046</v>
      </c>
      <c r="C1158" s="11">
        <f>VLOOKUP(B:B,'Курс валют'!A:D,4,0)</f>
        <v>89.058899999999994</v>
      </c>
      <c r="D1158" s="57" t="s">
        <v>1657</v>
      </c>
      <c r="E1158" s="50" t="s">
        <v>61</v>
      </c>
      <c r="F1158" s="58">
        <v>2200</v>
      </c>
      <c r="G1158" s="52">
        <v>2258.2199999999998</v>
      </c>
      <c r="H1158" s="56">
        <v>0</v>
      </c>
      <c r="I1158" s="13">
        <f t="shared" si="128"/>
        <v>58.2199999999998</v>
      </c>
      <c r="J1158" s="14">
        <f t="shared" si="129"/>
        <v>2.6463636363636271</v>
      </c>
      <c r="K1158" s="56">
        <v>2.5</v>
      </c>
      <c r="L1158" s="15">
        <f t="shared" si="130"/>
        <v>0</v>
      </c>
      <c r="M1158" s="16">
        <f t="shared" si="131"/>
        <v>222.64724999999999</v>
      </c>
      <c r="N1158" s="17">
        <f t="shared" si="134"/>
        <v>2.5</v>
      </c>
      <c r="O1158" s="17">
        <f t="shared" si="132"/>
        <v>5500</v>
      </c>
      <c r="P1158" s="18">
        <f t="shared" si="133"/>
        <v>489823.94999999995</v>
      </c>
      <c r="R1158" s="66"/>
      <c r="S1158" s="19"/>
      <c r="T1158" s="20"/>
      <c r="U1158" s="20"/>
      <c r="V1158" s="20"/>
      <c r="W1158" s="20"/>
      <c r="X1158" s="20"/>
      <c r="Y1158" s="20"/>
      <c r="Z1158" s="20"/>
      <c r="AA1158" s="20"/>
    </row>
    <row r="1159" spans="1:27" ht="12.75">
      <c r="A1159" s="54"/>
      <c r="B1159" s="10">
        <v>46047</v>
      </c>
      <c r="C1159" s="11">
        <f>VLOOKUP(B:B,'Курс валют'!A:D,4,0)</f>
        <v>89.058899999999994</v>
      </c>
      <c r="D1159" s="57" t="s">
        <v>1658</v>
      </c>
      <c r="E1159" s="50" t="s">
        <v>79</v>
      </c>
      <c r="F1159" s="58">
        <v>1600</v>
      </c>
      <c r="G1159" s="52">
        <v>1600</v>
      </c>
      <c r="H1159" s="22">
        <v>0</v>
      </c>
      <c r="I1159" s="13">
        <f t="shared" si="128"/>
        <v>0</v>
      </c>
      <c r="J1159" s="14">
        <f t="shared" si="129"/>
        <v>0</v>
      </c>
      <c r="K1159" s="56">
        <v>2.69</v>
      </c>
      <c r="L1159" s="15">
        <f t="shared" si="130"/>
        <v>0</v>
      </c>
      <c r="M1159" s="16">
        <f t="shared" si="131"/>
        <v>239.56844099999998</v>
      </c>
      <c r="N1159" s="17">
        <f t="shared" si="134"/>
        <v>2.69</v>
      </c>
      <c r="O1159" s="17">
        <f t="shared" si="132"/>
        <v>4304</v>
      </c>
      <c r="P1159" s="18">
        <f t="shared" si="133"/>
        <v>383309.50559999997</v>
      </c>
      <c r="R1159" s="66" t="s">
        <v>1659</v>
      </c>
      <c r="S1159" s="19"/>
      <c r="T1159" s="20"/>
      <c r="U1159" s="20"/>
      <c r="V1159" s="20"/>
      <c r="W1159" s="20"/>
      <c r="X1159" s="20"/>
      <c r="Y1159" s="20"/>
      <c r="Z1159" s="20"/>
      <c r="AA1159" s="20"/>
    </row>
    <row r="1160" spans="1:27" ht="12.75">
      <c r="A1160" s="54"/>
      <c r="B1160" s="10">
        <v>46048</v>
      </c>
      <c r="C1160" s="11">
        <f>VLOOKUP(B:B,'Курс валют'!A:D,4,0)</f>
        <v>89.058899999999994</v>
      </c>
      <c r="D1160" s="57" t="s">
        <v>1660</v>
      </c>
      <c r="E1160" s="50" t="s">
        <v>103</v>
      </c>
      <c r="F1160" s="58">
        <v>800</v>
      </c>
      <c r="G1160" s="52">
        <v>804.5</v>
      </c>
      <c r="H1160" s="56">
        <v>76.5</v>
      </c>
      <c r="I1160" s="13">
        <f t="shared" si="128"/>
        <v>4.5</v>
      </c>
      <c r="J1160" s="14">
        <f t="shared" si="129"/>
        <v>0.5625</v>
      </c>
      <c r="K1160" s="56">
        <v>2.17</v>
      </c>
      <c r="L1160" s="15">
        <f t="shared" si="130"/>
        <v>9.5625</v>
      </c>
      <c r="M1160" s="16">
        <f t="shared" si="131"/>
        <v>167.36839077000002</v>
      </c>
      <c r="N1160" s="17">
        <f t="shared" si="134"/>
        <v>1.8793</v>
      </c>
      <c r="O1160" s="17">
        <f t="shared" si="132"/>
        <v>1503.44</v>
      </c>
      <c r="P1160" s="18">
        <f t="shared" si="133"/>
        <v>133894.712616</v>
      </c>
      <c r="R1160" s="66"/>
      <c r="S1160" s="19"/>
      <c r="T1160" s="20"/>
      <c r="U1160" s="20"/>
      <c r="V1160" s="20"/>
      <c r="W1160" s="20"/>
      <c r="X1160" s="20"/>
      <c r="Y1160" s="20"/>
      <c r="Z1160" s="20"/>
      <c r="AA1160" s="20"/>
    </row>
    <row r="1161" spans="1:27" ht="12.75">
      <c r="A1161" s="54"/>
      <c r="B1161" s="10">
        <v>46048</v>
      </c>
      <c r="C1161" s="11">
        <f>VLOOKUP(B:B,'Курс валют'!A:D,4,0)</f>
        <v>89.058899999999994</v>
      </c>
      <c r="D1161" s="57" t="s">
        <v>1661</v>
      </c>
      <c r="E1161" s="50" t="s">
        <v>103</v>
      </c>
      <c r="F1161" s="58">
        <v>800</v>
      </c>
      <c r="G1161" s="52">
        <v>804.5</v>
      </c>
      <c r="H1161" s="56">
        <v>76.5</v>
      </c>
      <c r="I1161" s="13">
        <f t="shared" si="128"/>
        <v>4.5</v>
      </c>
      <c r="J1161" s="14">
        <f t="shared" si="129"/>
        <v>0.5625</v>
      </c>
      <c r="K1161" s="56">
        <v>2.16</v>
      </c>
      <c r="L1161" s="15">
        <f t="shared" si="130"/>
        <v>9.5625</v>
      </c>
      <c r="M1161" s="16">
        <f t="shared" si="131"/>
        <v>166.47780177000001</v>
      </c>
      <c r="N1161" s="17">
        <f t="shared" si="134"/>
        <v>1.8693</v>
      </c>
      <c r="O1161" s="17">
        <f t="shared" si="132"/>
        <v>1495.44</v>
      </c>
      <c r="P1161" s="18">
        <f t="shared" si="133"/>
        <v>133182.241416</v>
      </c>
      <c r="R1161" s="66"/>
      <c r="S1161" s="20"/>
      <c r="T1161" s="20"/>
      <c r="U1161" s="20"/>
      <c r="V1161" s="20"/>
      <c r="W1161" s="20"/>
      <c r="X1161" s="20"/>
      <c r="Y1161" s="20"/>
      <c r="Z1161" s="20"/>
      <c r="AA1161" s="20"/>
    </row>
    <row r="1162" spans="1:27" ht="12.75">
      <c r="A1162" s="54"/>
      <c r="B1162" s="10">
        <v>46048</v>
      </c>
      <c r="C1162" s="11">
        <f>VLOOKUP(B:B,'Курс валют'!A:D,4,0)</f>
        <v>89.058899999999994</v>
      </c>
      <c r="D1162" s="57" t="s">
        <v>1662</v>
      </c>
      <c r="E1162" s="50" t="s">
        <v>103</v>
      </c>
      <c r="F1162" s="58">
        <v>800</v>
      </c>
      <c r="G1162" s="52">
        <v>804.5</v>
      </c>
      <c r="H1162" s="56">
        <v>76.5</v>
      </c>
      <c r="I1162" s="13">
        <f t="shared" si="128"/>
        <v>4.5</v>
      </c>
      <c r="J1162" s="14">
        <f t="shared" si="129"/>
        <v>0.5625</v>
      </c>
      <c r="K1162" s="56">
        <v>2.16</v>
      </c>
      <c r="L1162" s="15">
        <f t="shared" si="130"/>
        <v>9.5625</v>
      </c>
      <c r="M1162" s="16">
        <f t="shared" si="131"/>
        <v>166.47780177000001</v>
      </c>
      <c r="N1162" s="17">
        <f t="shared" si="134"/>
        <v>1.8693</v>
      </c>
      <c r="O1162" s="17">
        <f t="shared" si="132"/>
        <v>1495.44</v>
      </c>
      <c r="P1162" s="18">
        <f t="shared" si="133"/>
        <v>133182.241416</v>
      </c>
      <c r="R1162" s="66"/>
      <c r="S1162" s="20"/>
      <c r="T1162" s="20"/>
      <c r="U1162" s="20"/>
      <c r="V1162" s="20"/>
      <c r="W1162" s="20"/>
      <c r="X1162" s="20"/>
      <c r="Y1162" s="20"/>
      <c r="Z1162" s="20"/>
      <c r="AA1162" s="20"/>
    </row>
    <row r="1163" spans="1:27" ht="12.75">
      <c r="A1163" s="54"/>
      <c r="B1163" s="10">
        <v>46048</v>
      </c>
      <c r="C1163" s="11">
        <f>VLOOKUP(B:B,'Курс валют'!A:D,4,0)</f>
        <v>89.058899999999994</v>
      </c>
      <c r="D1163" s="57" t="s">
        <v>1663</v>
      </c>
      <c r="E1163" s="50" t="s">
        <v>103</v>
      </c>
      <c r="F1163" s="58">
        <v>800</v>
      </c>
      <c r="G1163" s="52">
        <v>804.5</v>
      </c>
      <c r="H1163" s="56">
        <v>76.5</v>
      </c>
      <c r="I1163" s="13">
        <f t="shared" si="128"/>
        <v>4.5</v>
      </c>
      <c r="J1163" s="14">
        <f t="shared" si="129"/>
        <v>0.5625</v>
      </c>
      <c r="K1163" s="56">
        <v>2.16</v>
      </c>
      <c r="L1163" s="15">
        <f t="shared" si="130"/>
        <v>9.5625</v>
      </c>
      <c r="M1163" s="16">
        <f t="shared" si="131"/>
        <v>166.47780177000001</v>
      </c>
      <c r="N1163" s="17">
        <f t="shared" si="134"/>
        <v>1.8693</v>
      </c>
      <c r="O1163" s="17">
        <f t="shared" si="132"/>
        <v>1495.44</v>
      </c>
      <c r="P1163" s="18">
        <f t="shared" si="133"/>
        <v>133182.241416</v>
      </c>
      <c r="R1163" s="66"/>
      <c r="S1163" s="20"/>
      <c r="T1163" s="20"/>
      <c r="U1163" s="20"/>
      <c r="V1163" s="20"/>
      <c r="W1163" s="20"/>
      <c r="X1163" s="20"/>
      <c r="Y1163" s="20"/>
      <c r="Z1163" s="20"/>
      <c r="AA1163" s="20"/>
    </row>
    <row r="1164" spans="1:27" ht="12.75">
      <c r="A1164" s="54"/>
      <c r="B1164" s="10">
        <v>46048</v>
      </c>
      <c r="C1164" s="11">
        <f>VLOOKUP(B:B,'Курс валют'!A:D,4,0)</f>
        <v>89.058899999999994</v>
      </c>
      <c r="D1164" s="57" t="s">
        <v>1664</v>
      </c>
      <c r="E1164" s="50" t="s">
        <v>103</v>
      </c>
      <c r="F1164" s="58">
        <v>800</v>
      </c>
      <c r="G1164" s="52">
        <v>804.5</v>
      </c>
      <c r="H1164" s="56">
        <v>76.5</v>
      </c>
      <c r="I1164" s="13">
        <f t="shared" si="128"/>
        <v>4.5</v>
      </c>
      <c r="J1164" s="14">
        <f t="shared" si="129"/>
        <v>0.5625</v>
      </c>
      <c r="K1164" s="56">
        <v>2.16</v>
      </c>
      <c r="L1164" s="15">
        <f t="shared" si="130"/>
        <v>9.5625</v>
      </c>
      <c r="M1164" s="16">
        <f t="shared" si="131"/>
        <v>166.47780177000001</v>
      </c>
      <c r="N1164" s="17">
        <f t="shared" si="134"/>
        <v>1.8693</v>
      </c>
      <c r="O1164" s="17">
        <f t="shared" si="132"/>
        <v>1495.44</v>
      </c>
      <c r="P1164" s="18">
        <f t="shared" si="133"/>
        <v>133182.241416</v>
      </c>
      <c r="R1164" s="66"/>
      <c r="S1164" s="20"/>
      <c r="T1164" s="20"/>
      <c r="U1164" s="20"/>
      <c r="V1164" s="20"/>
      <c r="W1164" s="20"/>
      <c r="X1164" s="20"/>
      <c r="Y1164" s="20"/>
      <c r="Z1164" s="20"/>
      <c r="AA1164" s="20"/>
    </row>
    <row r="1165" spans="1:27" ht="12.75">
      <c r="A1165" s="54"/>
      <c r="B1165" s="10">
        <v>46048</v>
      </c>
      <c r="C1165" s="11">
        <f>VLOOKUP(B:B,'Курс валют'!A:D,4,0)</f>
        <v>89.058899999999994</v>
      </c>
      <c r="D1165" s="57" t="s">
        <v>1665</v>
      </c>
      <c r="E1165" s="55" t="s">
        <v>89</v>
      </c>
      <c r="F1165" s="58">
        <v>1000</v>
      </c>
      <c r="G1165" s="13">
        <v>1000</v>
      </c>
      <c r="H1165" s="56">
        <v>0</v>
      </c>
      <c r="I1165" s="13">
        <f t="shared" si="128"/>
        <v>0</v>
      </c>
      <c r="J1165" s="14">
        <f t="shared" si="129"/>
        <v>0</v>
      </c>
      <c r="K1165" s="56">
        <v>2.96</v>
      </c>
      <c r="L1165" s="15">
        <f t="shared" si="130"/>
        <v>0</v>
      </c>
      <c r="M1165" s="16">
        <f t="shared" si="131"/>
        <v>263.61434399999996</v>
      </c>
      <c r="N1165" s="17">
        <f t="shared" si="134"/>
        <v>2.96</v>
      </c>
      <c r="O1165" s="17">
        <f t="shared" si="132"/>
        <v>2960</v>
      </c>
      <c r="P1165" s="18">
        <f t="shared" si="133"/>
        <v>263614.34399999998</v>
      </c>
      <c r="R1165" s="66" t="s">
        <v>1666</v>
      </c>
      <c r="S1165" s="20"/>
      <c r="T1165" s="20"/>
      <c r="U1165" s="20"/>
      <c r="V1165" s="20"/>
      <c r="W1165" s="20"/>
      <c r="X1165" s="20"/>
      <c r="Y1165" s="20"/>
      <c r="Z1165" s="20"/>
      <c r="AA1165" s="20"/>
    </row>
    <row r="1166" spans="1:27" ht="12.75">
      <c r="A1166" s="54"/>
      <c r="B1166" s="10">
        <v>46048</v>
      </c>
      <c r="C1166" s="11">
        <f>VLOOKUP(B:B,'Курс валют'!A:D,4,0)</f>
        <v>89.058899999999994</v>
      </c>
      <c r="D1166" s="57" t="s">
        <v>1667</v>
      </c>
      <c r="E1166" s="55" t="s">
        <v>103</v>
      </c>
      <c r="F1166" s="58">
        <v>800</v>
      </c>
      <c r="G1166" s="13">
        <v>804.5</v>
      </c>
      <c r="H1166" s="56">
        <v>76.5</v>
      </c>
      <c r="I1166" s="13">
        <f t="shared" si="128"/>
        <v>4.5</v>
      </c>
      <c r="J1166" s="14">
        <f t="shared" si="129"/>
        <v>0.5625</v>
      </c>
      <c r="K1166" s="56">
        <v>2.16</v>
      </c>
      <c r="L1166" s="15">
        <f t="shared" si="130"/>
        <v>9.5625</v>
      </c>
      <c r="M1166" s="16">
        <f t="shared" si="131"/>
        <v>166.47780177000001</v>
      </c>
      <c r="N1166" s="17">
        <f t="shared" si="134"/>
        <v>1.8693</v>
      </c>
      <c r="O1166" s="17">
        <f t="shared" si="132"/>
        <v>1495.44</v>
      </c>
      <c r="P1166" s="18">
        <f t="shared" si="133"/>
        <v>133182.241416</v>
      </c>
      <c r="R1166" s="66"/>
      <c r="S1166" s="20"/>
      <c r="T1166" s="20"/>
      <c r="U1166" s="20"/>
      <c r="V1166" s="20"/>
      <c r="W1166" s="20"/>
      <c r="X1166" s="20"/>
      <c r="Y1166" s="20"/>
      <c r="Z1166" s="20"/>
      <c r="AA1166" s="20"/>
    </row>
    <row r="1167" spans="1:27" ht="12.75">
      <c r="A1167" s="54"/>
      <c r="B1167" s="10">
        <v>46048</v>
      </c>
      <c r="C1167" s="11">
        <f>VLOOKUP(B:B,'Курс валют'!A:D,4,0)</f>
        <v>89.058899999999994</v>
      </c>
      <c r="D1167" s="57" t="s">
        <v>1668</v>
      </c>
      <c r="E1167" s="55" t="s">
        <v>103</v>
      </c>
      <c r="F1167" s="58">
        <v>800</v>
      </c>
      <c r="G1167" s="13">
        <v>804.5</v>
      </c>
      <c r="H1167" s="56">
        <v>76.5</v>
      </c>
      <c r="I1167" s="13">
        <f t="shared" si="128"/>
        <v>4.5</v>
      </c>
      <c r="J1167" s="14">
        <f t="shared" si="129"/>
        <v>0.5625</v>
      </c>
      <c r="K1167" s="56">
        <v>2.16</v>
      </c>
      <c r="L1167" s="15">
        <f t="shared" si="130"/>
        <v>9.5625</v>
      </c>
      <c r="M1167" s="16">
        <f t="shared" si="131"/>
        <v>166.47780177000001</v>
      </c>
      <c r="N1167" s="17">
        <f t="shared" si="134"/>
        <v>1.8693</v>
      </c>
      <c r="O1167" s="17">
        <f t="shared" si="132"/>
        <v>1495.44</v>
      </c>
      <c r="P1167" s="18">
        <f t="shared" si="133"/>
        <v>133182.241416</v>
      </c>
      <c r="R1167" s="66"/>
      <c r="S1167" s="20"/>
      <c r="T1167" s="20"/>
      <c r="U1167" s="20"/>
      <c r="V1167" s="20"/>
      <c r="W1167" s="20"/>
      <c r="X1167" s="20"/>
      <c r="Y1167" s="20"/>
      <c r="Z1167" s="20"/>
      <c r="AA1167" s="20"/>
    </row>
    <row r="1168" spans="1:27" ht="12.75">
      <c r="A1168" s="54"/>
      <c r="B1168" s="10">
        <v>46048</v>
      </c>
      <c r="C1168" s="11">
        <f>VLOOKUP(B:B,'Курс валют'!A:D,4,0)</f>
        <v>89.058899999999994</v>
      </c>
      <c r="D1168" s="57" t="s">
        <v>1669</v>
      </c>
      <c r="E1168" s="55" t="s">
        <v>103</v>
      </c>
      <c r="F1168" s="58">
        <v>800</v>
      </c>
      <c r="G1168" s="13">
        <v>804.5</v>
      </c>
      <c r="H1168" s="56">
        <v>76.5</v>
      </c>
      <c r="I1168" s="13">
        <f t="shared" si="128"/>
        <v>4.5</v>
      </c>
      <c r="J1168" s="14">
        <f t="shared" si="129"/>
        <v>0.5625</v>
      </c>
      <c r="K1168" s="56">
        <v>2.16</v>
      </c>
      <c r="L1168" s="15">
        <f t="shared" si="130"/>
        <v>9.5625</v>
      </c>
      <c r="M1168" s="16">
        <f t="shared" si="131"/>
        <v>166.47780177000001</v>
      </c>
      <c r="N1168" s="17">
        <f t="shared" si="134"/>
        <v>1.8693</v>
      </c>
      <c r="O1168" s="17">
        <f t="shared" si="132"/>
        <v>1495.44</v>
      </c>
      <c r="P1168" s="18">
        <f t="shared" si="133"/>
        <v>133182.241416</v>
      </c>
      <c r="R1168" s="66"/>
      <c r="S1168" s="20"/>
      <c r="T1168" s="20"/>
      <c r="U1168" s="20"/>
      <c r="V1168" s="20"/>
      <c r="W1168" s="20"/>
      <c r="X1168" s="20"/>
      <c r="Y1168" s="20"/>
      <c r="Z1168" s="20"/>
      <c r="AA1168" s="20"/>
    </row>
    <row r="1169" spans="1:27" ht="12.75">
      <c r="A1169" s="54"/>
      <c r="B1169" s="10">
        <v>46048</v>
      </c>
      <c r="C1169" s="11">
        <f>VLOOKUP(B:B,'Курс валют'!A:D,4,0)</f>
        <v>89.058899999999994</v>
      </c>
      <c r="D1169" s="57" t="s">
        <v>1670</v>
      </c>
      <c r="E1169" s="55" t="s">
        <v>1092</v>
      </c>
      <c r="F1169" s="58">
        <v>600</v>
      </c>
      <c r="G1169" s="13">
        <v>600</v>
      </c>
      <c r="H1169" s="56">
        <v>0</v>
      </c>
      <c r="I1169" s="13">
        <f t="shared" si="128"/>
        <v>0</v>
      </c>
      <c r="J1169" s="14">
        <f t="shared" si="129"/>
        <v>0</v>
      </c>
      <c r="K1169" s="56">
        <v>2.98</v>
      </c>
      <c r="L1169" s="15">
        <f t="shared" si="130"/>
        <v>0</v>
      </c>
      <c r="M1169" s="16">
        <f t="shared" si="131"/>
        <v>265.39552199999997</v>
      </c>
      <c r="N1169" s="17">
        <f t="shared" si="134"/>
        <v>2.98</v>
      </c>
      <c r="O1169" s="17">
        <f t="shared" si="132"/>
        <v>1788</v>
      </c>
      <c r="P1169" s="18">
        <f t="shared" si="133"/>
        <v>159237.31319999998</v>
      </c>
      <c r="R1169" s="66" t="s">
        <v>1671</v>
      </c>
      <c r="S1169" s="20"/>
      <c r="T1169" s="20"/>
      <c r="U1169" s="20"/>
      <c r="V1169" s="20"/>
      <c r="W1169" s="20"/>
      <c r="X1169" s="20"/>
      <c r="Y1169" s="20"/>
      <c r="Z1169" s="20"/>
      <c r="AA1169" s="20"/>
    </row>
    <row r="1170" spans="1:27" ht="12.75">
      <c r="A1170" s="54"/>
      <c r="B1170" s="10">
        <v>46048</v>
      </c>
      <c r="C1170" s="11">
        <f>VLOOKUP(B:B,'Курс валют'!A:D,4,0)</f>
        <v>89.058899999999994</v>
      </c>
      <c r="D1170" s="57" t="s">
        <v>1672</v>
      </c>
      <c r="E1170" s="55" t="s">
        <v>103</v>
      </c>
      <c r="F1170" s="58">
        <v>800</v>
      </c>
      <c r="G1170" s="13">
        <v>804.5</v>
      </c>
      <c r="H1170" s="56">
        <v>76.5</v>
      </c>
      <c r="I1170" s="13">
        <f t="shared" si="128"/>
        <v>4.5</v>
      </c>
      <c r="J1170" s="14">
        <f t="shared" si="129"/>
        <v>0.5625</v>
      </c>
      <c r="K1170" s="56">
        <v>2.16</v>
      </c>
      <c r="L1170" s="15">
        <f t="shared" si="130"/>
        <v>9.5625</v>
      </c>
      <c r="M1170" s="16">
        <f t="shared" si="131"/>
        <v>166.47780177000001</v>
      </c>
      <c r="N1170" s="17">
        <f t="shared" si="134"/>
        <v>1.8693</v>
      </c>
      <c r="O1170" s="17">
        <f t="shared" si="132"/>
        <v>1495.44</v>
      </c>
      <c r="P1170" s="18">
        <f t="shared" si="133"/>
        <v>133182.241416</v>
      </c>
      <c r="R1170" s="66"/>
      <c r="S1170" s="20"/>
      <c r="T1170" s="20"/>
      <c r="U1170" s="20"/>
      <c r="V1170" s="20"/>
      <c r="W1170" s="20"/>
      <c r="X1170" s="20"/>
      <c r="Y1170" s="20"/>
      <c r="Z1170" s="20"/>
      <c r="AA1170" s="20"/>
    </row>
    <row r="1171" spans="1:27" ht="12.75">
      <c r="A1171" s="54"/>
      <c r="B1171" s="10">
        <v>46048</v>
      </c>
      <c r="C1171" s="11">
        <f>VLOOKUP(B:B,'Курс валют'!A:D,4,0)</f>
        <v>89.058899999999994</v>
      </c>
      <c r="D1171" s="57" t="s">
        <v>1673</v>
      </c>
      <c r="E1171" s="55" t="s">
        <v>103</v>
      </c>
      <c r="F1171" s="58">
        <v>800</v>
      </c>
      <c r="G1171" s="13">
        <v>804.5</v>
      </c>
      <c r="H1171" s="56">
        <v>76.5</v>
      </c>
      <c r="I1171" s="13">
        <f t="shared" si="128"/>
        <v>4.5</v>
      </c>
      <c r="J1171" s="14">
        <f t="shared" si="129"/>
        <v>0.5625</v>
      </c>
      <c r="K1171" s="56">
        <v>2.16</v>
      </c>
      <c r="L1171" s="15">
        <f t="shared" si="130"/>
        <v>9.5625</v>
      </c>
      <c r="M1171" s="16">
        <f t="shared" si="131"/>
        <v>166.47780177000001</v>
      </c>
      <c r="N1171" s="17">
        <f t="shared" si="134"/>
        <v>1.8693</v>
      </c>
      <c r="O1171" s="17">
        <f t="shared" si="132"/>
        <v>1495.44</v>
      </c>
      <c r="P1171" s="18">
        <f t="shared" si="133"/>
        <v>133182.241416</v>
      </c>
      <c r="R1171" s="66"/>
      <c r="S1171" s="20"/>
      <c r="T1171" s="20"/>
      <c r="U1171" s="20"/>
      <c r="V1171" s="20"/>
      <c r="W1171" s="20"/>
      <c r="X1171" s="20"/>
      <c r="Y1171" s="20"/>
      <c r="Z1171" s="20"/>
      <c r="AA1171" s="20"/>
    </row>
    <row r="1172" spans="1:27" ht="12.75">
      <c r="A1172" s="54"/>
      <c r="B1172" s="10">
        <v>46049</v>
      </c>
      <c r="C1172" s="11">
        <f>VLOOKUP(B:B,'Курс валют'!A:D,4,0)</f>
        <v>90.287700000000001</v>
      </c>
      <c r="D1172" s="57" t="s">
        <v>1674</v>
      </c>
      <c r="E1172" s="55" t="s">
        <v>50</v>
      </c>
      <c r="F1172" s="58">
        <v>800</v>
      </c>
      <c r="G1172" s="13">
        <v>803.96</v>
      </c>
      <c r="H1172" s="56">
        <v>0</v>
      </c>
      <c r="I1172" s="13">
        <f t="shared" si="128"/>
        <v>3.9600000000000364</v>
      </c>
      <c r="J1172" s="14">
        <f t="shared" si="129"/>
        <v>0.49500000000000455</v>
      </c>
      <c r="K1172" s="56">
        <v>1.97</v>
      </c>
      <c r="L1172" s="15">
        <f t="shared" si="130"/>
        <v>0</v>
      </c>
      <c r="M1172" s="16">
        <f t="shared" si="131"/>
        <v>177.86676899999998</v>
      </c>
      <c r="N1172" s="17">
        <f t="shared" si="134"/>
        <v>1.97</v>
      </c>
      <c r="O1172" s="17">
        <f t="shared" si="132"/>
        <v>1576</v>
      </c>
      <c r="P1172" s="18">
        <f t="shared" si="133"/>
        <v>142293.41519999999</v>
      </c>
      <c r="R1172" s="66"/>
      <c r="S1172" s="20"/>
      <c r="T1172" s="20"/>
      <c r="U1172" s="20"/>
      <c r="V1172" s="20"/>
      <c r="W1172" s="20"/>
      <c r="X1172" s="20"/>
      <c r="Y1172" s="20"/>
      <c r="Z1172" s="20"/>
      <c r="AA1172" s="20"/>
    </row>
    <row r="1173" spans="1:27" ht="12.75">
      <c r="A1173" s="54"/>
      <c r="B1173" s="10">
        <v>46049</v>
      </c>
      <c r="C1173" s="11">
        <f>VLOOKUP(B:B,'Курс валют'!A:D,4,0)</f>
        <v>90.287700000000001</v>
      </c>
      <c r="D1173" s="57" t="s">
        <v>1675</v>
      </c>
      <c r="E1173" s="55" t="s">
        <v>50</v>
      </c>
      <c r="F1173" s="58">
        <v>800</v>
      </c>
      <c r="G1173" s="13">
        <v>803.96</v>
      </c>
      <c r="H1173" s="56">
        <v>0</v>
      </c>
      <c r="I1173" s="13">
        <f t="shared" si="128"/>
        <v>3.9600000000000364</v>
      </c>
      <c r="J1173" s="14">
        <f t="shared" si="129"/>
        <v>0.49500000000000455</v>
      </c>
      <c r="K1173" s="56">
        <v>1.97</v>
      </c>
      <c r="L1173" s="15">
        <f t="shared" si="130"/>
        <v>0</v>
      </c>
      <c r="M1173" s="16">
        <f t="shared" si="131"/>
        <v>177.86676899999998</v>
      </c>
      <c r="N1173" s="17">
        <f t="shared" si="134"/>
        <v>1.97</v>
      </c>
      <c r="O1173" s="17">
        <f t="shared" si="132"/>
        <v>1576</v>
      </c>
      <c r="P1173" s="18">
        <f t="shared" si="133"/>
        <v>142293.41519999999</v>
      </c>
      <c r="R1173" s="66"/>
      <c r="S1173" s="20"/>
      <c r="T1173" s="20"/>
      <c r="U1173" s="20"/>
      <c r="V1173" s="20"/>
      <c r="W1173" s="20"/>
      <c r="X1173" s="20"/>
      <c r="Y1173" s="20"/>
      <c r="Z1173" s="20"/>
      <c r="AA1173" s="20"/>
    </row>
    <row r="1174" spans="1:27" ht="12.75">
      <c r="A1174" s="54"/>
      <c r="B1174" s="10">
        <v>46049</v>
      </c>
      <c r="C1174" s="11">
        <f>VLOOKUP(B:B,'Курс валют'!A:D,4,0)</f>
        <v>90.287700000000001</v>
      </c>
      <c r="D1174" s="57" t="s">
        <v>1676</v>
      </c>
      <c r="E1174" s="55" t="s">
        <v>50</v>
      </c>
      <c r="F1174" s="58">
        <v>800</v>
      </c>
      <c r="G1174" s="13">
        <v>803.96</v>
      </c>
      <c r="H1174" s="56">
        <v>0</v>
      </c>
      <c r="I1174" s="13">
        <f t="shared" si="128"/>
        <v>3.9600000000000364</v>
      </c>
      <c r="J1174" s="14">
        <f t="shared" si="129"/>
        <v>0.49500000000000455</v>
      </c>
      <c r="K1174" s="56">
        <v>1.97</v>
      </c>
      <c r="L1174" s="15">
        <f t="shared" si="130"/>
        <v>0</v>
      </c>
      <c r="M1174" s="16">
        <f t="shared" si="131"/>
        <v>177.86676899999998</v>
      </c>
      <c r="N1174" s="17">
        <f t="shared" si="134"/>
        <v>1.97</v>
      </c>
      <c r="O1174" s="17">
        <f t="shared" si="132"/>
        <v>1576</v>
      </c>
      <c r="P1174" s="18">
        <f t="shared" si="133"/>
        <v>142293.41519999999</v>
      </c>
      <c r="R1174" s="66"/>
      <c r="S1174" s="20"/>
      <c r="T1174" s="20"/>
      <c r="U1174" s="20"/>
      <c r="V1174" s="20"/>
      <c r="W1174" s="20"/>
      <c r="X1174" s="20"/>
      <c r="Y1174" s="20"/>
      <c r="Z1174" s="20"/>
      <c r="AA1174" s="20"/>
    </row>
    <row r="1175" spans="1:27" ht="12.75">
      <c r="A1175" s="54"/>
      <c r="B1175" s="10">
        <v>46049</v>
      </c>
      <c r="C1175" s="11">
        <f>VLOOKUP(B:B,'Курс валют'!A:D,4,0)</f>
        <v>90.287700000000001</v>
      </c>
      <c r="D1175" s="57" t="s">
        <v>1677</v>
      </c>
      <c r="E1175" s="55" t="s">
        <v>101</v>
      </c>
      <c r="F1175" s="58">
        <v>1000</v>
      </c>
      <c r="G1175" s="13">
        <v>1009</v>
      </c>
      <c r="H1175" s="56">
        <v>0</v>
      </c>
      <c r="I1175" s="13">
        <f t="shared" si="128"/>
        <v>9</v>
      </c>
      <c r="J1175" s="14">
        <f t="shared" si="129"/>
        <v>0.89999999999999991</v>
      </c>
      <c r="K1175" s="56">
        <v>2.52</v>
      </c>
      <c r="L1175" s="15">
        <f t="shared" si="130"/>
        <v>0</v>
      </c>
      <c r="M1175" s="16">
        <f t="shared" si="131"/>
        <v>227.52500400000002</v>
      </c>
      <c r="N1175" s="17">
        <f t="shared" si="134"/>
        <v>2.52</v>
      </c>
      <c r="O1175" s="17">
        <f t="shared" si="132"/>
        <v>2520</v>
      </c>
      <c r="P1175" s="18">
        <f t="shared" si="133"/>
        <v>227525.00400000002</v>
      </c>
      <c r="R1175" s="66"/>
      <c r="S1175" s="20"/>
      <c r="T1175" s="20"/>
      <c r="U1175" s="20"/>
      <c r="V1175" s="20"/>
      <c r="W1175" s="20"/>
      <c r="X1175" s="20"/>
      <c r="Y1175" s="20"/>
      <c r="Z1175" s="20"/>
      <c r="AA1175" s="20"/>
    </row>
    <row r="1176" spans="1:27" ht="12.75">
      <c r="A1176" s="54"/>
      <c r="B1176" s="10">
        <v>46049</v>
      </c>
      <c r="C1176" s="11">
        <f>VLOOKUP(B:B,'Курс валют'!A:D,4,0)</f>
        <v>90.287700000000001</v>
      </c>
      <c r="D1176" s="57" t="s">
        <v>1678</v>
      </c>
      <c r="E1176" s="55" t="s">
        <v>50</v>
      </c>
      <c r="F1176" s="58">
        <v>800</v>
      </c>
      <c r="G1176" s="58">
        <v>803.96</v>
      </c>
      <c r="H1176" s="56">
        <v>0</v>
      </c>
      <c r="I1176" s="58">
        <f t="shared" si="128"/>
        <v>3.9600000000000364</v>
      </c>
      <c r="J1176" s="14">
        <f t="shared" si="129"/>
        <v>0.49500000000000455</v>
      </c>
      <c r="K1176" s="56">
        <v>1.97</v>
      </c>
      <c r="L1176" s="15">
        <f t="shared" si="130"/>
        <v>0</v>
      </c>
      <c r="M1176" s="16">
        <f t="shared" si="131"/>
        <v>177.86676899999998</v>
      </c>
      <c r="N1176" s="17">
        <f t="shared" si="134"/>
        <v>1.97</v>
      </c>
      <c r="O1176" s="17">
        <f t="shared" si="132"/>
        <v>1576</v>
      </c>
      <c r="P1176" s="18">
        <f t="shared" si="133"/>
        <v>142293.41519999999</v>
      </c>
      <c r="R1176" s="66"/>
      <c r="S1176" s="20"/>
      <c r="T1176" s="20"/>
      <c r="U1176" s="20"/>
      <c r="V1176" s="20"/>
      <c r="W1176" s="20"/>
      <c r="X1176" s="20"/>
      <c r="Y1176" s="20"/>
      <c r="Z1176" s="20"/>
      <c r="AA1176" s="20"/>
    </row>
    <row r="1177" spans="1:27" ht="12.75">
      <c r="A1177" s="54"/>
      <c r="B1177" s="10">
        <v>46049</v>
      </c>
      <c r="C1177" s="11">
        <f>VLOOKUP(B:B,'Курс валют'!A:D,4,0)</f>
        <v>90.287700000000001</v>
      </c>
      <c r="D1177" s="57" t="s">
        <v>1679</v>
      </c>
      <c r="E1177" s="55" t="s">
        <v>50</v>
      </c>
      <c r="F1177" s="58">
        <v>800</v>
      </c>
      <c r="G1177" s="58">
        <v>803.96</v>
      </c>
      <c r="H1177" s="56">
        <v>0</v>
      </c>
      <c r="I1177" s="58">
        <f t="shared" si="128"/>
        <v>3.9600000000000364</v>
      </c>
      <c r="J1177" s="14">
        <f t="shared" si="129"/>
        <v>0.49500000000000455</v>
      </c>
      <c r="K1177" s="56">
        <v>1.97</v>
      </c>
      <c r="L1177" s="15">
        <f t="shared" si="130"/>
        <v>0</v>
      </c>
      <c r="M1177" s="16">
        <f t="shared" si="131"/>
        <v>177.86676899999998</v>
      </c>
      <c r="N1177" s="17">
        <f t="shared" si="134"/>
        <v>1.97</v>
      </c>
      <c r="O1177" s="17">
        <f t="shared" si="132"/>
        <v>1576</v>
      </c>
      <c r="P1177" s="18">
        <f t="shared" si="133"/>
        <v>142293.41519999999</v>
      </c>
      <c r="R1177" s="66"/>
      <c r="S1177" s="20"/>
      <c r="T1177" s="20"/>
      <c r="U1177" s="20"/>
      <c r="V1177" s="20"/>
      <c r="W1177" s="20"/>
      <c r="X1177" s="20"/>
      <c r="Y1177" s="20"/>
      <c r="Z1177" s="20"/>
      <c r="AA1177" s="20"/>
    </row>
    <row r="1178" spans="1:27" ht="12.75">
      <c r="A1178" s="54"/>
      <c r="B1178" s="10">
        <v>46049</v>
      </c>
      <c r="C1178" s="11">
        <f>VLOOKUP(B:B,'Курс валют'!A:D,4,0)</f>
        <v>90.287700000000001</v>
      </c>
      <c r="D1178" s="57" t="s">
        <v>1680</v>
      </c>
      <c r="E1178" s="55" t="s">
        <v>101</v>
      </c>
      <c r="F1178" s="58">
        <v>1000</v>
      </c>
      <c r="G1178" s="13">
        <v>1009</v>
      </c>
      <c r="H1178" s="56">
        <v>0</v>
      </c>
      <c r="I1178" s="13">
        <f t="shared" si="128"/>
        <v>9</v>
      </c>
      <c r="J1178" s="14">
        <f t="shared" si="129"/>
        <v>0.89999999999999991</v>
      </c>
      <c r="K1178" s="56">
        <v>2.52</v>
      </c>
      <c r="L1178" s="15">
        <f t="shared" si="130"/>
        <v>0</v>
      </c>
      <c r="M1178" s="16">
        <f t="shared" si="131"/>
        <v>227.52500400000002</v>
      </c>
      <c r="N1178" s="17">
        <f t="shared" si="134"/>
        <v>2.52</v>
      </c>
      <c r="O1178" s="17">
        <f t="shared" si="132"/>
        <v>2520</v>
      </c>
      <c r="P1178" s="18">
        <f t="shared" si="133"/>
        <v>227525.00400000002</v>
      </c>
      <c r="R1178" s="66"/>
      <c r="S1178" s="20"/>
      <c r="T1178" s="20"/>
      <c r="U1178" s="20"/>
      <c r="V1178" s="20"/>
      <c r="W1178" s="20"/>
      <c r="X1178" s="20"/>
      <c r="Y1178" s="20"/>
      <c r="Z1178" s="20"/>
      <c r="AA1178" s="20"/>
    </row>
    <row r="1179" spans="1:27" ht="12.75">
      <c r="A1179" s="54"/>
      <c r="B1179" s="10">
        <v>46049</v>
      </c>
      <c r="C1179" s="11">
        <f>VLOOKUP(B:B,'Курс валют'!A:D,4,0)</f>
        <v>90.287700000000001</v>
      </c>
      <c r="D1179" s="57" t="s">
        <v>1681</v>
      </c>
      <c r="E1179" s="55" t="s">
        <v>50</v>
      </c>
      <c r="F1179" s="58">
        <v>800</v>
      </c>
      <c r="G1179" s="13">
        <v>803.96</v>
      </c>
      <c r="H1179" s="56">
        <v>0</v>
      </c>
      <c r="I1179" s="13">
        <f t="shared" si="128"/>
        <v>3.9600000000000364</v>
      </c>
      <c r="J1179" s="14">
        <f t="shared" si="129"/>
        <v>0.49500000000000455</v>
      </c>
      <c r="K1179" s="56">
        <v>1.97</v>
      </c>
      <c r="L1179" s="15">
        <f t="shared" si="130"/>
        <v>0</v>
      </c>
      <c r="M1179" s="16">
        <f t="shared" si="131"/>
        <v>177.86676899999998</v>
      </c>
      <c r="N1179" s="17">
        <f t="shared" si="134"/>
        <v>1.97</v>
      </c>
      <c r="O1179" s="17">
        <f t="shared" si="132"/>
        <v>1576</v>
      </c>
      <c r="P1179" s="18">
        <f t="shared" si="133"/>
        <v>142293.41519999999</v>
      </c>
      <c r="R1179" s="66"/>
      <c r="S1179" s="20"/>
      <c r="T1179" s="20"/>
      <c r="U1179" s="20"/>
      <c r="V1179" s="20"/>
      <c r="W1179" s="20"/>
      <c r="X1179" s="20"/>
      <c r="Y1179" s="20"/>
      <c r="Z1179" s="20"/>
      <c r="AA1179" s="20"/>
    </row>
    <row r="1180" spans="1:27" ht="12.75">
      <c r="A1180" s="54"/>
      <c r="B1180" s="10">
        <v>46049</v>
      </c>
      <c r="C1180" s="11">
        <f>VLOOKUP(B:B,'Курс валют'!A:D,4,0)</f>
        <v>90.287700000000001</v>
      </c>
      <c r="D1180" s="57" t="s">
        <v>1682</v>
      </c>
      <c r="E1180" s="55" t="s">
        <v>50</v>
      </c>
      <c r="F1180" s="58">
        <v>800</v>
      </c>
      <c r="G1180" s="13">
        <v>803.96</v>
      </c>
      <c r="H1180" s="56">
        <v>0</v>
      </c>
      <c r="I1180" s="13">
        <f t="shared" si="128"/>
        <v>3.9600000000000364</v>
      </c>
      <c r="J1180" s="14">
        <f t="shared" si="129"/>
        <v>0.49500000000000455</v>
      </c>
      <c r="K1180" s="56">
        <v>1.97</v>
      </c>
      <c r="L1180" s="15">
        <f t="shared" si="130"/>
        <v>0</v>
      </c>
      <c r="M1180" s="16">
        <f t="shared" si="131"/>
        <v>177.86676899999998</v>
      </c>
      <c r="N1180" s="17">
        <f t="shared" si="134"/>
        <v>1.97</v>
      </c>
      <c r="O1180" s="17">
        <f t="shared" si="132"/>
        <v>1576</v>
      </c>
      <c r="P1180" s="18">
        <f t="shared" si="133"/>
        <v>142293.41519999999</v>
      </c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</row>
    <row r="1181" spans="1:27" ht="12.75">
      <c r="A1181" s="54"/>
      <c r="B1181" s="10">
        <v>46049</v>
      </c>
      <c r="C1181" s="11">
        <f>VLOOKUP(B:B,'Курс валют'!A:D,4,0)</f>
        <v>90.287700000000001</v>
      </c>
      <c r="D1181" s="57" t="s">
        <v>1683</v>
      </c>
      <c r="E1181" s="50" t="s">
        <v>50</v>
      </c>
      <c r="F1181" s="58">
        <v>800</v>
      </c>
      <c r="G1181" s="13">
        <v>803.96</v>
      </c>
      <c r="H1181" s="56">
        <v>0</v>
      </c>
      <c r="I1181" s="13">
        <f t="shared" si="128"/>
        <v>3.9600000000000364</v>
      </c>
      <c r="J1181" s="14">
        <f t="shared" si="129"/>
        <v>0.49500000000000455</v>
      </c>
      <c r="K1181" s="56">
        <v>1.97</v>
      </c>
      <c r="L1181" s="15">
        <f t="shared" si="130"/>
        <v>0</v>
      </c>
      <c r="M1181" s="16">
        <f t="shared" si="131"/>
        <v>177.86676899999998</v>
      </c>
      <c r="N1181" s="17">
        <f t="shared" si="134"/>
        <v>1.97</v>
      </c>
      <c r="O1181" s="17">
        <f t="shared" si="132"/>
        <v>1576</v>
      </c>
      <c r="P1181" s="18">
        <f t="shared" si="133"/>
        <v>142293.41519999999</v>
      </c>
      <c r="R1181" s="66"/>
      <c r="S1181" s="20"/>
      <c r="T1181" s="20"/>
      <c r="U1181" s="20"/>
      <c r="V1181" s="20"/>
      <c r="W1181" s="20"/>
      <c r="X1181" s="20"/>
      <c r="Y1181" s="20"/>
      <c r="Z1181" s="20"/>
      <c r="AA1181" s="20"/>
    </row>
    <row r="1182" spans="1:27" ht="12.75">
      <c r="A1182" s="54"/>
      <c r="B1182" s="10">
        <v>46049</v>
      </c>
      <c r="C1182" s="11">
        <f>VLOOKUP(B:B,'Курс валют'!A:D,4,0)</f>
        <v>90.287700000000001</v>
      </c>
      <c r="D1182" s="57" t="s">
        <v>1684</v>
      </c>
      <c r="E1182" s="50" t="s">
        <v>101</v>
      </c>
      <c r="F1182" s="58">
        <v>1000</v>
      </c>
      <c r="G1182" s="58">
        <v>1009</v>
      </c>
      <c r="H1182" s="56">
        <v>0</v>
      </c>
      <c r="I1182" s="58">
        <f t="shared" si="128"/>
        <v>9</v>
      </c>
      <c r="J1182" s="14">
        <f t="shared" si="129"/>
        <v>0.89999999999999991</v>
      </c>
      <c r="K1182" s="56">
        <v>2.52</v>
      </c>
      <c r="L1182" s="15">
        <f t="shared" si="130"/>
        <v>0</v>
      </c>
      <c r="M1182" s="16">
        <f t="shared" si="131"/>
        <v>227.52500400000002</v>
      </c>
      <c r="N1182" s="17">
        <f t="shared" si="134"/>
        <v>2.52</v>
      </c>
      <c r="O1182" s="17">
        <f t="shared" si="132"/>
        <v>2520</v>
      </c>
      <c r="P1182" s="18">
        <f t="shared" si="133"/>
        <v>227525.00400000002</v>
      </c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</row>
    <row r="1183" spans="1:27" ht="12.75">
      <c r="A1183" s="54"/>
      <c r="B1183" s="10">
        <v>46049</v>
      </c>
      <c r="C1183" s="11">
        <f>VLOOKUP(B:B,'Курс валют'!A:D,4,0)</f>
        <v>90.287700000000001</v>
      </c>
      <c r="D1183" s="57" t="s">
        <v>1685</v>
      </c>
      <c r="E1183" s="50" t="s">
        <v>50</v>
      </c>
      <c r="F1183" s="58">
        <v>800</v>
      </c>
      <c r="G1183" s="58">
        <v>803.96</v>
      </c>
      <c r="H1183" s="56">
        <v>0</v>
      </c>
      <c r="I1183" s="58">
        <f t="shared" si="128"/>
        <v>3.9600000000000364</v>
      </c>
      <c r="J1183" s="14">
        <f t="shared" si="129"/>
        <v>0.49500000000000455</v>
      </c>
      <c r="K1183" s="56">
        <v>1.97</v>
      </c>
      <c r="L1183" s="15">
        <f t="shared" si="130"/>
        <v>0</v>
      </c>
      <c r="M1183" s="16">
        <f t="shared" si="131"/>
        <v>177.86676899999998</v>
      </c>
      <c r="N1183" s="17">
        <f t="shared" si="134"/>
        <v>1.97</v>
      </c>
      <c r="O1183" s="17">
        <f t="shared" si="132"/>
        <v>1576</v>
      </c>
      <c r="P1183" s="18">
        <f t="shared" si="133"/>
        <v>142293.41519999999</v>
      </c>
      <c r="R1183" s="19"/>
      <c r="S1183" s="20"/>
      <c r="T1183" s="20"/>
      <c r="U1183" s="20"/>
      <c r="V1183" s="20"/>
      <c r="W1183" s="20"/>
      <c r="X1183" s="20"/>
      <c r="Y1183" s="20"/>
      <c r="Z1183" s="20"/>
      <c r="AA1183" s="20"/>
    </row>
    <row r="1184" spans="1:27" ht="12.75">
      <c r="A1184" s="54"/>
      <c r="B1184" s="10">
        <v>46049</v>
      </c>
      <c r="C1184" s="11">
        <f>VLOOKUP(B:B,'Курс валют'!A:D,4,0)</f>
        <v>90.287700000000001</v>
      </c>
      <c r="D1184" s="57" t="s">
        <v>1686</v>
      </c>
      <c r="E1184" s="50" t="s">
        <v>50</v>
      </c>
      <c r="F1184" s="58">
        <v>800</v>
      </c>
      <c r="G1184" s="58">
        <v>803.96</v>
      </c>
      <c r="H1184" s="56">
        <v>0</v>
      </c>
      <c r="I1184" s="58">
        <f t="shared" si="128"/>
        <v>3.9600000000000364</v>
      </c>
      <c r="J1184" s="14">
        <f t="shared" si="129"/>
        <v>0.49500000000000455</v>
      </c>
      <c r="K1184" s="56">
        <v>1.97</v>
      </c>
      <c r="L1184" s="15">
        <f t="shared" si="130"/>
        <v>0</v>
      </c>
      <c r="M1184" s="16">
        <f t="shared" si="131"/>
        <v>177.86676899999998</v>
      </c>
      <c r="N1184" s="17">
        <f t="shared" si="134"/>
        <v>1.97</v>
      </c>
      <c r="O1184" s="17">
        <f t="shared" si="132"/>
        <v>1576</v>
      </c>
      <c r="P1184" s="18">
        <f t="shared" si="133"/>
        <v>142293.41519999999</v>
      </c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</row>
    <row r="1185" spans="1:27" ht="12.75">
      <c r="A1185" s="54"/>
      <c r="B1185" s="10">
        <v>46050</v>
      </c>
      <c r="C1185" s="11">
        <f>VLOOKUP(B:B,'Курс валют'!A:D,4,0)</f>
        <v>90.932900000000004</v>
      </c>
      <c r="D1185" s="57" t="s">
        <v>1687</v>
      </c>
      <c r="E1185" s="50" t="s">
        <v>51</v>
      </c>
      <c r="F1185" s="58">
        <v>800</v>
      </c>
      <c r="G1185" s="58">
        <v>804.34</v>
      </c>
      <c r="H1185" s="56">
        <v>0</v>
      </c>
      <c r="I1185" s="58">
        <f t="shared" si="128"/>
        <v>4.3400000000000318</v>
      </c>
      <c r="J1185" s="14">
        <f t="shared" si="129"/>
        <v>0.54250000000000398</v>
      </c>
      <c r="K1185" s="56">
        <v>2.0099999999999998</v>
      </c>
      <c r="L1185" s="15">
        <f t="shared" si="130"/>
        <v>0</v>
      </c>
      <c r="M1185" s="16">
        <f t="shared" si="131"/>
        <v>182.77512899999999</v>
      </c>
      <c r="N1185" s="17">
        <f t="shared" si="134"/>
        <v>2.0099999999999998</v>
      </c>
      <c r="O1185" s="17">
        <f t="shared" si="132"/>
        <v>1607.9999999999998</v>
      </c>
      <c r="P1185" s="18">
        <f t="shared" si="133"/>
        <v>146220.10319999998</v>
      </c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</row>
    <row r="1186" spans="1:27" ht="12.75">
      <c r="A1186" s="54"/>
      <c r="B1186" s="10">
        <v>46050</v>
      </c>
      <c r="C1186" s="11">
        <f>VLOOKUP(B:B,'Курс валют'!A:D,4,0)</f>
        <v>90.932900000000004</v>
      </c>
      <c r="D1186" s="57" t="s">
        <v>1688</v>
      </c>
      <c r="E1186" s="50" t="s">
        <v>51</v>
      </c>
      <c r="F1186" s="58">
        <v>800</v>
      </c>
      <c r="G1186" s="58">
        <v>804.34</v>
      </c>
      <c r="H1186" s="56">
        <v>0</v>
      </c>
      <c r="I1186" s="58">
        <f t="shared" si="128"/>
        <v>4.3400000000000318</v>
      </c>
      <c r="J1186" s="14">
        <f t="shared" si="129"/>
        <v>0.54250000000000398</v>
      </c>
      <c r="K1186" s="56">
        <v>2</v>
      </c>
      <c r="L1186" s="15">
        <f t="shared" si="130"/>
        <v>0</v>
      </c>
      <c r="M1186" s="16">
        <f t="shared" si="131"/>
        <v>181.86580000000001</v>
      </c>
      <c r="N1186" s="17">
        <f t="shared" si="134"/>
        <v>2</v>
      </c>
      <c r="O1186" s="17">
        <f t="shared" si="132"/>
        <v>1600</v>
      </c>
      <c r="P1186" s="18">
        <f t="shared" si="133"/>
        <v>145492.64000000001</v>
      </c>
      <c r="R1186" s="66"/>
      <c r="S1186" s="20"/>
      <c r="T1186" s="20"/>
      <c r="U1186" s="20"/>
      <c r="V1186" s="20"/>
      <c r="W1186" s="20"/>
      <c r="X1186" s="20"/>
      <c r="Y1186" s="20"/>
      <c r="Z1186" s="20"/>
      <c r="AA1186" s="20"/>
    </row>
    <row r="1187" spans="1:27" ht="12.75">
      <c r="A1187" s="54"/>
      <c r="B1187" s="10">
        <v>46050</v>
      </c>
      <c r="C1187" s="11">
        <f>VLOOKUP(B:B,'Курс валют'!A:D,4,0)</f>
        <v>90.932900000000004</v>
      </c>
      <c r="D1187" s="57" t="s">
        <v>1689</v>
      </c>
      <c r="E1187" s="50" t="s">
        <v>51</v>
      </c>
      <c r="F1187" s="58">
        <v>800</v>
      </c>
      <c r="G1187" s="58">
        <v>804.34</v>
      </c>
      <c r="H1187" s="56">
        <v>0</v>
      </c>
      <c r="I1187" s="58">
        <f t="shared" si="128"/>
        <v>4.3400000000000318</v>
      </c>
      <c r="J1187" s="14">
        <f t="shared" si="129"/>
        <v>0.54250000000000398</v>
      </c>
      <c r="K1187" s="56">
        <v>2</v>
      </c>
      <c r="L1187" s="15">
        <f t="shared" si="130"/>
        <v>0</v>
      </c>
      <c r="M1187" s="16">
        <f t="shared" si="131"/>
        <v>181.86580000000001</v>
      </c>
      <c r="N1187" s="17">
        <f t="shared" si="134"/>
        <v>2</v>
      </c>
      <c r="O1187" s="17">
        <f t="shared" si="132"/>
        <v>1600</v>
      </c>
      <c r="P1187" s="18">
        <f t="shared" si="133"/>
        <v>145492.64000000001</v>
      </c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</row>
    <row r="1188" spans="1:27" ht="12.75">
      <c r="A1188" s="54"/>
      <c r="B1188" s="10">
        <v>46050</v>
      </c>
      <c r="C1188" s="11">
        <f>VLOOKUP(B:B,'Курс валют'!A:D,4,0)</f>
        <v>90.932900000000004</v>
      </c>
      <c r="D1188" s="57" t="s">
        <v>1690</v>
      </c>
      <c r="E1188" s="50" t="s">
        <v>51</v>
      </c>
      <c r="F1188" s="58">
        <v>800</v>
      </c>
      <c r="G1188" s="58">
        <v>804.34</v>
      </c>
      <c r="H1188" s="56">
        <v>0</v>
      </c>
      <c r="I1188" s="58">
        <f t="shared" si="128"/>
        <v>4.3400000000000318</v>
      </c>
      <c r="J1188" s="14">
        <f t="shared" si="129"/>
        <v>0.54250000000000398</v>
      </c>
      <c r="K1188" s="56">
        <v>2</v>
      </c>
      <c r="L1188" s="15">
        <f t="shared" si="130"/>
        <v>0</v>
      </c>
      <c r="M1188" s="16">
        <f t="shared" si="131"/>
        <v>181.86580000000001</v>
      </c>
      <c r="N1188" s="17">
        <f t="shared" si="134"/>
        <v>2</v>
      </c>
      <c r="O1188" s="17">
        <f t="shared" si="132"/>
        <v>1600</v>
      </c>
      <c r="P1188" s="18">
        <f t="shared" si="133"/>
        <v>145492.64000000001</v>
      </c>
      <c r="R1188" s="19"/>
      <c r="S1188" s="20"/>
      <c r="T1188" s="20"/>
      <c r="U1188" s="20"/>
      <c r="V1188" s="20"/>
      <c r="W1188" s="20"/>
      <c r="X1188" s="20"/>
      <c r="Y1188" s="20"/>
      <c r="Z1188" s="20"/>
      <c r="AA1188" s="20"/>
    </row>
    <row r="1189" spans="1:27" ht="12.75">
      <c r="A1189" s="54"/>
      <c r="B1189" s="10">
        <v>46050</v>
      </c>
      <c r="C1189" s="11">
        <f>VLOOKUP(B:B,'Курс валют'!A:D,4,0)</f>
        <v>90.932900000000004</v>
      </c>
      <c r="D1189" s="57" t="s">
        <v>1691</v>
      </c>
      <c r="E1189" s="50" t="s">
        <v>51</v>
      </c>
      <c r="F1189" s="58">
        <v>800</v>
      </c>
      <c r="G1189" s="58">
        <v>804.34</v>
      </c>
      <c r="H1189" s="56">
        <v>0</v>
      </c>
      <c r="I1189" s="58">
        <f t="shared" si="128"/>
        <v>4.3400000000000318</v>
      </c>
      <c r="J1189" s="14">
        <f t="shared" si="129"/>
        <v>0.54250000000000398</v>
      </c>
      <c r="K1189" s="56">
        <v>2</v>
      </c>
      <c r="L1189" s="15">
        <f t="shared" si="130"/>
        <v>0</v>
      </c>
      <c r="M1189" s="16">
        <f t="shared" si="131"/>
        <v>181.86580000000001</v>
      </c>
      <c r="N1189" s="17">
        <f t="shared" si="134"/>
        <v>2</v>
      </c>
      <c r="O1189" s="17">
        <f t="shared" si="132"/>
        <v>1600</v>
      </c>
      <c r="P1189" s="18">
        <f t="shared" si="133"/>
        <v>145492.64000000001</v>
      </c>
      <c r="R1189" s="66"/>
      <c r="S1189" s="20"/>
      <c r="T1189" s="20"/>
      <c r="U1189" s="20"/>
      <c r="V1189" s="20"/>
      <c r="W1189" s="20"/>
      <c r="X1189" s="20"/>
      <c r="Y1189" s="20"/>
      <c r="Z1189" s="20"/>
      <c r="AA1189" s="20"/>
    </row>
    <row r="1190" spans="1:27" ht="12.75">
      <c r="A1190" s="54"/>
      <c r="B1190" s="10">
        <v>46050</v>
      </c>
      <c r="C1190" s="11">
        <f>VLOOKUP(B:B,'Курс валют'!A:D,4,0)</f>
        <v>90.932900000000004</v>
      </c>
      <c r="D1190" s="57" t="s">
        <v>1692</v>
      </c>
      <c r="E1190" s="50" t="s">
        <v>51</v>
      </c>
      <c r="F1190" s="58">
        <v>800</v>
      </c>
      <c r="G1190" s="58">
        <v>804.34</v>
      </c>
      <c r="H1190" s="56">
        <v>0</v>
      </c>
      <c r="I1190" s="58">
        <f t="shared" si="128"/>
        <v>4.3400000000000318</v>
      </c>
      <c r="J1190" s="14">
        <f t="shared" si="129"/>
        <v>0.54250000000000398</v>
      </c>
      <c r="K1190" s="56">
        <v>2</v>
      </c>
      <c r="L1190" s="15">
        <f t="shared" si="130"/>
        <v>0</v>
      </c>
      <c r="M1190" s="16">
        <f t="shared" si="131"/>
        <v>181.86580000000001</v>
      </c>
      <c r="N1190" s="17">
        <f t="shared" si="134"/>
        <v>2</v>
      </c>
      <c r="O1190" s="17">
        <f t="shared" si="132"/>
        <v>1600</v>
      </c>
      <c r="P1190" s="18">
        <f t="shared" si="133"/>
        <v>145492.64000000001</v>
      </c>
      <c r="R1190" s="19"/>
      <c r="S1190" s="20"/>
      <c r="T1190" s="20"/>
      <c r="U1190" s="20"/>
      <c r="V1190" s="20"/>
      <c r="W1190" s="20"/>
      <c r="X1190" s="20"/>
      <c r="Y1190" s="20"/>
      <c r="Z1190" s="20"/>
      <c r="AA1190" s="20"/>
    </row>
    <row r="1191" spans="1:27" ht="12.75">
      <c r="A1191" s="54"/>
      <c r="B1191" s="10">
        <v>46050</v>
      </c>
      <c r="C1191" s="11">
        <f>VLOOKUP(B:B,'Курс валют'!A:D,4,0)</f>
        <v>90.932900000000004</v>
      </c>
      <c r="D1191" s="57" t="s">
        <v>1693</v>
      </c>
      <c r="E1191" s="50" t="s">
        <v>51</v>
      </c>
      <c r="F1191" s="58">
        <v>800</v>
      </c>
      <c r="G1191" s="58">
        <v>804.34</v>
      </c>
      <c r="H1191" s="56">
        <v>0</v>
      </c>
      <c r="I1191" s="58">
        <f t="shared" si="128"/>
        <v>4.3400000000000318</v>
      </c>
      <c r="J1191" s="14">
        <f t="shared" si="129"/>
        <v>0.54250000000000398</v>
      </c>
      <c r="K1191" s="56">
        <v>2</v>
      </c>
      <c r="L1191" s="15">
        <f t="shared" si="130"/>
        <v>0</v>
      </c>
      <c r="M1191" s="16">
        <f t="shared" si="131"/>
        <v>181.86580000000001</v>
      </c>
      <c r="N1191" s="17">
        <f t="shared" si="134"/>
        <v>2</v>
      </c>
      <c r="O1191" s="17">
        <f t="shared" si="132"/>
        <v>1600</v>
      </c>
      <c r="P1191" s="18">
        <f t="shared" si="133"/>
        <v>145492.64000000001</v>
      </c>
      <c r="R1191" s="19"/>
      <c r="S1191" s="20"/>
      <c r="T1191" s="20"/>
      <c r="U1191" s="20"/>
      <c r="V1191" s="20"/>
      <c r="W1191" s="20"/>
      <c r="X1191" s="20"/>
      <c r="Y1191" s="20"/>
      <c r="Z1191" s="20"/>
      <c r="AA1191" s="20"/>
    </row>
    <row r="1192" spans="1:27" ht="12.75">
      <c r="A1192" s="54"/>
      <c r="B1192" s="10">
        <v>46050</v>
      </c>
      <c r="C1192" s="11">
        <f>VLOOKUP(B:B,'Курс валют'!A:D,4,0)</f>
        <v>90.932900000000004</v>
      </c>
      <c r="D1192" s="57" t="s">
        <v>1694</v>
      </c>
      <c r="E1192" s="50" t="s">
        <v>51</v>
      </c>
      <c r="F1192" s="58">
        <v>800</v>
      </c>
      <c r="G1192" s="58">
        <v>804.34</v>
      </c>
      <c r="H1192" s="56">
        <v>0</v>
      </c>
      <c r="I1192" s="58">
        <f t="shared" si="128"/>
        <v>4.3400000000000318</v>
      </c>
      <c r="J1192" s="14">
        <f t="shared" si="129"/>
        <v>0.54250000000000398</v>
      </c>
      <c r="K1192" s="56">
        <v>2</v>
      </c>
      <c r="L1192" s="15">
        <f t="shared" si="130"/>
        <v>0</v>
      </c>
      <c r="M1192" s="16">
        <f t="shared" si="131"/>
        <v>181.86580000000001</v>
      </c>
      <c r="N1192" s="17">
        <f t="shared" si="134"/>
        <v>2</v>
      </c>
      <c r="O1192" s="17">
        <f t="shared" si="132"/>
        <v>1600</v>
      </c>
      <c r="P1192" s="18">
        <f t="shared" si="133"/>
        <v>145492.64000000001</v>
      </c>
      <c r="R1192" s="19"/>
      <c r="S1192" s="20"/>
      <c r="T1192" s="20"/>
      <c r="U1192" s="20"/>
      <c r="V1192" s="20"/>
      <c r="W1192" s="20"/>
      <c r="X1192" s="20"/>
      <c r="Y1192" s="20"/>
      <c r="Z1192" s="20"/>
      <c r="AA1192" s="20"/>
    </row>
    <row r="1193" spans="1:27" ht="12.75">
      <c r="A1193" s="20"/>
      <c r="B1193" s="10">
        <v>46050</v>
      </c>
      <c r="C1193" s="11">
        <f>VLOOKUP(B:B,'Курс валют'!A:D,4,0)</f>
        <v>90.932900000000004</v>
      </c>
      <c r="D1193" s="57" t="s">
        <v>1695</v>
      </c>
      <c r="E1193" s="50" t="s">
        <v>51</v>
      </c>
      <c r="F1193" s="58">
        <v>800</v>
      </c>
      <c r="G1193" s="58">
        <v>804.34</v>
      </c>
      <c r="H1193" s="56">
        <v>0</v>
      </c>
      <c r="I1193" s="58">
        <f t="shared" si="128"/>
        <v>4.3400000000000318</v>
      </c>
      <c r="J1193" s="14">
        <f t="shared" si="129"/>
        <v>0.54250000000000398</v>
      </c>
      <c r="K1193" s="56">
        <v>2</v>
      </c>
      <c r="L1193" s="15">
        <f t="shared" si="130"/>
        <v>0</v>
      </c>
      <c r="M1193" s="16">
        <f t="shared" si="131"/>
        <v>181.86580000000001</v>
      </c>
      <c r="N1193" s="17">
        <f t="shared" si="134"/>
        <v>2</v>
      </c>
      <c r="O1193" s="17">
        <f t="shared" si="132"/>
        <v>1600</v>
      </c>
      <c r="P1193" s="18">
        <f t="shared" si="133"/>
        <v>145492.64000000001</v>
      </c>
      <c r="R1193" s="19"/>
      <c r="S1193" s="20"/>
      <c r="T1193" s="20"/>
      <c r="U1193" s="20"/>
      <c r="V1193" s="20"/>
      <c r="W1193" s="20"/>
      <c r="X1193" s="20"/>
      <c r="Y1193" s="20"/>
      <c r="Z1193" s="20"/>
      <c r="AA1193" s="20"/>
    </row>
    <row r="1194" spans="1:27" ht="12.75">
      <c r="A1194" s="20"/>
      <c r="B1194" s="10">
        <v>46050</v>
      </c>
      <c r="C1194" s="11">
        <f>VLOOKUP(B:B,'Курс валют'!A:D,4,0)</f>
        <v>90.932900000000004</v>
      </c>
      <c r="D1194" s="57" t="s">
        <v>1696</v>
      </c>
      <c r="E1194" s="50" t="s">
        <v>51</v>
      </c>
      <c r="F1194" s="58">
        <v>800</v>
      </c>
      <c r="G1194" s="58">
        <v>804.34</v>
      </c>
      <c r="H1194" s="56">
        <v>0</v>
      </c>
      <c r="I1194" s="58">
        <f t="shared" si="128"/>
        <v>4.3400000000000318</v>
      </c>
      <c r="J1194" s="14">
        <f t="shared" si="129"/>
        <v>0.54250000000000398</v>
      </c>
      <c r="K1194" s="56">
        <v>2</v>
      </c>
      <c r="L1194" s="15">
        <f t="shared" si="130"/>
        <v>0</v>
      </c>
      <c r="M1194" s="16">
        <f t="shared" si="131"/>
        <v>181.86580000000001</v>
      </c>
      <c r="N1194" s="17">
        <f t="shared" si="134"/>
        <v>2</v>
      </c>
      <c r="O1194" s="17">
        <f t="shared" si="132"/>
        <v>1600</v>
      </c>
      <c r="P1194" s="18">
        <f t="shared" si="133"/>
        <v>145492.64000000001</v>
      </c>
      <c r="R1194" s="19"/>
      <c r="S1194" s="20"/>
      <c r="T1194" s="20"/>
      <c r="U1194" s="20"/>
      <c r="V1194" s="20"/>
      <c r="W1194" s="20"/>
      <c r="X1194" s="20"/>
      <c r="Y1194" s="20"/>
      <c r="Z1194" s="20"/>
      <c r="AA1194" s="20"/>
    </row>
    <row r="1195" spans="1:27" ht="12.75">
      <c r="A1195" s="20"/>
      <c r="B1195" s="10">
        <v>46051</v>
      </c>
      <c r="C1195" s="11">
        <f>VLOOKUP(B:B,'Курс валют'!A:D,4,0)</f>
        <v>91.2988</v>
      </c>
      <c r="D1195" s="57" t="s">
        <v>1697</v>
      </c>
      <c r="E1195" s="50" t="s">
        <v>51</v>
      </c>
      <c r="F1195" s="58">
        <v>800</v>
      </c>
      <c r="G1195" s="13">
        <v>804.34</v>
      </c>
      <c r="H1195" s="56">
        <v>0</v>
      </c>
      <c r="I1195" s="13">
        <f t="shared" si="128"/>
        <v>4.3400000000000318</v>
      </c>
      <c r="J1195" s="14">
        <f t="shared" si="129"/>
        <v>0.54250000000000398</v>
      </c>
      <c r="K1195" s="56">
        <v>2</v>
      </c>
      <c r="L1195" s="15">
        <f t="shared" si="130"/>
        <v>0</v>
      </c>
      <c r="M1195" s="16">
        <f t="shared" si="131"/>
        <v>182.59759999999997</v>
      </c>
      <c r="N1195" s="17">
        <f t="shared" si="134"/>
        <v>2</v>
      </c>
      <c r="O1195" s="17">
        <f t="shared" si="132"/>
        <v>1600</v>
      </c>
      <c r="P1195" s="18">
        <f t="shared" si="133"/>
        <v>146078.07999999999</v>
      </c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</row>
    <row r="1196" spans="1:27" ht="12.75">
      <c r="A1196" s="20"/>
      <c r="B1196" s="10">
        <v>46051</v>
      </c>
      <c r="C1196" s="11">
        <f>VLOOKUP(B:B,'Курс валют'!A:D,4,0)</f>
        <v>91.2988</v>
      </c>
      <c r="D1196" s="57" t="s">
        <v>1698</v>
      </c>
      <c r="E1196" s="50" t="s">
        <v>51</v>
      </c>
      <c r="F1196" s="58">
        <v>800</v>
      </c>
      <c r="G1196" s="13">
        <v>804.34</v>
      </c>
      <c r="H1196" s="56">
        <v>0</v>
      </c>
      <c r="I1196" s="13">
        <f t="shared" si="128"/>
        <v>4.3400000000000318</v>
      </c>
      <c r="J1196" s="14">
        <f t="shared" si="129"/>
        <v>0.54250000000000398</v>
      </c>
      <c r="K1196" s="56">
        <v>2</v>
      </c>
      <c r="L1196" s="15">
        <f t="shared" si="130"/>
        <v>0</v>
      </c>
      <c r="M1196" s="16">
        <f t="shared" si="131"/>
        <v>182.59759999999997</v>
      </c>
      <c r="N1196" s="17">
        <f t="shared" si="134"/>
        <v>2</v>
      </c>
      <c r="O1196" s="17">
        <f t="shared" si="132"/>
        <v>1600</v>
      </c>
      <c r="P1196" s="18">
        <f t="shared" si="133"/>
        <v>146078.07999999999</v>
      </c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</row>
    <row r="1197" spans="1:27" ht="12.75">
      <c r="A1197" s="20"/>
      <c r="B1197" s="10">
        <v>46051</v>
      </c>
      <c r="C1197" s="11">
        <f>VLOOKUP(B:B,'Курс валют'!A:D,4,0)</f>
        <v>91.2988</v>
      </c>
      <c r="D1197" s="57" t="s">
        <v>1699</v>
      </c>
      <c r="E1197" s="50" t="s">
        <v>51</v>
      </c>
      <c r="F1197" s="58">
        <v>800</v>
      </c>
      <c r="G1197" s="13">
        <v>804.34</v>
      </c>
      <c r="H1197" s="56">
        <v>0</v>
      </c>
      <c r="I1197" s="13">
        <f t="shared" si="128"/>
        <v>4.3400000000000318</v>
      </c>
      <c r="J1197" s="14">
        <f t="shared" si="129"/>
        <v>0.54250000000000398</v>
      </c>
      <c r="K1197" s="56">
        <v>2</v>
      </c>
      <c r="L1197" s="15">
        <f t="shared" si="130"/>
        <v>0</v>
      </c>
      <c r="M1197" s="16">
        <f t="shared" si="131"/>
        <v>182.59759999999997</v>
      </c>
      <c r="N1197" s="17">
        <f t="shared" si="134"/>
        <v>2</v>
      </c>
      <c r="O1197" s="17">
        <f t="shared" si="132"/>
        <v>1600</v>
      </c>
      <c r="P1197" s="18">
        <f t="shared" si="133"/>
        <v>146078.07999999999</v>
      </c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</row>
    <row r="1198" spans="1:27" ht="12.75">
      <c r="A1198" s="20"/>
      <c r="B1198" s="10">
        <v>46051</v>
      </c>
      <c r="C1198" s="11">
        <f>VLOOKUP(B:B,'Курс валют'!A:D,4,0)</f>
        <v>91.2988</v>
      </c>
      <c r="D1198" s="57" t="s">
        <v>1700</v>
      </c>
      <c r="E1198" s="50" t="s">
        <v>51</v>
      </c>
      <c r="F1198" s="58">
        <v>800</v>
      </c>
      <c r="G1198" s="13">
        <v>804.34</v>
      </c>
      <c r="H1198" s="56">
        <v>0</v>
      </c>
      <c r="I1198" s="13">
        <f t="shared" si="128"/>
        <v>4.3400000000000318</v>
      </c>
      <c r="J1198" s="14">
        <f t="shared" si="129"/>
        <v>0.54250000000000398</v>
      </c>
      <c r="K1198" s="56">
        <v>2</v>
      </c>
      <c r="L1198" s="15">
        <f t="shared" si="130"/>
        <v>0</v>
      </c>
      <c r="M1198" s="16">
        <f t="shared" si="131"/>
        <v>182.59759999999997</v>
      </c>
      <c r="N1198" s="17">
        <f t="shared" si="134"/>
        <v>2</v>
      </c>
      <c r="O1198" s="17">
        <f t="shared" si="132"/>
        <v>1600</v>
      </c>
      <c r="P1198" s="18">
        <f t="shared" si="133"/>
        <v>146078.07999999999</v>
      </c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</row>
    <row r="1199" spans="1:27" ht="12.75">
      <c r="A1199" s="20"/>
      <c r="B1199" s="10">
        <v>46051</v>
      </c>
      <c r="C1199" s="11">
        <f>VLOOKUP(B:B,'Курс валют'!A:D,4,0)</f>
        <v>91.2988</v>
      </c>
      <c r="D1199" s="57" t="s">
        <v>1701</v>
      </c>
      <c r="E1199" s="50" t="s">
        <v>51</v>
      </c>
      <c r="F1199" s="58">
        <v>800</v>
      </c>
      <c r="G1199" s="13">
        <v>804.34</v>
      </c>
      <c r="H1199" s="56">
        <v>0</v>
      </c>
      <c r="I1199" s="13">
        <f t="shared" si="128"/>
        <v>4.3400000000000318</v>
      </c>
      <c r="J1199" s="14">
        <f t="shared" si="129"/>
        <v>0.54250000000000398</v>
      </c>
      <c r="K1199" s="56">
        <v>2</v>
      </c>
      <c r="L1199" s="15">
        <f t="shared" si="130"/>
        <v>0</v>
      </c>
      <c r="M1199" s="16">
        <f t="shared" si="131"/>
        <v>182.59759999999997</v>
      </c>
      <c r="N1199" s="17">
        <f t="shared" si="134"/>
        <v>2</v>
      </c>
      <c r="O1199" s="17">
        <f t="shared" si="132"/>
        <v>1600</v>
      </c>
      <c r="P1199" s="18">
        <f t="shared" si="133"/>
        <v>146078.07999999999</v>
      </c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</row>
    <row r="1200" spans="1:27" ht="12.75">
      <c r="A1200" s="20"/>
      <c r="B1200" s="10">
        <v>46051</v>
      </c>
      <c r="C1200" s="11">
        <f>VLOOKUP(B:B,'Курс валют'!A:D,4,0)</f>
        <v>91.2988</v>
      </c>
      <c r="D1200" s="57" t="s">
        <v>1702</v>
      </c>
      <c r="E1200" s="50" t="s">
        <v>51</v>
      </c>
      <c r="F1200" s="58">
        <v>800</v>
      </c>
      <c r="G1200" s="13">
        <v>804.34</v>
      </c>
      <c r="H1200" s="56">
        <v>0</v>
      </c>
      <c r="I1200" s="13">
        <f t="shared" si="128"/>
        <v>4.3400000000000318</v>
      </c>
      <c r="J1200" s="14">
        <f t="shared" si="129"/>
        <v>0.54250000000000398</v>
      </c>
      <c r="K1200" s="56">
        <v>2</v>
      </c>
      <c r="L1200" s="15">
        <f t="shared" si="130"/>
        <v>0</v>
      </c>
      <c r="M1200" s="16">
        <f t="shared" si="131"/>
        <v>182.59759999999997</v>
      </c>
      <c r="N1200" s="17">
        <f t="shared" si="134"/>
        <v>2</v>
      </c>
      <c r="O1200" s="17">
        <f t="shared" si="132"/>
        <v>1600</v>
      </c>
      <c r="P1200" s="18">
        <f t="shared" si="133"/>
        <v>146078.07999999999</v>
      </c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</row>
    <row r="1201" spans="1:27" ht="12.75">
      <c r="A1201" s="20"/>
      <c r="B1201" s="10">
        <v>46051</v>
      </c>
      <c r="C1201" s="11">
        <f>VLOOKUP(B:B,'Курс валют'!A:D,4,0)</f>
        <v>91.2988</v>
      </c>
      <c r="D1201" s="57" t="s">
        <v>1703</v>
      </c>
      <c r="E1201" s="50" t="s">
        <v>51</v>
      </c>
      <c r="F1201" s="58">
        <v>800</v>
      </c>
      <c r="G1201" s="13">
        <v>804.34</v>
      </c>
      <c r="H1201" s="56">
        <v>0</v>
      </c>
      <c r="I1201" s="13">
        <f t="shared" si="128"/>
        <v>4.3400000000000318</v>
      </c>
      <c r="J1201" s="14">
        <f t="shared" si="129"/>
        <v>0.54250000000000398</v>
      </c>
      <c r="K1201" s="56">
        <v>2</v>
      </c>
      <c r="L1201" s="15">
        <f t="shared" si="130"/>
        <v>0</v>
      </c>
      <c r="M1201" s="16">
        <f t="shared" si="131"/>
        <v>182.59759999999997</v>
      </c>
      <c r="N1201" s="17">
        <f t="shared" si="134"/>
        <v>2</v>
      </c>
      <c r="O1201" s="17">
        <f t="shared" si="132"/>
        <v>1600</v>
      </c>
      <c r="P1201" s="18">
        <f t="shared" si="133"/>
        <v>146078.07999999999</v>
      </c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</row>
    <row r="1202" spans="1:27" ht="12.75">
      <c r="A1202" s="20"/>
      <c r="B1202" s="10">
        <v>46051</v>
      </c>
      <c r="C1202" s="11">
        <f>VLOOKUP(B:B,'Курс валют'!A:D,4,0)</f>
        <v>91.2988</v>
      </c>
      <c r="D1202" s="57" t="s">
        <v>1704</v>
      </c>
      <c r="E1202" s="50" t="s">
        <v>51</v>
      </c>
      <c r="F1202" s="58">
        <v>800</v>
      </c>
      <c r="G1202" s="13">
        <v>804.34</v>
      </c>
      <c r="H1202" s="56">
        <v>0</v>
      </c>
      <c r="I1202" s="13">
        <f t="shared" si="128"/>
        <v>4.3400000000000318</v>
      </c>
      <c r="J1202" s="14">
        <f t="shared" si="129"/>
        <v>0.54250000000000398</v>
      </c>
      <c r="K1202" s="56">
        <v>2</v>
      </c>
      <c r="L1202" s="15">
        <f t="shared" si="130"/>
        <v>0</v>
      </c>
      <c r="M1202" s="16">
        <f t="shared" si="131"/>
        <v>182.59759999999997</v>
      </c>
      <c r="N1202" s="17">
        <f t="shared" si="134"/>
        <v>2</v>
      </c>
      <c r="O1202" s="17">
        <f t="shared" si="132"/>
        <v>1600</v>
      </c>
      <c r="P1202" s="18">
        <f t="shared" si="133"/>
        <v>146078.07999999999</v>
      </c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</row>
    <row r="1203" spans="1:27" ht="12.75">
      <c r="A1203" s="20"/>
      <c r="B1203" s="10">
        <v>46051</v>
      </c>
      <c r="C1203" s="11">
        <f>VLOOKUP(B:B,'Курс валют'!A:D,4,0)</f>
        <v>91.2988</v>
      </c>
      <c r="D1203" s="57" t="s">
        <v>1705</v>
      </c>
      <c r="E1203" s="50" t="s">
        <v>51</v>
      </c>
      <c r="F1203" s="58">
        <v>800</v>
      </c>
      <c r="G1203" s="13">
        <v>804.34</v>
      </c>
      <c r="H1203" s="56">
        <v>0</v>
      </c>
      <c r="I1203" s="13">
        <f t="shared" si="128"/>
        <v>4.3400000000000318</v>
      </c>
      <c r="J1203" s="14">
        <f t="shared" si="129"/>
        <v>0.54250000000000398</v>
      </c>
      <c r="K1203" s="56">
        <v>2</v>
      </c>
      <c r="L1203" s="15">
        <f t="shared" si="130"/>
        <v>0</v>
      </c>
      <c r="M1203" s="16">
        <f t="shared" si="131"/>
        <v>182.59759999999997</v>
      </c>
      <c r="N1203" s="17">
        <f t="shared" si="134"/>
        <v>2</v>
      </c>
      <c r="O1203" s="17">
        <f t="shared" si="132"/>
        <v>1600</v>
      </c>
      <c r="P1203" s="18">
        <f t="shared" si="133"/>
        <v>146078.07999999999</v>
      </c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</row>
    <row r="1204" spans="1:27" ht="12.75">
      <c r="A1204" s="20"/>
      <c r="B1204" s="10">
        <v>46051</v>
      </c>
      <c r="C1204" s="11">
        <f>VLOOKUP(B:B,'Курс валют'!A:D,4,0)</f>
        <v>91.2988</v>
      </c>
      <c r="D1204" s="57" t="s">
        <v>1706</v>
      </c>
      <c r="E1204" s="50" t="s">
        <v>51</v>
      </c>
      <c r="F1204" s="58">
        <v>800</v>
      </c>
      <c r="G1204" s="13">
        <v>804.34</v>
      </c>
      <c r="H1204" s="56">
        <v>0</v>
      </c>
      <c r="I1204" s="13">
        <f t="shared" si="128"/>
        <v>4.3400000000000318</v>
      </c>
      <c r="J1204" s="14">
        <f t="shared" si="129"/>
        <v>0.54250000000000398</v>
      </c>
      <c r="K1204" s="56">
        <v>2</v>
      </c>
      <c r="L1204" s="15">
        <f t="shared" si="130"/>
        <v>0</v>
      </c>
      <c r="M1204" s="16">
        <f t="shared" si="131"/>
        <v>182.59759999999997</v>
      </c>
      <c r="N1204" s="17">
        <f t="shared" si="134"/>
        <v>2</v>
      </c>
      <c r="O1204" s="17">
        <f t="shared" si="132"/>
        <v>1600</v>
      </c>
      <c r="P1204" s="18">
        <f t="shared" si="133"/>
        <v>146078.07999999999</v>
      </c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</row>
    <row r="1205" spans="1:27" ht="12.75">
      <c r="A1205" s="20"/>
      <c r="B1205" s="10">
        <v>46051</v>
      </c>
      <c r="C1205" s="11">
        <f>VLOOKUP(B:B,'Курс валют'!A:D,4,0)</f>
        <v>91.2988</v>
      </c>
      <c r="D1205" s="57" t="s">
        <v>1707</v>
      </c>
      <c r="E1205" s="50" t="s">
        <v>104</v>
      </c>
      <c r="F1205" s="58">
        <v>2160</v>
      </c>
      <c r="G1205" s="13">
        <v>2237.8000000000002</v>
      </c>
      <c r="H1205" s="56">
        <v>0</v>
      </c>
      <c r="I1205" s="13">
        <f t="shared" si="128"/>
        <v>77.800000000000182</v>
      </c>
      <c r="J1205" s="14">
        <f t="shared" si="129"/>
        <v>3.6018518518518601</v>
      </c>
      <c r="K1205" s="56">
        <v>2.72</v>
      </c>
      <c r="L1205" s="15">
        <f t="shared" si="130"/>
        <v>0</v>
      </c>
      <c r="M1205" s="16">
        <f t="shared" si="131"/>
        <v>248.33273600000004</v>
      </c>
      <c r="N1205" s="17">
        <f t="shared" si="134"/>
        <v>2.72</v>
      </c>
      <c r="O1205" s="17">
        <f t="shared" si="132"/>
        <v>5875.2000000000007</v>
      </c>
      <c r="P1205" s="18">
        <f t="shared" si="133"/>
        <v>536398.70976000011</v>
      </c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</row>
    <row r="1206" spans="1:27" ht="12.75">
      <c r="A1206" s="20"/>
      <c r="B1206" s="10">
        <v>46052</v>
      </c>
      <c r="C1206" s="11">
        <f>VLOOKUP(B:B,'Курс валют'!A:D,4,0)</f>
        <v>90.975099999999998</v>
      </c>
      <c r="D1206" s="57" t="s">
        <v>1708</v>
      </c>
      <c r="E1206" s="50" t="s">
        <v>68</v>
      </c>
      <c r="F1206" s="58">
        <v>800</v>
      </c>
      <c r="G1206" s="58">
        <v>803.93</v>
      </c>
      <c r="H1206" s="56">
        <v>76.099999999999994</v>
      </c>
      <c r="I1206" s="58">
        <f t="shared" si="128"/>
        <v>3.92999999999995</v>
      </c>
      <c r="J1206" s="14">
        <f t="shared" si="129"/>
        <v>0.49124999999999375</v>
      </c>
      <c r="K1206" s="56">
        <v>2.16</v>
      </c>
      <c r="L1206" s="15">
        <f t="shared" si="130"/>
        <v>9.5124999999999993</v>
      </c>
      <c r="M1206" s="16">
        <f t="shared" si="131"/>
        <v>170.19803658199999</v>
      </c>
      <c r="N1206" s="17">
        <f t="shared" si="134"/>
        <v>1.8708199999999999</v>
      </c>
      <c r="O1206" s="17">
        <f t="shared" si="132"/>
        <v>1496.6559999999999</v>
      </c>
      <c r="P1206" s="18">
        <f t="shared" si="133"/>
        <v>136158.42926559999</v>
      </c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</row>
    <row r="1207" spans="1:27" ht="12.75">
      <c r="A1207" s="20"/>
      <c r="B1207" s="10">
        <v>46052</v>
      </c>
      <c r="C1207" s="11">
        <f>VLOOKUP(B:B,'Курс валют'!A:D,4,0)</f>
        <v>90.975099999999998</v>
      </c>
      <c r="D1207" s="57" t="s">
        <v>1709</v>
      </c>
      <c r="E1207" s="50" t="s">
        <v>68</v>
      </c>
      <c r="F1207" s="58">
        <v>800</v>
      </c>
      <c r="G1207" s="58">
        <v>803.93</v>
      </c>
      <c r="H1207" s="56">
        <v>76.099999999999994</v>
      </c>
      <c r="I1207" s="58">
        <f t="shared" si="128"/>
        <v>3.92999999999995</v>
      </c>
      <c r="J1207" s="14">
        <f t="shared" si="129"/>
        <v>0.49124999999999375</v>
      </c>
      <c r="K1207" s="56">
        <v>2.15</v>
      </c>
      <c r="L1207" s="15">
        <f t="shared" si="130"/>
        <v>9.5124999999999993</v>
      </c>
      <c r="M1207" s="16">
        <f t="shared" si="131"/>
        <v>169.28828558199999</v>
      </c>
      <c r="N1207" s="17">
        <f t="shared" si="134"/>
        <v>1.8608199999999999</v>
      </c>
      <c r="O1207" s="17">
        <f t="shared" si="132"/>
        <v>1488.6559999999999</v>
      </c>
      <c r="P1207" s="18">
        <f t="shared" si="133"/>
        <v>135430.62846559999</v>
      </c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</row>
    <row r="1208" spans="1:27" ht="12.75">
      <c r="A1208" s="20"/>
      <c r="B1208" s="10">
        <v>46052</v>
      </c>
      <c r="C1208" s="11">
        <f>VLOOKUP(B:B,'Курс валют'!A:D,4,0)</f>
        <v>90.975099999999998</v>
      </c>
      <c r="D1208" s="57" t="s">
        <v>1710</v>
      </c>
      <c r="E1208" s="50" t="s">
        <v>68</v>
      </c>
      <c r="F1208" s="58">
        <v>800</v>
      </c>
      <c r="G1208" s="58">
        <v>803.93</v>
      </c>
      <c r="H1208" s="56">
        <v>76.099999999999994</v>
      </c>
      <c r="I1208" s="58">
        <f t="shared" si="128"/>
        <v>3.92999999999995</v>
      </c>
      <c r="J1208" s="14">
        <f t="shared" si="129"/>
        <v>0.49124999999999375</v>
      </c>
      <c r="K1208" s="56">
        <v>2.15</v>
      </c>
      <c r="L1208" s="15">
        <f t="shared" si="130"/>
        <v>9.5124999999999993</v>
      </c>
      <c r="M1208" s="16">
        <f t="shared" si="131"/>
        <v>169.28828558199999</v>
      </c>
      <c r="N1208" s="17">
        <f t="shared" si="134"/>
        <v>1.8608199999999999</v>
      </c>
      <c r="O1208" s="17">
        <f t="shared" si="132"/>
        <v>1488.6559999999999</v>
      </c>
      <c r="P1208" s="18">
        <f t="shared" si="133"/>
        <v>135430.62846559999</v>
      </c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</row>
    <row r="1209" spans="1:27" ht="12.75">
      <c r="A1209" s="20"/>
      <c r="B1209" s="10">
        <v>46052</v>
      </c>
      <c r="C1209" s="11">
        <f>VLOOKUP(B:B,'Курс валют'!A:D,4,0)</f>
        <v>90.975099999999998</v>
      </c>
      <c r="D1209" s="57" t="s">
        <v>1711</v>
      </c>
      <c r="E1209" s="50" t="s">
        <v>68</v>
      </c>
      <c r="F1209" s="58">
        <v>800</v>
      </c>
      <c r="G1209" s="58">
        <v>803.93</v>
      </c>
      <c r="H1209" s="56">
        <v>76.099999999999994</v>
      </c>
      <c r="I1209" s="58">
        <f t="shared" si="128"/>
        <v>3.92999999999995</v>
      </c>
      <c r="J1209" s="14">
        <f t="shared" si="129"/>
        <v>0.49124999999999375</v>
      </c>
      <c r="K1209" s="56">
        <v>2.15</v>
      </c>
      <c r="L1209" s="15">
        <f t="shared" si="130"/>
        <v>9.5124999999999993</v>
      </c>
      <c r="M1209" s="16">
        <f t="shared" si="131"/>
        <v>169.28828558199999</v>
      </c>
      <c r="N1209" s="17">
        <f t="shared" si="134"/>
        <v>1.8608199999999999</v>
      </c>
      <c r="O1209" s="17">
        <f t="shared" si="132"/>
        <v>1488.6559999999999</v>
      </c>
      <c r="P1209" s="18">
        <f t="shared" si="133"/>
        <v>135430.62846559999</v>
      </c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</row>
    <row r="1210" spans="1:27" ht="12.75">
      <c r="A1210" s="20"/>
      <c r="B1210" s="10">
        <v>46052</v>
      </c>
      <c r="C1210" s="11">
        <f>VLOOKUP(B:B,'Курс валют'!A:D,4,0)</f>
        <v>90.975099999999998</v>
      </c>
      <c r="D1210" s="57" t="s">
        <v>1712</v>
      </c>
      <c r="E1210" s="50" t="s">
        <v>68</v>
      </c>
      <c r="F1210" s="58">
        <v>800</v>
      </c>
      <c r="G1210" s="58">
        <v>803.93</v>
      </c>
      <c r="H1210" s="56">
        <v>76.099999999999994</v>
      </c>
      <c r="I1210" s="58">
        <f t="shared" si="128"/>
        <v>3.92999999999995</v>
      </c>
      <c r="J1210" s="14">
        <f t="shared" si="129"/>
        <v>0.49124999999999375</v>
      </c>
      <c r="K1210" s="56">
        <v>2.15</v>
      </c>
      <c r="L1210" s="15">
        <f t="shared" si="130"/>
        <v>9.5124999999999993</v>
      </c>
      <c r="M1210" s="16">
        <f t="shared" si="131"/>
        <v>169.28828558199999</v>
      </c>
      <c r="N1210" s="17">
        <f t="shared" si="134"/>
        <v>1.8608199999999999</v>
      </c>
      <c r="O1210" s="17">
        <f t="shared" si="132"/>
        <v>1488.6559999999999</v>
      </c>
      <c r="P1210" s="18">
        <f t="shared" si="133"/>
        <v>135430.62846559999</v>
      </c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</row>
    <row r="1211" spans="1:27" ht="12.75">
      <c r="A1211" s="20"/>
      <c r="B1211" s="10">
        <v>46052</v>
      </c>
      <c r="C1211" s="11">
        <f>VLOOKUP(B:B,'Курс валют'!A:D,4,0)</f>
        <v>90.975099999999998</v>
      </c>
      <c r="D1211" s="57" t="s">
        <v>1713</v>
      </c>
      <c r="E1211" s="50" t="s">
        <v>104</v>
      </c>
      <c r="F1211" s="58">
        <v>2160</v>
      </c>
      <c r="G1211" s="13">
        <v>2210.3000000000002</v>
      </c>
      <c r="H1211" s="56">
        <v>0</v>
      </c>
      <c r="I1211" s="13">
        <f t="shared" si="128"/>
        <v>50.300000000000182</v>
      </c>
      <c r="J1211" s="14">
        <f t="shared" si="129"/>
        <v>2.3287037037037122</v>
      </c>
      <c r="K1211" s="56">
        <v>2.72</v>
      </c>
      <c r="L1211" s="15">
        <f t="shared" si="130"/>
        <v>0</v>
      </c>
      <c r="M1211" s="16">
        <f t="shared" si="131"/>
        <v>247.45227199999999</v>
      </c>
      <c r="N1211" s="17">
        <f t="shared" si="134"/>
        <v>2.72</v>
      </c>
      <c r="O1211" s="17">
        <f t="shared" si="132"/>
        <v>5875.2000000000007</v>
      </c>
      <c r="P1211" s="18">
        <f t="shared" si="133"/>
        <v>534496.90752000001</v>
      </c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</row>
    <row r="1212" spans="1:27" ht="12.75">
      <c r="A1212" s="20"/>
      <c r="B1212" s="10">
        <v>46053</v>
      </c>
      <c r="C1212" s="11">
        <f>VLOOKUP(B:B,'Курс валют'!A:D,4,0)</f>
        <v>90.468000000000004</v>
      </c>
      <c r="D1212" s="57" t="s">
        <v>1714</v>
      </c>
      <c r="E1212" s="50" t="s">
        <v>104</v>
      </c>
      <c r="F1212" s="58">
        <v>2160</v>
      </c>
      <c r="G1212" s="13">
        <v>2210.3000000000002</v>
      </c>
      <c r="H1212" s="56">
        <v>0</v>
      </c>
      <c r="I1212" s="13">
        <f t="shared" si="128"/>
        <v>50.300000000000182</v>
      </c>
      <c r="J1212" s="14">
        <f t="shared" si="129"/>
        <v>2.3287037037037122</v>
      </c>
      <c r="K1212" s="56">
        <v>2.72</v>
      </c>
      <c r="L1212" s="15">
        <f t="shared" si="130"/>
        <v>0</v>
      </c>
      <c r="M1212" s="16">
        <f t="shared" si="131"/>
        <v>246.07296000000005</v>
      </c>
      <c r="N1212" s="17">
        <f t="shared" si="134"/>
        <v>2.72</v>
      </c>
      <c r="O1212" s="17">
        <f t="shared" si="132"/>
        <v>5875.2000000000007</v>
      </c>
      <c r="P1212" s="18">
        <f t="shared" si="133"/>
        <v>531517.59360000014</v>
      </c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</row>
    <row r="1213" spans="1:27" ht="12.75">
      <c r="A1213" s="20"/>
      <c r="B1213" s="10">
        <v>46053</v>
      </c>
      <c r="C1213" s="11">
        <f>VLOOKUP(B:B,'Курс валют'!A:D,4,0)</f>
        <v>90.468000000000004</v>
      </c>
      <c r="D1213" s="57" t="s">
        <v>1715</v>
      </c>
      <c r="E1213" s="50" t="s">
        <v>95</v>
      </c>
      <c r="F1213" s="58">
        <v>9000</v>
      </c>
      <c r="G1213" s="61">
        <v>9020</v>
      </c>
      <c r="H1213" s="56">
        <v>0</v>
      </c>
      <c r="I1213" s="61">
        <f t="shared" si="128"/>
        <v>20</v>
      </c>
      <c r="J1213" s="14">
        <f t="shared" si="129"/>
        <v>0.22222222222222221</v>
      </c>
      <c r="K1213" s="56">
        <v>2.0499999999999998</v>
      </c>
      <c r="L1213" s="15">
        <f t="shared" si="130"/>
        <v>0</v>
      </c>
      <c r="M1213" s="16">
        <f t="shared" si="131"/>
        <v>185.45940000000002</v>
      </c>
      <c r="N1213" s="17">
        <f t="shared" si="134"/>
        <v>2.0499999999999998</v>
      </c>
      <c r="O1213" s="17">
        <f t="shared" si="132"/>
        <v>18450</v>
      </c>
      <c r="P1213" s="18">
        <f t="shared" si="133"/>
        <v>1669134.6</v>
      </c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</row>
    <row r="1214" spans="1:27" ht="12.75">
      <c r="A1214" s="20"/>
      <c r="B1214" s="10">
        <v>46053</v>
      </c>
      <c r="C1214" s="11">
        <f>VLOOKUP(B:B,'Курс валют'!A:D,4,0)</f>
        <v>90.468000000000004</v>
      </c>
      <c r="D1214" s="57" t="s">
        <v>1716</v>
      </c>
      <c r="E1214" s="50" t="s">
        <v>167</v>
      </c>
      <c r="F1214" s="58">
        <v>198</v>
      </c>
      <c r="G1214" s="58">
        <v>200</v>
      </c>
      <c r="H1214" s="56">
        <v>0</v>
      </c>
      <c r="I1214" s="58">
        <f t="shared" si="128"/>
        <v>2</v>
      </c>
      <c r="J1214" s="14">
        <f t="shared" si="129"/>
        <v>1.0101010101010102</v>
      </c>
      <c r="K1214" s="56">
        <v>2.42</v>
      </c>
      <c r="L1214" s="15">
        <f t="shared" si="130"/>
        <v>0</v>
      </c>
      <c r="M1214" s="16">
        <f t="shared" si="131"/>
        <v>218.93256</v>
      </c>
      <c r="N1214" s="17">
        <f t="shared" si="134"/>
        <v>2.42</v>
      </c>
      <c r="O1214" s="17">
        <f t="shared" si="132"/>
        <v>479.15999999999997</v>
      </c>
      <c r="P1214" s="18">
        <f t="shared" si="133"/>
        <v>43348.64688</v>
      </c>
      <c r="R1214" s="19" t="s">
        <v>1717</v>
      </c>
      <c r="S1214" s="20"/>
      <c r="T1214" s="20"/>
      <c r="U1214" s="20"/>
      <c r="V1214" s="20"/>
      <c r="W1214" s="20"/>
      <c r="X1214" s="20"/>
      <c r="Y1214" s="20"/>
      <c r="Z1214" s="20"/>
      <c r="AA1214" s="20"/>
    </row>
    <row r="1215" spans="1:27" ht="12.75">
      <c r="A1215" s="10"/>
      <c r="B1215" s="10">
        <v>46054</v>
      </c>
      <c r="C1215" s="11">
        <f>VLOOKUP(B:B,'Курс валют'!A:D,4,0)</f>
        <v>90.468000000000004</v>
      </c>
      <c r="D1215" s="45" t="s">
        <v>1423</v>
      </c>
      <c r="E1215" s="62" t="s">
        <v>104</v>
      </c>
      <c r="F1215" s="11">
        <v>2160</v>
      </c>
      <c r="G1215" s="15">
        <v>2197.8000000000002</v>
      </c>
      <c r="H1215" s="56">
        <v>0</v>
      </c>
      <c r="I1215" s="13">
        <f t="shared" ref="I1215:I1237" si="135">G1215-F1215</f>
        <v>37.800000000000182</v>
      </c>
      <c r="J1215" s="14">
        <f t="shared" ref="J1215:J1379" si="136">I1215/F1215*100</f>
        <v>1.7500000000000084</v>
      </c>
      <c r="K1215" s="46">
        <v>2.72</v>
      </c>
      <c r="L1215" s="15">
        <f t="shared" ref="L1215:L1379" si="137">H1215/F1215*100</f>
        <v>0</v>
      </c>
      <c r="M1215" s="16">
        <f t="shared" ref="M1215:M1379" si="138">P1215/F1215</f>
        <v>246.07296000000005</v>
      </c>
      <c r="N1215" s="17">
        <f t="shared" ref="N1215:N1379" si="139">(F1215*K1215-H1215*3.04)/F1215</f>
        <v>2.72</v>
      </c>
      <c r="O1215" s="17">
        <f t="shared" ref="O1215:O1379" si="140">N1215*F1215</f>
        <v>5875.2000000000007</v>
      </c>
      <c r="P1215" s="18">
        <f t="shared" ref="P1215:P1379" si="141">O1215*C1215</f>
        <v>531517.59360000014</v>
      </c>
      <c r="R1215" s="66"/>
      <c r="S1215" s="19"/>
      <c r="T1215" s="20"/>
      <c r="U1215" s="20"/>
      <c r="V1215" s="20"/>
      <c r="W1215" s="20"/>
      <c r="X1215" s="20"/>
      <c r="Y1215" s="20"/>
      <c r="Z1215" s="20"/>
      <c r="AA1215" s="20"/>
    </row>
    <row r="1216" spans="1:27" ht="12.75">
      <c r="A1216" s="10"/>
      <c r="B1216" s="10">
        <v>46054</v>
      </c>
      <c r="C1216" s="11">
        <f>VLOOKUP(B:B,'Курс валют'!A:D,4,0)</f>
        <v>90.468000000000004</v>
      </c>
      <c r="D1216" s="57" t="s">
        <v>1424</v>
      </c>
      <c r="E1216" s="12" t="s">
        <v>103</v>
      </c>
      <c r="F1216" s="58">
        <v>800</v>
      </c>
      <c r="G1216" s="58">
        <v>804.5</v>
      </c>
      <c r="H1216" s="56">
        <v>67.16</v>
      </c>
      <c r="I1216" s="58">
        <f t="shared" si="135"/>
        <v>4.5</v>
      </c>
      <c r="J1216" s="14">
        <f t="shared" si="136"/>
        <v>0.5625</v>
      </c>
      <c r="K1216" s="56">
        <v>2.13</v>
      </c>
      <c r="L1216" s="15">
        <f t="shared" si="137"/>
        <v>8.3949999999999996</v>
      </c>
      <c r="M1216" s="16">
        <f t="shared" si="138"/>
        <v>169.60868265599998</v>
      </c>
      <c r="N1216" s="17">
        <f t="shared" si="139"/>
        <v>1.874792</v>
      </c>
      <c r="O1216" s="17">
        <f t="shared" si="140"/>
        <v>1499.8335999999999</v>
      </c>
      <c r="P1216" s="18">
        <f t="shared" si="141"/>
        <v>135686.94612479999</v>
      </c>
      <c r="R1216" s="66"/>
      <c r="S1216" s="19"/>
      <c r="T1216" s="20"/>
      <c r="U1216" s="20"/>
      <c r="V1216" s="20"/>
      <c r="W1216" s="20"/>
      <c r="X1216" s="20"/>
      <c r="Y1216" s="20"/>
      <c r="Z1216" s="20"/>
      <c r="AA1216" s="20"/>
    </row>
    <row r="1217" spans="1:27" ht="12.75">
      <c r="A1217" s="10"/>
      <c r="B1217" s="10">
        <v>46054</v>
      </c>
      <c r="C1217" s="11">
        <f>VLOOKUP(B:B,'Курс валют'!A:D,4,0)</f>
        <v>90.468000000000004</v>
      </c>
      <c r="D1217" s="57" t="s">
        <v>1425</v>
      </c>
      <c r="E1217" s="12" t="s">
        <v>103</v>
      </c>
      <c r="F1217" s="58">
        <v>800</v>
      </c>
      <c r="G1217" s="58">
        <v>804.5</v>
      </c>
      <c r="H1217" s="56">
        <v>0</v>
      </c>
      <c r="I1217" s="58">
        <f t="shared" si="135"/>
        <v>4.5</v>
      </c>
      <c r="J1217" s="14">
        <f t="shared" si="136"/>
        <v>0.5625</v>
      </c>
      <c r="K1217" s="56">
        <v>1.93</v>
      </c>
      <c r="L1217" s="15">
        <f t="shared" si="137"/>
        <v>0</v>
      </c>
      <c r="M1217" s="16">
        <f t="shared" si="138"/>
        <v>174.60324</v>
      </c>
      <c r="N1217" s="17">
        <f t="shared" si="139"/>
        <v>1.93</v>
      </c>
      <c r="O1217" s="17">
        <f t="shared" si="140"/>
        <v>1544</v>
      </c>
      <c r="P1217" s="18">
        <f t="shared" si="141"/>
        <v>139682.592</v>
      </c>
      <c r="R1217" s="66"/>
      <c r="S1217" s="19"/>
      <c r="T1217" s="20"/>
      <c r="U1217" s="20"/>
      <c r="V1217" s="20"/>
      <c r="W1217" s="20"/>
      <c r="X1217" s="20"/>
      <c r="Y1217" s="20"/>
      <c r="Z1217" s="20"/>
      <c r="AA1217" s="20"/>
    </row>
    <row r="1218" spans="1:27" ht="12.75">
      <c r="A1218" s="10"/>
      <c r="B1218" s="10">
        <v>46054</v>
      </c>
      <c r="C1218" s="11">
        <f>VLOOKUP(B:B,'Курс валют'!A:D,4,0)</f>
        <v>90.468000000000004</v>
      </c>
      <c r="D1218" s="57" t="s">
        <v>1426</v>
      </c>
      <c r="E1218" s="12" t="s">
        <v>103</v>
      </c>
      <c r="F1218" s="58">
        <v>800</v>
      </c>
      <c r="G1218" s="58">
        <v>804.5</v>
      </c>
      <c r="H1218" s="56">
        <v>0</v>
      </c>
      <c r="I1218" s="58">
        <f t="shared" si="135"/>
        <v>4.5</v>
      </c>
      <c r="J1218" s="14">
        <f t="shared" si="136"/>
        <v>0.5625</v>
      </c>
      <c r="K1218" s="56">
        <v>1.93</v>
      </c>
      <c r="L1218" s="15">
        <f t="shared" si="137"/>
        <v>0</v>
      </c>
      <c r="M1218" s="16">
        <f t="shared" si="138"/>
        <v>174.60324</v>
      </c>
      <c r="N1218" s="17">
        <f t="shared" si="139"/>
        <v>1.93</v>
      </c>
      <c r="O1218" s="17">
        <f t="shared" si="140"/>
        <v>1544</v>
      </c>
      <c r="P1218" s="18">
        <f t="shared" si="141"/>
        <v>139682.592</v>
      </c>
      <c r="R1218" s="66"/>
      <c r="S1218" s="19"/>
      <c r="T1218" s="20"/>
      <c r="U1218" s="20"/>
      <c r="V1218" s="20"/>
      <c r="W1218" s="20"/>
      <c r="X1218" s="20"/>
      <c r="Y1218" s="20"/>
      <c r="Z1218" s="20"/>
      <c r="AA1218" s="20"/>
    </row>
    <row r="1219" spans="1:27" ht="12.75">
      <c r="A1219" s="10"/>
      <c r="B1219" s="10">
        <v>46054</v>
      </c>
      <c r="C1219" s="11">
        <f>VLOOKUP(B:B,'Курс валют'!A:D,4,0)</f>
        <v>90.468000000000004</v>
      </c>
      <c r="D1219" s="57" t="s">
        <v>1427</v>
      </c>
      <c r="E1219" s="12" t="s">
        <v>103</v>
      </c>
      <c r="F1219" s="58">
        <v>800</v>
      </c>
      <c r="G1219" s="58">
        <v>804.5</v>
      </c>
      <c r="H1219" s="56">
        <v>0</v>
      </c>
      <c r="I1219" s="58">
        <f t="shared" si="135"/>
        <v>4.5</v>
      </c>
      <c r="J1219" s="14">
        <f t="shared" si="136"/>
        <v>0.5625</v>
      </c>
      <c r="K1219" s="56">
        <v>1.93</v>
      </c>
      <c r="L1219" s="15">
        <f t="shared" si="137"/>
        <v>0</v>
      </c>
      <c r="M1219" s="16">
        <f t="shared" si="138"/>
        <v>174.60324</v>
      </c>
      <c r="N1219" s="17">
        <f t="shared" si="139"/>
        <v>1.93</v>
      </c>
      <c r="O1219" s="17">
        <f t="shared" si="140"/>
        <v>1544</v>
      </c>
      <c r="P1219" s="18">
        <f t="shared" si="141"/>
        <v>139682.592</v>
      </c>
      <c r="R1219" s="66"/>
      <c r="S1219" s="19"/>
      <c r="T1219" s="20"/>
      <c r="U1219" s="20"/>
      <c r="V1219" s="20"/>
      <c r="W1219" s="20"/>
      <c r="X1219" s="20"/>
      <c r="Y1219" s="20"/>
      <c r="Z1219" s="20"/>
      <c r="AA1219" s="20"/>
    </row>
    <row r="1220" spans="1:27" ht="12.75">
      <c r="A1220" s="10"/>
      <c r="B1220" s="10">
        <v>46054</v>
      </c>
      <c r="C1220" s="11">
        <f>VLOOKUP(B:B,'Курс валют'!A:D,4,0)</f>
        <v>90.468000000000004</v>
      </c>
      <c r="D1220" s="57" t="s">
        <v>1428</v>
      </c>
      <c r="E1220" s="12" t="s">
        <v>103</v>
      </c>
      <c r="F1220" s="58">
        <v>800</v>
      </c>
      <c r="G1220" s="58">
        <v>804.5</v>
      </c>
      <c r="H1220" s="56">
        <v>0</v>
      </c>
      <c r="I1220" s="58">
        <f t="shared" si="135"/>
        <v>4.5</v>
      </c>
      <c r="J1220" s="14">
        <f t="shared" si="136"/>
        <v>0.5625</v>
      </c>
      <c r="K1220" s="56">
        <v>1.94</v>
      </c>
      <c r="L1220" s="15">
        <f t="shared" si="137"/>
        <v>0</v>
      </c>
      <c r="M1220" s="16">
        <f t="shared" si="138"/>
        <v>175.50792000000001</v>
      </c>
      <c r="N1220" s="17">
        <f t="shared" si="139"/>
        <v>1.94</v>
      </c>
      <c r="O1220" s="17">
        <f t="shared" si="140"/>
        <v>1552</v>
      </c>
      <c r="P1220" s="18">
        <f t="shared" si="141"/>
        <v>140406.33600000001</v>
      </c>
      <c r="R1220" s="66"/>
      <c r="S1220" s="19"/>
      <c r="T1220" s="20"/>
      <c r="U1220" s="20"/>
      <c r="V1220" s="20"/>
      <c r="W1220" s="20"/>
      <c r="X1220" s="20"/>
      <c r="Y1220" s="20"/>
      <c r="Z1220" s="20"/>
      <c r="AA1220" s="20"/>
    </row>
    <row r="1221" spans="1:27" ht="12.75">
      <c r="A1221" s="10"/>
      <c r="B1221" s="10">
        <v>46054</v>
      </c>
      <c r="C1221" s="11">
        <f>VLOOKUP(B:B,'Курс валют'!A:D,4,0)</f>
        <v>90.468000000000004</v>
      </c>
      <c r="D1221" s="57" t="s">
        <v>1429</v>
      </c>
      <c r="E1221" s="12" t="s">
        <v>103</v>
      </c>
      <c r="F1221" s="58">
        <v>800</v>
      </c>
      <c r="G1221" s="58">
        <v>804.5</v>
      </c>
      <c r="H1221" s="56">
        <v>0</v>
      </c>
      <c r="I1221" s="58">
        <f t="shared" si="135"/>
        <v>4.5</v>
      </c>
      <c r="J1221" s="14">
        <f t="shared" si="136"/>
        <v>0.5625</v>
      </c>
      <c r="K1221" s="56">
        <v>1.93</v>
      </c>
      <c r="L1221" s="15">
        <f t="shared" si="137"/>
        <v>0</v>
      </c>
      <c r="M1221" s="16">
        <f t="shared" si="138"/>
        <v>174.60324</v>
      </c>
      <c r="N1221" s="17">
        <f t="shared" si="139"/>
        <v>1.93</v>
      </c>
      <c r="O1221" s="17">
        <f t="shared" si="140"/>
        <v>1544</v>
      </c>
      <c r="P1221" s="18">
        <f t="shared" si="141"/>
        <v>139682.592</v>
      </c>
      <c r="R1221" s="66"/>
      <c r="S1221" s="19"/>
      <c r="T1221" s="20"/>
      <c r="U1221" s="20"/>
      <c r="V1221" s="20"/>
      <c r="W1221" s="20"/>
      <c r="X1221" s="20"/>
      <c r="Y1221" s="20"/>
      <c r="Z1221" s="20"/>
      <c r="AA1221" s="20"/>
    </row>
    <row r="1222" spans="1:27" ht="12.75">
      <c r="A1222" s="10"/>
      <c r="B1222" s="10">
        <v>46054</v>
      </c>
      <c r="C1222" s="11">
        <f>VLOOKUP(B:B,'Курс валют'!A:D,4,0)</f>
        <v>90.468000000000004</v>
      </c>
      <c r="D1222" s="57" t="s">
        <v>1430</v>
      </c>
      <c r="E1222" s="12" t="s">
        <v>103</v>
      </c>
      <c r="F1222" s="58">
        <v>800</v>
      </c>
      <c r="G1222" s="58">
        <v>804.5</v>
      </c>
      <c r="H1222" s="56">
        <v>0</v>
      </c>
      <c r="I1222" s="58">
        <f t="shared" si="135"/>
        <v>4.5</v>
      </c>
      <c r="J1222" s="14">
        <f t="shared" si="136"/>
        <v>0.5625</v>
      </c>
      <c r="K1222" s="56">
        <v>1.93</v>
      </c>
      <c r="L1222" s="15">
        <f t="shared" si="137"/>
        <v>0</v>
      </c>
      <c r="M1222" s="16">
        <f t="shared" si="138"/>
        <v>174.60324</v>
      </c>
      <c r="N1222" s="17">
        <f t="shared" si="139"/>
        <v>1.93</v>
      </c>
      <c r="O1222" s="17">
        <f t="shared" si="140"/>
        <v>1544</v>
      </c>
      <c r="P1222" s="18">
        <f t="shared" si="141"/>
        <v>139682.592</v>
      </c>
      <c r="R1222" s="66"/>
      <c r="S1222" s="19"/>
      <c r="T1222" s="20"/>
      <c r="U1222" s="20"/>
      <c r="V1222" s="20"/>
      <c r="W1222" s="20"/>
      <c r="X1222" s="20"/>
      <c r="Y1222" s="20"/>
      <c r="Z1222" s="20"/>
      <c r="AA1222" s="20"/>
    </row>
    <row r="1223" spans="1:27" ht="12.75">
      <c r="A1223" s="10"/>
      <c r="B1223" s="10">
        <v>46054</v>
      </c>
      <c r="C1223" s="11">
        <f>VLOOKUP(B:B,'Курс валют'!A:D,4,0)</f>
        <v>90.468000000000004</v>
      </c>
      <c r="D1223" s="57" t="s">
        <v>1431</v>
      </c>
      <c r="E1223" s="12" t="s">
        <v>103</v>
      </c>
      <c r="F1223" s="58">
        <v>800</v>
      </c>
      <c r="G1223" s="58">
        <v>804.5</v>
      </c>
      <c r="H1223" s="56">
        <v>0</v>
      </c>
      <c r="I1223" s="58">
        <f t="shared" si="135"/>
        <v>4.5</v>
      </c>
      <c r="J1223" s="14">
        <f t="shared" si="136"/>
        <v>0.5625</v>
      </c>
      <c r="K1223" s="56">
        <v>1.94</v>
      </c>
      <c r="L1223" s="15">
        <f t="shared" si="137"/>
        <v>0</v>
      </c>
      <c r="M1223" s="16">
        <f t="shared" si="138"/>
        <v>175.50792000000001</v>
      </c>
      <c r="N1223" s="17">
        <f t="shared" si="139"/>
        <v>1.94</v>
      </c>
      <c r="O1223" s="17">
        <f t="shared" si="140"/>
        <v>1552</v>
      </c>
      <c r="P1223" s="18">
        <f t="shared" si="141"/>
        <v>140406.33600000001</v>
      </c>
      <c r="R1223" s="66"/>
      <c r="S1223" s="19"/>
      <c r="T1223" s="20"/>
      <c r="U1223" s="20"/>
      <c r="V1223" s="20"/>
      <c r="W1223" s="20"/>
      <c r="X1223" s="20"/>
      <c r="Y1223" s="20"/>
      <c r="Z1223" s="20"/>
      <c r="AA1223" s="20"/>
    </row>
    <row r="1224" spans="1:27" ht="12.75">
      <c r="A1224" s="10"/>
      <c r="B1224" s="10">
        <v>46054</v>
      </c>
      <c r="C1224" s="11">
        <f>VLOOKUP(B:B,'Курс валют'!A:D,4,0)</f>
        <v>90.468000000000004</v>
      </c>
      <c r="D1224" s="57" t="s">
        <v>1432</v>
      </c>
      <c r="E1224" s="12" t="s">
        <v>103</v>
      </c>
      <c r="F1224" s="58">
        <v>800</v>
      </c>
      <c r="G1224" s="58">
        <v>804.5</v>
      </c>
      <c r="H1224" s="56">
        <v>0</v>
      </c>
      <c r="I1224" s="58">
        <f t="shared" si="135"/>
        <v>4.5</v>
      </c>
      <c r="J1224" s="14">
        <f t="shared" si="136"/>
        <v>0.5625</v>
      </c>
      <c r="K1224" s="56">
        <v>1.93</v>
      </c>
      <c r="L1224" s="15">
        <f t="shared" si="137"/>
        <v>0</v>
      </c>
      <c r="M1224" s="16">
        <f t="shared" si="138"/>
        <v>174.60324</v>
      </c>
      <c r="N1224" s="17">
        <f t="shared" si="139"/>
        <v>1.93</v>
      </c>
      <c r="O1224" s="17">
        <f t="shared" si="140"/>
        <v>1544</v>
      </c>
      <c r="P1224" s="18">
        <f t="shared" si="141"/>
        <v>139682.592</v>
      </c>
      <c r="R1224" s="66"/>
      <c r="S1224" s="19"/>
      <c r="T1224" s="20"/>
      <c r="U1224" s="20"/>
      <c r="V1224" s="20"/>
      <c r="W1224" s="20"/>
      <c r="X1224" s="20"/>
      <c r="Y1224" s="20"/>
      <c r="Z1224" s="20"/>
      <c r="AA1224" s="20"/>
    </row>
    <row r="1225" spans="1:27" ht="12.75">
      <c r="A1225" s="10"/>
      <c r="B1225" s="10">
        <v>46054</v>
      </c>
      <c r="C1225" s="11">
        <f>VLOOKUP(B:B,'Курс валют'!A:D,4,0)</f>
        <v>90.468000000000004</v>
      </c>
      <c r="D1225" s="57" t="s">
        <v>1433</v>
      </c>
      <c r="E1225" s="12" t="s">
        <v>103</v>
      </c>
      <c r="F1225" s="58">
        <v>800</v>
      </c>
      <c r="G1225" s="58">
        <v>804.5</v>
      </c>
      <c r="H1225" s="22">
        <v>0</v>
      </c>
      <c r="I1225" s="58">
        <f t="shared" si="135"/>
        <v>4.5</v>
      </c>
      <c r="J1225" s="14">
        <f t="shared" si="136"/>
        <v>0.5625</v>
      </c>
      <c r="K1225" s="56">
        <v>1.93</v>
      </c>
      <c r="L1225" s="15">
        <f t="shared" si="137"/>
        <v>0</v>
      </c>
      <c r="M1225" s="16">
        <f t="shared" si="138"/>
        <v>174.60324</v>
      </c>
      <c r="N1225" s="17">
        <f t="shared" si="139"/>
        <v>1.93</v>
      </c>
      <c r="O1225" s="17">
        <f t="shared" si="140"/>
        <v>1544</v>
      </c>
      <c r="P1225" s="18">
        <f t="shared" si="141"/>
        <v>139682.592</v>
      </c>
      <c r="R1225" s="66"/>
      <c r="S1225" s="19"/>
      <c r="T1225" s="20"/>
      <c r="U1225" s="20"/>
      <c r="V1225" s="20"/>
      <c r="W1225" s="20"/>
      <c r="X1225" s="20"/>
      <c r="Y1225" s="20"/>
      <c r="Z1225" s="20"/>
      <c r="AA1225" s="20"/>
    </row>
    <row r="1226" spans="1:27" ht="12.75">
      <c r="A1226" s="10"/>
      <c r="B1226" s="10">
        <v>46055</v>
      </c>
      <c r="C1226" s="11">
        <f>VLOOKUP(B:B,'Курс валют'!A:D,4,0)</f>
        <v>90.468000000000004</v>
      </c>
      <c r="D1226" s="57" t="s">
        <v>1434</v>
      </c>
      <c r="E1226" s="21" t="s">
        <v>104</v>
      </c>
      <c r="F1226" s="58">
        <v>720</v>
      </c>
      <c r="G1226" s="58">
        <v>762.3</v>
      </c>
      <c r="H1226" s="56">
        <v>0</v>
      </c>
      <c r="I1226" s="58">
        <f t="shared" si="135"/>
        <v>42.299999999999955</v>
      </c>
      <c r="J1226" s="14">
        <f t="shared" si="136"/>
        <v>5.8749999999999938</v>
      </c>
      <c r="K1226" s="56">
        <v>2.74</v>
      </c>
      <c r="L1226" s="15">
        <f t="shared" si="137"/>
        <v>0</v>
      </c>
      <c r="M1226" s="16">
        <f t="shared" si="138"/>
        <v>247.88232000000005</v>
      </c>
      <c r="N1226" s="23">
        <f t="shared" si="139"/>
        <v>2.74</v>
      </c>
      <c r="O1226" s="17">
        <f t="shared" si="140"/>
        <v>1972.8000000000002</v>
      </c>
      <c r="P1226" s="18">
        <f t="shared" si="141"/>
        <v>178475.27040000004</v>
      </c>
      <c r="R1226" s="66"/>
      <c r="S1226" s="19"/>
      <c r="T1226" s="20"/>
      <c r="U1226" s="20"/>
      <c r="V1226" s="20"/>
      <c r="W1226" s="20"/>
      <c r="X1226" s="20"/>
      <c r="Y1226" s="20"/>
      <c r="Z1226" s="20"/>
      <c r="AA1226" s="20"/>
    </row>
    <row r="1227" spans="1:27" ht="12.75">
      <c r="A1227" s="10"/>
      <c r="B1227" s="10">
        <v>46055</v>
      </c>
      <c r="C1227" s="11">
        <f>VLOOKUP(B:B,'Курс валют'!A:D,4,0)</f>
        <v>90.468000000000004</v>
      </c>
      <c r="D1227" s="57" t="s">
        <v>1435</v>
      </c>
      <c r="E1227" s="21" t="s">
        <v>50</v>
      </c>
      <c r="F1227" s="58">
        <v>800</v>
      </c>
      <c r="G1227" s="58">
        <v>803.77</v>
      </c>
      <c r="H1227" s="22">
        <v>0</v>
      </c>
      <c r="I1227" s="58">
        <f t="shared" si="135"/>
        <v>3.7699999999999818</v>
      </c>
      <c r="J1227" s="14">
        <f t="shared" si="136"/>
        <v>0.47124999999999773</v>
      </c>
      <c r="K1227" s="56">
        <v>1.95</v>
      </c>
      <c r="L1227" s="15">
        <f t="shared" si="137"/>
        <v>0</v>
      </c>
      <c r="M1227" s="16">
        <f t="shared" si="138"/>
        <v>176.41260000000003</v>
      </c>
      <c r="N1227" s="17">
        <f t="shared" si="139"/>
        <v>1.95</v>
      </c>
      <c r="O1227" s="17">
        <f t="shared" si="140"/>
        <v>1560</v>
      </c>
      <c r="P1227" s="18">
        <f t="shared" si="141"/>
        <v>141130.08000000002</v>
      </c>
      <c r="R1227" s="66"/>
      <c r="S1227" s="19"/>
      <c r="T1227" s="20"/>
      <c r="U1227" s="20"/>
      <c r="V1227" s="20"/>
      <c r="W1227" s="20"/>
      <c r="X1227" s="20"/>
      <c r="Y1227" s="20"/>
      <c r="Z1227" s="20"/>
      <c r="AA1227" s="20"/>
    </row>
    <row r="1228" spans="1:27" ht="12.75">
      <c r="A1228" s="10"/>
      <c r="B1228" s="10">
        <v>46055</v>
      </c>
      <c r="C1228" s="11">
        <f>VLOOKUP(B:B,'Курс валют'!A:D,4,0)</f>
        <v>90.468000000000004</v>
      </c>
      <c r="D1228" s="57" t="s">
        <v>1436</v>
      </c>
      <c r="E1228" s="21" t="s">
        <v>50</v>
      </c>
      <c r="F1228" s="58">
        <v>800</v>
      </c>
      <c r="G1228" s="58">
        <v>803.77</v>
      </c>
      <c r="H1228" s="22">
        <v>0</v>
      </c>
      <c r="I1228" s="58">
        <f t="shared" si="135"/>
        <v>3.7699999999999818</v>
      </c>
      <c r="J1228" s="14">
        <f t="shared" si="136"/>
        <v>0.47124999999999773</v>
      </c>
      <c r="K1228" s="56">
        <v>1.95</v>
      </c>
      <c r="L1228" s="15">
        <f t="shared" si="137"/>
        <v>0</v>
      </c>
      <c r="M1228" s="16">
        <f t="shared" si="138"/>
        <v>176.41260000000003</v>
      </c>
      <c r="N1228" s="17">
        <f t="shared" si="139"/>
        <v>1.95</v>
      </c>
      <c r="O1228" s="17">
        <f t="shared" si="140"/>
        <v>1560</v>
      </c>
      <c r="P1228" s="18">
        <f t="shared" si="141"/>
        <v>141130.08000000002</v>
      </c>
      <c r="R1228" s="66"/>
      <c r="S1228" s="19"/>
      <c r="T1228" s="20"/>
      <c r="U1228" s="20"/>
      <c r="V1228" s="20"/>
      <c r="W1228" s="20"/>
      <c r="X1228" s="20"/>
      <c r="Y1228" s="20"/>
      <c r="Z1228" s="20"/>
      <c r="AA1228" s="20"/>
    </row>
    <row r="1229" spans="1:27" ht="12.75">
      <c r="A1229" s="10"/>
      <c r="B1229" s="10">
        <v>46055</v>
      </c>
      <c r="C1229" s="11">
        <f>VLOOKUP(B:B,'Курс валют'!A:D,4,0)</f>
        <v>90.468000000000004</v>
      </c>
      <c r="D1229" s="57" t="s">
        <v>1437</v>
      </c>
      <c r="E1229" s="21" t="s">
        <v>50</v>
      </c>
      <c r="F1229" s="58">
        <v>800</v>
      </c>
      <c r="G1229" s="58">
        <v>803.77</v>
      </c>
      <c r="H1229" s="22">
        <v>0</v>
      </c>
      <c r="I1229" s="58">
        <f t="shared" si="135"/>
        <v>3.7699999999999818</v>
      </c>
      <c r="J1229" s="14">
        <f t="shared" si="136"/>
        <v>0.47124999999999773</v>
      </c>
      <c r="K1229" s="56">
        <v>1.95</v>
      </c>
      <c r="L1229" s="15">
        <f t="shared" si="137"/>
        <v>0</v>
      </c>
      <c r="M1229" s="16">
        <f t="shared" si="138"/>
        <v>176.41260000000003</v>
      </c>
      <c r="N1229" s="23">
        <f t="shared" si="139"/>
        <v>1.95</v>
      </c>
      <c r="O1229" s="17">
        <f t="shared" si="140"/>
        <v>1560</v>
      </c>
      <c r="P1229" s="18">
        <f t="shared" si="141"/>
        <v>141130.08000000002</v>
      </c>
      <c r="R1229" s="66"/>
      <c r="S1229" s="19"/>
      <c r="T1229" s="20"/>
      <c r="U1229" s="20"/>
      <c r="V1229" s="20"/>
      <c r="W1229" s="20"/>
      <c r="X1229" s="20"/>
      <c r="Y1229" s="20"/>
      <c r="Z1229" s="20"/>
      <c r="AA1229" s="20"/>
    </row>
    <row r="1230" spans="1:27" ht="12.75">
      <c r="A1230" s="10"/>
      <c r="B1230" s="10">
        <v>46055</v>
      </c>
      <c r="C1230" s="11">
        <f>VLOOKUP(B:B,'Курс валют'!A:D,4,0)</f>
        <v>90.468000000000004</v>
      </c>
      <c r="D1230" s="57" t="s">
        <v>1438</v>
      </c>
      <c r="E1230" s="21" t="s">
        <v>50</v>
      </c>
      <c r="F1230" s="58">
        <v>800</v>
      </c>
      <c r="G1230" s="58">
        <v>804.77</v>
      </c>
      <c r="H1230" s="22">
        <v>0</v>
      </c>
      <c r="I1230" s="58">
        <f t="shared" si="135"/>
        <v>4.7699999999999818</v>
      </c>
      <c r="J1230" s="14">
        <f t="shared" si="136"/>
        <v>0.59624999999999773</v>
      </c>
      <c r="K1230" s="56">
        <v>1.95</v>
      </c>
      <c r="L1230" s="15">
        <f t="shared" si="137"/>
        <v>0</v>
      </c>
      <c r="M1230" s="16">
        <f t="shared" si="138"/>
        <v>176.41260000000003</v>
      </c>
      <c r="N1230" s="23">
        <f t="shared" si="139"/>
        <v>1.95</v>
      </c>
      <c r="O1230" s="17">
        <f t="shared" si="140"/>
        <v>1560</v>
      </c>
      <c r="P1230" s="18">
        <f t="shared" si="141"/>
        <v>141130.08000000002</v>
      </c>
      <c r="R1230" s="66"/>
      <c r="S1230" s="19"/>
      <c r="T1230" s="20"/>
      <c r="U1230" s="20"/>
      <c r="V1230" s="20"/>
      <c r="W1230" s="20"/>
      <c r="X1230" s="20"/>
      <c r="Y1230" s="20"/>
      <c r="Z1230" s="20"/>
      <c r="AA1230" s="20"/>
    </row>
    <row r="1231" spans="1:27" ht="12.75">
      <c r="A1231" s="54"/>
      <c r="B1231" s="10">
        <v>46055</v>
      </c>
      <c r="C1231" s="11">
        <f>VLOOKUP(B:B,'Курс валют'!A:D,4,0)</f>
        <v>90.468000000000004</v>
      </c>
      <c r="D1231" s="57" t="s">
        <v>1439</v>
      </c>
      <c r="E1231" s="21" t="s">
        <v>50</v>
      </c>
      <c r="F1231" s="58">
        <v>800</v>
      </c>
      <c r="G1231" s="58">
        <v>804.77</v>
      </c>
      <c r="H1231" s="22">
        <v>0</v>
      </c>
      <c r="I1231" s="58">
        <f t="shared" si="135"/>
        <v>4.7699999999999818</v>
      </c>
      <c r="J1231" s="14">
        <f t="shared" si="136"/>
        <v>0.59624999999999773</v>
      </c>
      <c r="K1231" s="56">
        <v>1.95</v>
      </c>
      <c r="L1231" s="15">
        <f t="shared" si="137"/>
        <v>0</v>
      </c>
      <c r="M1231" s="16">
        <f t="shared" si="138"/>
        <v>176.41260000000003</v>
      </c>
      <c r="N1231" s="17">
        <f t="shared" si="139"/>
        <v>1.95</v>
      </c>
      <c r="O1231" s="17">
        <f t="shared" si="140"/>
        <v>1560</v>
      </c>
      <c r="P1231" s="18">
        <f t="shared" si="141"/>
        <v>141130.08000000002</v>
      </c>
      <c r="R1231" s="65"/>
      <c r="S1231" s="19"/>
      <c r="T1231" s="24"/>
      <c r="U1231" s="24"/>
      <c r="V1231" s="24"/>
      <c r="W1231" s="24"/>
      <c r="X1231" s="24"/>
      <c r="Y1231" s="24"/>
      <c r="Z1231" s="24"/>
      <c r="AA1231" s="24"/>
    </row>
    <row r="1232" spans="1:27" ht="12.75">
      <c r="A1232" s="54"/>
      <c r="B1232" s="10">
        <v>46055</v>
      </c>
      <c r="C1232" s="11">
        <f>VLOOKUP(B:B,'Курс валют'!A:D,4,0)</f>
        <v>90.468000000000004</v>
      </c>
      <c r="D1232" s="57" t="s">
        <v>1440</v>
      </c>
      <c r="E1232" s="21" t="s">
        <v>50</v>
      </c>
      <c r="F1232" s="58">
        <v>800</v>
      </c>
      <c r="G1232" s="58">
        <v>804.77</v>
      </c>
      <c r="H1232" s="22">
        <v>0</v>
      </c>
      <c r="I1232" s="58">
        <f t="shared" si="135"/>
        <v>4.7699999999999818</v>
      </c>
      <c r="J1232" s="14">
        <f t="shared" si="136"/>
        <v>0.59624999999999773</v>
      </c>
      <c r="K1232" s="56">
        <v>1.95</v>
      </c>
      <c r="L1232" s="15">
        <f t="shared" si="137"/>
        <v>0</v>
      </c>
      <c r="M1232" s="16">
        <f t="shared" si="138"/>
        <v>176.41260000000003</v>
      </c>
      <c r="N1232" s="17">
        <f t="shared" si="139"/>
        <v>1.95</v>
      </c>
      <c r="O1232" s="17">
        <f t="shared" si="140"/>
        <v>1560</v>
      </c>
      <c r="P1232" s="18">
        <f t="shared" si="141"/>
        <v>141130.08000000002</v>
      </c>
      <c r="R1232" s="65"/>
      <c r="S1232" s="19"/>
      <c r="T1232" s="20"/>
      <c r="U1232" s="20"/>
      <c r="V1232" s="20"/>
      <c r="W1232" s="20"/>
      <c r="X1232" s="20"/>
      <c r="Y1232" s="20"/>
      <c r="Z1232" s="20"/>
      <c r="AA1232" s="20"/>
    </row>
    <row r="1233" spans="1:27" ht="12.75">
      <c r="A1233" s="54"/>
      <c r="B1233" s="10">
        <v>46055</v>
      </c>
      <c r="C1233" s="11">
        <f>VLOOKUP(B:B,'Курс валют'!A:D,4,0)</f>
        <v>90.468000000000004</v>
      </c>
      <c r="D1233" s="57" t="s">
        <v>1441</v>
      </c>
      <c r="E1233" s="21" t="s">
        <v>50</v>
      </c>
      <c r="F1233" s="58">
        <v>800</v>
      </c>
      <c r="G1233" s="58">
        <v>804.77</v>
      </c>
      <c r="H1233" s="22">
        <v>0</v>
      </c>
      <c r="I1233" s="58">
        <f t="shared" si="135"/>
        <v>4.7699999999999818</v>
      </c>
      <c r="J1233" s="14">
        <f t="shared" si="136"/>
        <v>0.59624999999999773</v>
      </c>
      <c r="K1233" s="56">
        <v>1.95</v>
      </c>
      <c r="L1233" s="15">
        <f t="shared" si="137"/>
        <v>0</v>
      </c>
      <c r="M1233" s="16">
        <f t="shared" si="138"/>
        <v>176.41260000000003</v>
      </c>
      <c r="N1233" s="17">
        <f t="shared" si="139"/>
        <v>1.95</v>
      </c>
      <c r="O1233" s="17">
        <f t="shared" si="140"/>
        <v>1560</v>
      </c>
      <c r="P1233" s="18">
        <f t="shared" si="141"/>
        <v>141130.08000000002</v>
      </c>
      <c r="R1233" s="65"/>
      <c r="S1233" s="19"/>
      <c r="T1233" s="20"/>
      <c r="U1233" s="20"/>
      <c r="V1233" s="20"/>
      <c r="W1233" s="20"/>
      <c r="X1233" s="20"/>
      <c r="Y1233" s="20"/>
      <c r="Z1233" s="20"/>
      <c r="AA1233" s="20"/>
    </row>
    <row r="1234" spans="1:27" ht="12.75">
      <c r="A1234" s="54"/>
      <c r="B1234" s="10">
        <v>46055</v>
      </c>
      <c r="C1234" s="11">
        <f>VLOOKUP(B:B,'Курс валют'!A:D,4,0)</f>
        <v>90.468000000000004</v>
      </c>
      <c r="D1234" s="57" t="s">
        <v>1442</v>
      </c>
      <c r="E1234" s="21" t="s">
        <v>50</v>
      </c>
      <c r="F1234" s="58">
        <v>800</v>
      </c>
      <c r="G1234" s="58">
        <v>804.77</v>
      </c>
      <c r="H1234" s="22">
        <v>0</v>
      </c>
      <c r="I1234" s="58">
        <f t="shared" si="135"/>
        <v>4.7699999999999818</v>
      </c>
      <c r="J1234" s="14">
        <f t="shared" si="136"/>
        <v>0.59624999999999773</v>
      </c>
      <c r="K1234" s="56">
        <v>1.95</v>
      </c>
      <c r="L1234" s="15">
        <f t="shared" si="137"/>
        <v>0</v>
      </c>
      <c r="M1234" s="16">
        <f t="shared" si="138"/>
        <v>176.41260000000003</v>
      </c>
      <c r="N1234" s="17">
        <f t="shared" si="139"/>
        <v>1.95</v>
      </c>
      <c r="O1234" s="17">
        <f t="shared" si="140"/>
        <v>1560</v>
      </c>
      <c r="P1234" s="18">
        <f t="shared" si="141"/>
        <v>141130.08000000002</v>
      </c>
      <c r="R1234" s="66"/>
      <c r="S1234" s="19"/>
      <c r="T1234" s="24"/>
      <c r="U1234" s="24"/>
      <c r="V1234" s="24"/>
      <c r="W1234" s="24"/>
      <c r="X1234" s="24"/>
      <c r="Y1234" s="24"/>
      <c r="Z1234" s="24"/>
      <c r="AA1234" s="24"/>
    </row>
    <row r="1235" spans="1:27" ht="12.75">
      <c r="A1235" s="54"/>
      <c r="B1235" s="10">
        <v>46055</v>
      </c>
      <c r="C1235" s="11">
        <f>VLOOKUP(B:B,'Курс валют'!A:D,4,0)</f>
        <v>90.468000000000004</v>
      </c>
      <c r="D1235" s="57" t="s">
        <v>1443</v>
      </c>
      <c r="E1235" s="21" t="s">
        <v>50</v>
      </c>
      <c r="F1235" s="58">
        <v>800</v>
      </c>
      <c r="G1235" s="58">
        <v>804.77</v>
      </c>
      <c r="H1235" s="22">
        <v>0</v>
      </c>
      <c r="I1235" s="58">
        <f t="shared" si="135"/>
        <v>4.7699999999999818</v>
      </c>
      <c r="J1235" s="14">
        <f t="shared" si="136"/>
        <v>0.59624999999999773</v>
      </c>
      <c r="K1235" s="56">
        <v>1.95</v>
      </c>
      <c r="L1235" s="15">
        <f t="shared" si="137"/>
        <v>0</v>
      </c>
      <c r="M1235" s="16">
        <f t="shared" si="138"/>
        <v>176.41260000000003</v>
      </c>
      <c r="N1235" s="17">
        <f t="shared" si="139"/>
        <v>1.95</v>
      </c>
      <c r="O1235" s="17">
        <f t="shared" si="140"/>
        <v>1560</v>
      </c>
      <c r="P1235" s="18">
        <f t="shared" si="141"/>
        <v>141130.08000000002</v>
      </c>
      <c r="R1235" s="65"/>
      <c r="S1235" s="19"/>
      <c r="T1235" s="24"/>
      <c r="U1235" s="24"/>
      <c r="V1235" s="24"/>
      <c r="W1235" s="24"/>
      <c r="X1235" s="24"/>
      <c r="Y1235" s="24"/>
      <c r="Z1235" s="24"/>
      <c r="AA1235" s="24"/>
    </row>
    <row r="1236" spans="1:27" ht="12.75">
      <c r="A1236" s="54"/>
      <c r="B1236" s="10">
        <v>46055</v>
      </c>
      <c r="C1236" s="11">
        <f>VLOOKUP(B:B,'Курс валют'!A:D,4,0)</f>
        <v>90.468000000000004</v>
      </c>
      <c r="D1236" s="57" t="s">
        <v>1444</v>
      </c>
      <c r="E1236" s="21" t="s">
        <v>50</v>
      </c>
      <c r="F1236" s="58">
        <v>800</v>
      </c>
      <c r="G1236" s="58">
        <v>804.77</v>
      </c>
      <c r="H1236" s="22">
        <v>0</v>
      </c>
      <c r="I1236" s="58">
        <f t="shared" si="135"/>
        <v>4.7699999999999818</v>
      </c>
      <c r="J1236" s="14">
        <f t="shared" si="136"/>
        <v>0.59624999999999773</v>
      </c>
      <c r="K1236" s="56">
        <v>1.95</v>
      </c>
      <c r="L1236" s="15">
        <f t="shared" si="137"/>
        <v>0</v>
      </c>
      <c r="M1236" s="16">
        <f t="shared" si="138"/>
        <v>176.41260000000003</v>
      </c>
      <c r="N1236" s="17">
        <f t="shared" si="139"/>
        <v>1.95</v>
      </c>
      <c r="O1236" s="17">
        <f t="shared" si="140"/>
        <v>1560</v>
      </c>
      <c r="P1236" s="18">
        <f t="shared" si="141"/>
        <v>141130.08000000002</v>
      </c>
      <c r="R1236" s="66"/>
      <c r="S1236" s="19"/>
      <c r="T1236" s="24"/>
      <c r="U1236" s="24"/>
      <c r="V1236" s="24"/>
      <c r="W1236" s="24"/>
      <c r="X1236" s="24"/>
      <c r="Y1236" s="24"/>
      <c r="Z1236" s="24"/>
      <c r="AA1236" s="24"/>
    </row>
    <row r="1237" spans="1:27" ht="12.75">
      <c r="A1237" s="54"/>
      <c r="B1237" s="10">
        <v>46056</v>
      </c>
      <c r="C1237" s="11">
        <f>VLOOKUP(B:B,'Курс валют'!A:D,4,0)</f>
        <v>91.247</v>
      </c>
      <c r="D1237" s="57" t="s">
        <v>1445</v>
      </c>
      <c r="E1237" s="50" t="s">
        <v>95</v>
      </c>
      <c r="F1237" s="58">
        <v>540</v>
      </c>
      <c r="G1237" s="13">
        <v>547.5</v>
      </c>
      <c r="H1237" s="56">
        <v>0</v>
      </c>
      <c r="I1237" s="13">
        <f t="shared" si="135"/>
        <v>7.5</v>
      </c>
      <c r="J1237" s="14">
        <f t="shared" si="136"/>
        <v>1.3888888888888888</v>
      </c>
      <c r="K1237" s="56">
        <v>2.02</v>
      </c>
      <c r="L1237" s="15">
        <f t="shared" si="137"/>
        <v>0</v>
      </c>
      <c r="M1237" s="16">
        <f t="shared" si="138"/>
        <v>184.31894</v>
      </c>
      <c r="N1237" s="17">
        <f t="shared" si="139"/>
        <v>2.02</v>
      </c>
      <c r="O1237" s="17">
        <f t="shared" si="140"/>
        <v>1090.8</v>
      </c>
      <c r="P1237" s="18">
        <f t="shared" si="141"/>
        <v>99532.227599999998</v>
      </c>
      <c r="R1237" s="66"/>
      <c r="S1237" s="19"/>
      <c r="T1237" s="20"/>
      <c r="U1237" s="20"/>
      <c r="V1237" s="20"/>
      <c r="W1237" s="20"/>
      <c r="X1237" s="20"/>
      <c r="Y1237" s="20"/>
      <c r="Z1237" s="20"/>
      <c r="AA1237" s="20"/>
    </row>
    <row r="1238" spans="1:27" ht="12.75">
      <c r="A1238" s="54"/>
      <c r="B1238" s="10">
        <v>46056</v>
      </c>
      <c r="C1238" s="11">
        <f>VLOOKUP(B:B,'Курс валют'!A:D,4,0)</f>
        <v>91.247</v>
      </c>
      <c r="D1238" s="57" t="s">
        <v>1445</v>
      </c>
      <c r="E1238" s="64" t="s">
        <v>1023</v>
      </c>
      <c r="F1238" s="58">
        <v>180</v>
      </c>
      <c r="G1238" s="13">
        <v>182.5</v>
      </c>
      <c r="H1238" s="56">
        <v>0</v>
      </c>
      <c r="I1238" s="58">
        <v>2.5</v>
      </c>
      <c r="J1238" s="14">
        <f t="shared" si="136"/>
        <v>1.3888888888888888</v>
      </c>
      <c r="K1238" s="56">
        <v>2.02</v>
      </c>
      <c r="L1238" s="15">
        <f t="shared" si="137"/>
        <v>0</v>
      </c>
      <c r="M1238" s="16">
        <f t="shared" si="138"/>
        <v>184.31894</v>
      </c>
      <c r="N1238" s="17">
        <f t="shared" si="139"/>
        <v>2.02</v>
      </c>
      <c r="O1238" s="17">
        <f t="shared" si="140"/>
        <v>363.6</v>
      </c>
      <c r="P1238" s="18">
        <f t="shared" si="141"/>
        <v>33177.409200000002</v>
      </c>
      <c r="R1238" s="66"/>
      <c r="S1238" s="19"/>
      <c r="T1238" s="20"/>
      <c r="U1238" s="20"/>
      <c r="V1238" s="20"/>
      <c r="W1238" s="20"/>
      <c r="X1238" s="20"/>
      <c r="Y1238" s="20"/>
      <c r="Z1238" s="20"/>
      <c r="AA1238" s="20"/>
    </row>
    <row r="1239" spans="1:27" ht="12.75">
      <c r="A1239" s="54"/>
      <c r="B1239" s="10">
        <v>46056</v>
      </c>
      <c r="C1239" s="11">
        <f>VLOOKUP(B:B,'Курс валют'!A:D,4,0)</f>
        <v>91.247</v>
      </c>
      <c r="D1239" s="57" t="s">
        <v>1446</v>
      </c>
      <c r="E1239" s="64" t="s">
        <v>119</v>
      </c>
      <c r="F1239" s="58">
        <v>162.26</v>
      </c>
      <c r="G1239" s="13">
        <v>170.4</v>
      </c>
      <c r="H1239" s="56">
        <v>0</v>
      </c>
      <c r="I1239" s="13">
        <f t="shared" ref="I1239:I1379" si="142">G1239-F1239</f>
        <v>8.1400000000000148</v>
      </c>
      <c r="J1239" s="14">
        <f t="shared" si="136"/>
        <v>5.0166399605571401</v>
      </c>
      <c r="K1239" s="56">
        <v>2.06</v>
      </c>
      <c r="L1239" s="15">
        <f t="shared" si="137"/>
        <v>0</v>
      </c>
      <c r="M1239" s="16">
        <f t="shared" si="138"/>
        <v>187.96882000000002</v>
      </c>
      <c r="N1239" s="17">
        <f t="shared" si="139"/>
        <v>2.06</v>
      </c>
      <c r="O1239" s="17">
        <f t="shared" si="140"/>
        <v>334.25560000000002</v>
      </c>
      <c r="P1239" s="18">
        <f t="shared" si="141"/>
        <v>30499.820733200002</v>
      </c>
      <c r="R1239" s="66"/>
      <c r="S1239" s="19"/>
      <c r="T1239" s="20"/>
      <c r="U1239" s="20"/>
      <c r="V1239" s="20"/>
      <c r="W1239" s="20"/>
      <c r="X1239" s="20"/>
      <c r="Y1239" s="20"/>
      <c r="Z1239" s="20"/>
      <c r="AA1239" s="20"/>
    </row>
    <row r="1240" spans="1:27" ht="12.75">
      <c r="A1240" s="54"/>
      <c r="B1240" s="10">
        <v>46056</v>
      </c>
      <c r="C1240" s="11">
        <f>VLOOKUP(B:B,'Курс валют'!A:D,4,0)</f>
        <v>91.247</v>
      </c>
      <c r="D1240" s="57" t="s">
        <v>1447</v>
      </c>
      <c r="E1240" s="50" t="s">
        <v>60</v>
      </c>
      <c r="F1240" s="58">
        <v>2250</v>
      </c>
      <c r="G1240" s="13">
        <v>2345.1999999999998</v>
      </c>
      <c r="H1240" s="56">
        <v>903</v>
      </c>
      <c r="I1240" s="13">
        <f t="shared" si="142"/>
        <v>95.199999999999818</v>
      </c>
      <c r="J1240" s="14">
        <f t="shared" si="136"/>
        <v>4.2311111111111028</v>
      </c>
      <c r="K1240" s="56">
        <v>3.29</v>
      </c>
      <c r="L1240" s="15">
        <f t="shared" si="137"/>
        <v>40.133333333333333</v>
      </c>
      <c r="M1240" s="16">
        <f t="shared" si="138"/>
        <v>188.87642349333333</v>
      </c>
      <c r="N1240" s="17">
        <f t="shared" si="139"/>
        <v>2.0699466666666666</v>
      </c>
      <c r="O1240" s="17">
        <f t="shared" si="140"/>
        <v>4657.38</v>
      </c>
      <c r="P1240" s="18">
        <f t="shared" si="141"/>
        <v>424971.95286000002</v>
      </c>
      <c r="R1240" s="66"/>
      <c r="S1240" s="20"/>
      <c r="T1240" s="20"/>
      <c r="U1240" s="20"/>
      <c r="V1240" s="20"/>
      <c r="W1240" s="20"/>
      <c r="X1240" s="20"/>
      <c r="Y1240" s="20"/>
      <c r="Z1240" s="20"/>
      <c r="AA1240" s="20"/>
    </row>
    <row r="1241" spans="1:27" ht="15" customHeight="1">
      <c r="A1241" s="54"/>
      <c r="B1241" s="10">
        <v>46057</v>
      </c>
      <c r="C1241" s="11">
        <f>VLOOKUP(B:B,'Курс валют'!A:D,4,0)</f>
        <v>90.717799999999997</v>
      </c>
      <c r="D1241" s="57" t="s">
        <v>1448</v>
      </c>
      <c r="E1241" s="50" t="s">
        <v>15</v>
      </c>
      <c r="F1241" s="58">
        <v>1100</v>
      </c>
      <c r="G1241" s="13">
        <v>1116.81</v>
      </c>
      <c r="H1241" s="56">
        <v>483.4</v>
      </c>
      <c r="I1241" s="13">
        <f t="shared" si="142"/>
        <v>16.809999999999945</v>
      </c>
      <c r="J1241" s="14">
        <f t="shared" si="136"/>
        <v>1.5281818181818132</v>
      </c>
      <c r="K1241" s="56">
        <v>3.86</v>
      </c>
      <c r="L1241" s="15">
        <f t="shared" si="137"/>
        <v>43.945454545454545</v>
      </c>
      <c r="M1241" s="16">
        <f t="shared" si="138"/>
        <v>228.97700532654548</v>
      </c>
      <c r="N1241" s="17">
        <f t="shared" si="139"/>
        <v>2.524058181818182</v>
      </c>
      <c r="O1241" s="17">
        <f t="shared" si="140"/>
        <v>2776.4640000000004</v>
      </c>
      <c r="P1241" s="18">
        <f t="shared" si="141"/>
        <v>251874.70585920004</v>
      </c>
      <c r="R1241" s="66" t="s">
        <v>1449</v>
      </c>
      <c r="S1241" s="20"/>
      <c r="T1241" s="20"/>
      <c r="U1241" s="20"/>
      <c r="V1241" s="20"/>
      <c r="W1241" s="20"/>
      <c r="X1241" s="20"/>
      <c r="Y1241" s="20"/>
      <c r="Z1241" s="20"/>
      <c r="AA1241" s="20"/>
    </row>
    <row r="1242" spans="1:27" ht="12.75">
      <c r="A1242" s="54"/>
      <c r="B1242" s="10">
        <v>46057</v>
      </c>
      <c r="C1242" s="11">
        <f>VLOOKUP(B:B,'Курс валют'!A:D,4,0)</f>
        <v>90.717799999999997</v>
      </c>
      <c r="D1242" s="57" t="s">
        <v>1450</v>
      </c>
      <c r="E1242" s="50" t="s">
        <v>15</v>
      </c>
      <c r="F1242" s="58">
        <v>1100</v>
      </c>
      <c r="G1242" s="13">
        <v>1116.81</v>
      </c>
      <c r="H1242" s="56">
        <v>483.4</v>
      </c>
      <c r="I1242" s="13">
        <f t="shared" si="142"/>
        <v>16.809999999999945</v>
      </c>
      <c r="J1242" s="14">
        <f t="shared" si="136"/>
        <v>1.5281818181818132</v>
      </c>
      <c r="K1242" s="56">
        <v>3.86</v>
      </c>
      <c r="L1242" s="15">
        <f t="shared" si="137"/>
        <v>43.945454545454545</v>
      </c>
      <c r="M1242" s="16">
        <f t="shared" si="138"/>
        <v>228.97700532654548</v>
      </c>
      <c r="N1242" s="17">
        <f t="shared" si="139"/>
        <v>2.524058181818182</v>
      </c>
      <c r="O1242" s="17">
        <f t="shared" si="140"/>
        <v>2776.4640000000004</v>
      </c>
      <c r="P1242" s="18">
        <f t="shared" si="141"/>
        <v>251874.70585920004</v>
      </c>
      <c r="R1242" s="66" t="s">
        <v>1449</v>
      </c>
      <c r="S1242" s="20"/>
      <c r="T1242" s="20"/>
      <c r="U1242" s="20"/>
      <c r="V1242" s="20"/>
      <c r="W1242" s="20"/>
      <c r="X1242" s="20"/>
      <c r="Y1242" s="20"/>
      <c r="Z1242" s="20"/>
      <c r="AA1242" s="20"/>
    </row>
    <row r="1243" spans="1:27" ht="12.75">
      <c r="A1243" s="54"/>
      <c r="B1243" s="10">
        <v>46057</v>
      </c>
      <c r="C1243" s="11">
        <f>VLOOKUP(B:B,'Курс валют'!A:D,4,0)</f>
        <v>90.717799999999997</v>
      </c>
      <c r="D1243" s="57" t="s">
        <v>1451</v>
      </c>
      <c r="E1243" s="50" t="s">
        <v>15</v>
      </c>
      <c r="F1243" s="58">
        <v>1100</v>
      </c>
      <c r="G1243" s="13">
        <v>1116.81</v>
      </c>
      <c r="H1243" s="56">
        <v>483.4</v>
      </c>
      <c r="I1243" s="13">
        <f t="shared" si="142"/>
        <v>16.809999999999945</v>
      </c>
      <c r="J1243" s="14">
        <f t="shared" si="136"/>
        <v>1.5281818181818132</v>
      </c>
      <c r="K1243" s="56">
        <v>3.86</v>
      </c>
      <c r="L1243" s="15">
        <f t="shared" si="137"/>
        <v>43.945454545454545</v>
      </c>
      <c r="M1243" s="16">
        <f t="shared" si="138"/>
        <v>228.97700532654548</v>
      </c>
      <c r="N1243" s="17">
        <f t="shared" si="139"/>
        <v>2.524058181818182</v>
      </c>
      <c r="O1243" s="17">
        <f t="shared" si="140"/>
        <v>2776.4640000000004</v>
      </c>
      <c r="P1243" s="18">
        <f t="shared" si="141"/>
        <v>251874.70585920004</v>
      </c>
      <c r="R1243" s="66" t="s">
        <v>1449</v>
      </c>
      <c r="S1243" s="48"/>
      <c r="T1243" s="20"/>
      <c r="U1243" s="20"/>
      <c r="V1243" s="20"/>
      <c r="W1243" s="20"/>
      <c r="X1243" s="20"/>
      <c r="Y1243" s="20"/>
      <c r="Z1243" s="20"/>
      <c r="AA1243" s="20"/>
    </row>
    <row r="1244" spans="1:27" ht="12.75">
      <c r="A1244" s="54"/>
      <c r="B1244" s="10">
        <v>46057</v>
      </c>
      <c r="C1244" s="11">
        <f>VLOOKUP(B:B,'Курс валют'!A:D,4,0)</f>
        <v>90.717799999999997</v>
      </c>
      <c r="D1244" s="57" t="s">
        <v>1452</v>
      </c>
      <c r="E1244" s="50" t="s">
        <v>15</v>
      </c>
      <c r="F1244" s="58">
        <v>1100</v>
      </c>
      <c r="G1244" s="13">
        <v>1116.81</v>
      </c>
      <c r="H1244" s="49">
        <v>483.4</v>
      </c>
      <c r="I1244" s="13">
        <f t="shared" si="142"/>
        <v>16.809999999999945</v>
      </c>
      <c r="J1244" s="14">
        <f t="shared" si="136"/>
        <v>1.5281818181818132</v>
      </c>
      <c r="K1244" s="49">
        <v>3.86</v>
      </c>
      <c r="L1244" s="15">
        <f t="shared" si="137"/>
        <v>43.945454545454545</v>
      </c>
      <c r="M1244" s="16">
        <f t="shared" si="138"/>
        <v>228.97700532654548</v>
      </c>
      <c r="N1244" s="17">
        <f t="shared" si="139"/>
        <v>2.524058181818182</v>
      </c>
      <c r="O1244" s="17">
        <f t="shared" si="140"/>
        <v>2776.4640000000004</v>
      </c>
      <c r="P1244" s="18">
        <f t="shared" si="141"/>
        <v>251874.70585920004</v>
      </c>
      <c r="R1244" s="66" t="s">
        <v>1449</v>
      </c>
      <c r="S1244" s="48"/>
      <c r="T1244" s="20"/>
      <c r="U1244" s="20"/>
      <c r="V1244" s="20"/>
      <c r="W1244" s="20"/>
      <c r="X1244" s="20"/>
      <c r="Y1244" s="20"/>
      <c r="Z1244" s="20"/>
      <c r="AA1244" s="20"/>
    </row>
    <row r="1245" spans="1:27" ht="12.75">
      <c r="A1245" s="54"/>
      <c r="B1245" s="10">
        <v>46057</v>
      </c>
      <c r="C1245" s="11">
        <f>VLOOKUP(B:B,'Курс валют'!A:D,4,0)</f>
        <v>90.717799999999997</v>
      </c>
      <c r="D1245" s="57" t="s">
        <v>1453</v>
      </c>
      <c r="E1245" s="50" t="s">
        <v>1454</v>
      </c>
      <c r="F1245" s="58">
        <v>6</v>
      </c>
      <c r="G1245" s="58">
        <v>9.0869999999999997</v>
      </c>
      <c r="H1245" s="56">
        <v>0</v>
      </c>
      <c r="I1245" s="58">
        <f t="shared" si="142"/>
        <v>3.0869999999999997</v>
      </c>
      <c r="J1245" s="14">
        <f t="shared" si="136"/>
        <v>51.449999999999996</v>
      </c>
      <c r="K1245" s="49">
        <v>5.25</v>
      </c>
      <c r="L1245" s="15">
        <f t="shared" si="137"/>
        <v>0</v>
      </c>
      <c r="M1245" s="16">
        <f t="shared" si="138"/>
        <v>476.26844999999997</v>
      </c>
      <c r="N1245" s="17">
        <f t="shared" si="139"/>
        <v>5.25</v>
      </c>
      <c r="O1245" s="17">
        <f t="shared" si="140"/>
        <v>31.5</v>
      </c>
      <c r="P1245" s="18">
        <f t="shared" si="141"/>
        <v>2857.6106999999997</v>
      </c>
      <c r="R1245" s="66"/>
      <c r="S1245" s="48"/>
      <c r="T1245" s="20"/>
      <c r="U1245" s="20"/>
      <c r="V1245" s="20"/>
      <c r="W1245" s="20"/>
      <c r="X1245" s="20"/>
      <c r="Y1245" s="20"/>
      <c r="Z1245" s="20"/>
      <c r="AA1245" s="20"/>
    </row>
    <row r="1246" spans="1:27" ht="12.75">
      <c r="A1246" s="54"/>
      <c r="B1246" s="10">
        <v>46057</v>
      </c>
      <c r="C1246" s="11">
        <f>VLOOKUP(B:B,'Курс валют'!A:D,4,0)</f>
        <v>90.717799999999997</v>
      </c>
      <c r="D1246" s="57" t="s">
        <v>1455</v>
      </c>
      <c r="E1246" s="50" t="s">
        <v>1456</v>
      </c>
      <c r="F1246" s="58">
        <v>6</v>
      </c>
      <c r="G1246" s="63">
        <v>7.2869999999999999</v>
      </c>
      <c r="H1246" s="56">
        <v>0</v>
      </c>
      <c r="I1246" s="58">
        <f t="shared" si="142"/>
        <v>1.2869999999999999</v>
      </c>
      <c r="J1246" s="14">
        <f t="shared" si="136"/>
        <v>21.45</v>
      </c>
      <c r="K1246" s="49">
        <v>3.58</v>
      </c>
      <c r="L1246" s="15">
        <f t="shared" si="137"/>
        <v>0</v>
      </c>
      <c r="M1246" s="16">
        <f t="shared" si="138"/>
        <v>324.769724</v>
      </c>
      <c r="N1246" s="17">
        <f t="shared" si="139"/>
        <v>3.58</v>
      </c>
      <c r="O1246" s="17">
        <f t="shared" si="140"/>
        <v>21.48</v>
      </c>
      <c r="P1246" s="18">
        <f t="shared" si="141"/>
        <v>1948.618344</v>
      </c>
      <c r="R1246" s="66"/>
      <c r="S1246" s="48"/>
      <c r="T1246" s="20"/>
      <c r="U1246" s="20"/>
      <c r="V1246" s="20"/>
      <c r="W1246" s="20"/>
      <c r="X1246" s="20"/>
      <c r="Y1246" s="20"/>
      <c r="Z1246" s="20"/>
      <c r="AA1246" s="20"/>
    </row>
    <row r="1247" spans="1:27" ht="12.75">
      <c r="A1247" s="54"/>
      <c r="B1247" s="10">
        <v>46057</v>
      </c>
      <c r="C1247" s="11">
        <f>VLOOKUP(B:B,'Курс валют'!A:D,4,0)</f>
        <v>90.717799999999997</v>
      </c>
      <c r="D1247" s="57" t="s">
        <v>1457</v>
      </c>
      <c r="E1247" s="50" t="s">
        <v>15</v>
      </c>
      <c r="F1247" s="58">
        <v>1100</v>
      </c>
      <c r="G1247" s="13">
        <v>1119.81</v>
      </c>
      <c r="H1247" s="56">
        <v>484.4</v>
      </c>
      <c r="I1247" s="13">
        <f t="shared" si="142"/>
        <v>19.809999999999945</v>
      </c>
      <c r="J1247" s="14">
        <f t="shared" si="136"/>
        <v>1.8009090909090859</v>
      </c>
      <c r="K1247" s="49">
        <v>3.87</v>
      </c>
      <c r="L1247" s="15">
        <f t="shared" si="137"/>
        <v>44.036363636363632</v>
      </c>
      <c r="M1247" s="16">
        <f t="shared" si="138"/>
        <v>229.63347231563637</v>
      </c>
      <c r="N1247" s="17">
        <f t="shared" si="139"/>
        <v>2.5312945454545455</v>
      </c>
      <c r="O1247" s="17">
        <f t="shared" si="140"/>
        <v>2784.424</v>
      </c>
      <c r="P1247" s="18">
        <f t="shared" si="141"/>
        <v>252596.81954719999</v>
      </c>
      <c r="R1247" s="66" t="s">
        <v>1449</v>
      </c>
      <c r="S1247" s="48"/>
      <c r="T1247" s="20"/>
      <c r="U1247" s="20"/>
      <c r="V1247" s="20"/>
      <c r="W1247" s="20"/>
      <c r="X1247" s="20"/>
      <c r="Y1247" s="20"/>
      <c r="Z1247" s="20"/>
      <c r="AA1247" s="20"/>
    </row>
    <row r="1248" spans="1:27" ht="12.75">
      <c r="A1248" s="54"/>
      <c r="B1248" s="10">
        <v>46057</v>
      </c>
      <c r="C1248" s="11">
        <f>VLOOKUP(B:B,'Курс валют'!A:D,4,0)</f>
        <v>90.717799999999997</v>
      </c>
      <c r="D1248" s="57" t="s">
        <v>1458</v>
      </c>
      <c r="E1248" s="50" t="s">
        <v>15</v>
      </c>
      <c r="F1248" s="58">
        <v>1100</v>
      </c>
      <c r="G1248" s="13">
        <v>1119.81</v>
      </c>
      <c r="H1248" s="56">
        <v>484.4</v>
      </c>
      <c r="I1248" s="13">
        <f t="shared" si="142"/>
        <v>19.809999999999945</v>
      </c>
      <c r="J1248" s="14">
        <f t="shared" si="136"/>
        <v>1.8009090909090859</v>
      </c>
      <c r="K1248" s="49">
        <v>3.87</v>
      </c>
      <c r="L1248" s="15">
        <f t="shared" si="137"/>
        <v>44.036363636363632</v>
      </c>
      <c r="M1248" s="16">
        <f t="shared" si="138"/>
        <v>229.63347231563637</v>
      </c>
      <c r="N1248" s="17">
        <f t="shared" si="139"/>
        <v>2.5312945454545455</v>
      </c>
      <c r="O1248" s="17">
        <f t="shared" si="140"/>
        <v>2784.424</v>
      </c>
      <c r="P1248" s="18">
        <f t="shared" si="141"/>
        <v>252596.81954719999</v>
      </c>
      <c r="R1248" s="66" t="s">
        <v>1449</v>
      </c>
      <c r="S1248" s="48"/>
      <c r="T1248" s="20"/>
      <c r="U1248" s="20"/>
      <c r="V1248" s="20"/>
      <c r="W1248" s="20"/>
      <c r="X1248" s="20"/>
      <c r="Y1248" s="20"/>
      <c r="Z1248" s="20"/>
      <c r="AA1248" s="20"/>
    </row>
    <row r="1249" spans="1:27" ht="12.75">
      <c r="A1249" s="54"/>
      <c r="B1249" s="10">
        <v>46057</v>
      </c>
      <c r="C1249" s="11">
        <f>VLOOKUP(B:B,'Курс валют'!A:D,4,0)</f>
        <v>90.717799999999997</v>
      </c>
      <c r="D1249" s="57" t="s">
        <v>1459</v>
      </c>
      <c r="E1249" s="50" t="s">
        <v>15</v>
      </c>
      <c r="F1249" s="58">
        <v>1100</v>
      </c>
      <c r="G1249" s="13">
        <v>1119.81</v>
      </c>
      <c r="H1249" s="56">
        <v>484.4</v>
      </c>
      <c r="I1249" s="13">
        <f t="shared" si="142"/>
        <v>19.809999999999945</v>
      </c>
      <c r="J1249" s="14">
        <f t="shared" si="136"/>
        <v>1.8009090909090859</v>
      </c>
      <c r="K1249" s="49">
        <v>3.87</v>
      </c>
      <c r="L1249" s="15">
        <f t="shared" si="137"/>
        <v>44.036363636363632</v>
      </c>
      <c r="M1249" s="16">
        <f t="shared" si="138"/>
        <v>229.63347231563637</v>
      </c>
      <c r="N1249" s="17">
        <f t="shared" si="139"/>
        <v>2.5312945454545455</v>
      </c>
      <c r="O1249" s="17">
        <f t="shared" si="140"/>
        <v>2784.424</v>
      </c>
      <c r="P1249" s="18">
        <f t="shared" si="141"/>
        <v>252596.81954719999</v>
      </c>
      <c r="R1249" s="66" t="s">
        <v>1449</v>
      </c>
      <c r="S1249" s="20"/>
      <c r="T1249" s="20"/>
      <c r="U1249" s="20"/>
      <c r="V1249" s="20"/>
      <c r="W1249" s="20"/>
      <c r="X1249" s="20"/>
      <c r="Y1249" s="20"/>
      <c r="Z1249" s="20"/>
      <c r="AA1249" s="20"/>
    </row>
    <row r="1250" spans="1:27" ht="12.75">
      <c r="A1250" s="54"/>
      <c r="B1250" s="10">
        <v>46058</v>
      </c>
      <c r="C1250" s="11">
        <f>VLOOKUP(B:B,'Курс валют'!A:D,4,0)</f>
        <v>91.113799999999998</v>
      </c>
      <c r="D1250" s="57" t="s">
        <v>1460</v>
      </c>
      <c r="E1250" s="50" t="s">
        <v>15</v>
      </c>
      <c r="F1250" s="58">
        <v>1100</v>
      </c>
      <c r="G1250" s="51">
        <v>1124.4100000000001</v>
      </c>
      <c r="H1250" s="56">
        <v>484</v>
      </c>
      <c r="I1250" s="13">
        <f t="shared" si="142"/>
        <v>24.410000000000082</v>
      </c>
      <c r="J1250" s="14">
        <f t="shared" si="136"/>
        <v>2.2190909090909163</v>
      </c>
      <c r="K1250" s="49">
        <v>3.88</v>
      </c>
      <c r="L1250" s="15">
        <f t="shared" si="137"/>
        <v>44</v>
      </c>
      <c r="M1250" s="16">
        <f t="shared" si="138"/>
        <v>231.64772511999999</v>
      </c>
      <c r="N1250" s="17">
        <f t="shared" si="139"/>
        <v>2.5423999999999998</v>
      </c>
      <c r="O1250" s="17">
        <f t="shared" si="140"/>
        <v>2796.64</v>
      </c>
      <c r="P1250" s="18">
        <f t="shared" si="141"/>
        <v>254812.49763199998</v>
      </c>
      <c r="R1250" s="66" t="s">
        <v>1449</v>
      </c>
      <c r="S1250" s="20"/>
      <c r="T1250" s="20"/>
      <c r="U1250" s="20"/>
      <c r="V1250" s="20"/>
      <c r="W1250" s="20"/>
      <c r="X1250" s="20"/>
      <c r="Y1250" s="20"/>
      <c r="Z1250" s="20"/>
      <c r="AA1250" s="20"/>
    </row>
    <row r="1251" spans="1:27" ht="12.75">
      <c r="A1251" s="54"/>
      <c r="B1251" s="10">
        <v>46058</v>
      </c>
      <c r="C1251" s="11">
        <f>VLOOKUP(B:B,'Курс валют'!A:D,4,0)</f>
        <v>91.113799999999998</v>
      </c>
      <c r="D1251" s="57" t="s">
        <v>1461</v>
      </c>
      <c r="E1251" s="50" t="s">
        <v>15</v>
      </c>
      <c r="F1251" s="58">
        <v>1100</v>
      </c>
      <c r="G1251" s="13">
        <v>1124.4100000000001</v>
      </c>
      <c r="H1251" s="56">
        <v>484</v>
      </c>
      <c r="I1251" s="13">
        <f t="shared" si="142"/>
        <v>24.410000000000082</v>
      </c>
      <c r="J1251" s="14">
        <f t="shared" si="136"/>
        <v>2.2190909090909163</v>
      </c>
      <c r="K1251" s="49">
        <v>3.88</v>
      </c>
      <c r="L1251" s="15">
        <f t="shared" si="137"/>
        <v>44</v>
      </c>
      <c r="M1251" s="16">
        <f t="shared" si="138"/>
        <v>231.64772511999999</v>
      </c>
      <c r="N1251" s="17">
        <f t="shared" si="139"/>
        <v>2.5423999999999998</v>
      </c>
      <c r="O1251" s="17">
        <f t="shared" si="140"/>
        <v>2796.64</v>
      </c>
      <c r="P1251" s="18">
        <f t="shared" si="141"/>
        <v>254812.49763199998</v>
      </c>
      <c r="R1251" s="66" t="s">
        <v>1449</v>
      </c>
      <c r="S1251" s="19"/>
      <c r="T1251" s="20"/>
      <c r="U1251" s="20"/>
      <c r="V1251" s="20"/>
      <c r="W1251" s="20"/>
      <c r="X1251" s="20"/>
      <c r="Y1251" s="20"/>
      <c r="Z1251" s="20"/>
      <c r="AA1251" s="20"/>
    </row>
    <row r="1252" spans="1:27" ht="12.75">
      <c r="A1252" s="54"/>
      <c r="B1252" s="10">
        <v>46058</v>
      </c>
      <c r="C1252" s="11">
        <f>VLOOKUP(B:B,'Курс валют'!A:D,4,0)</f>
        <v>91.113799999999998</v>
      </c>
      <c r="D1252" s="57" t="s">
        <v>1462</v>
      </c>
      <c r="E1252" s="50" t="s">
        <v>15</v>
      </c>
      <c r="F1252" s="58">
        <v>1100</v>
      </c>
      <c r="G1252" s="51">
        <v>1124.4100000000001</v>
      </c>
      <c r="H1252" s="56">
        <v>484</v>
      </c>
      <c r="I1252" s="13">
        <f t="shared" si="142"/>
        <v>24.410000000000082</v>
      </c>
      <c r="J1252" s="14">
        <f t="shared" si="136"/>
        <v>2.2190909090909163</v>
      </c>
      <c r="K1252" s="49">
        <v>3.88</v>
      </c>
      <c r="L1252" s="15">
        <f t="shared" si="137"/>
        <v>44</v>
      </c>
      <c r="M1252" s="16">
        <f t="shared" si="138"/>
        <v>231.64772511999999</v>
      </c>
      <c r="N1252" s="17">
        <f t="shared" si="139"/>
        <v>2.5423999999999998</v>
      </c>
      <c r="O1252" s="17">
        <f t="shared" si="140"/>
        <v>2796.64</v>
      </c>
      <c r="P1252" s="18">
        <f t="shared" si="141"/>
        <v>254812.49763199998</v>
      </c>
      <c r="R1252" s="66" t="s">
        <v>1449</v>
      </c>
      <c r="S1252" s="19"/>
      <c r="T1252" s="20"/>
      <c r="U1252" s="20"/>
      <c r="V1252" s="20"/>
      <c r="W1252" s="20"/>
      <c r="X1252" s="20"/>
      <c r="Y1252" s="20"/>
      <c r="Z1252" s="20"/>
      <c r="AA1252" s="20"/>
    </row>
    <row r="1253" spans="1:27" ht="12.75">
      <c r="A1253" s="54"/>
      <c r="B1253" s="10">
        <v>46058</v>
      </c>
      <c r="C1253" s="11">
        <f>VLOOKUP(B:B,'Курс валют'!A:D,4,0)</f>
        <v>91.113799999999998</v>
      </c>
      <c r="D1253" s="57" t="s">
        <v>1463</v>
      </c>
      <c r="E1253" s="50" t="s">
        <v>15</v>
      </c>
      <c r="F1253" s="58">
        <v>1100</v>
      </c>
      <c r="G1253" s="51">
        <v>1124.4100000000001</v>
      </c>
      <c r="H1253" s="56">
        <v>484</v>
      </c>
      <c r="I1253" s="13">
        <f t="shared" si="142"/>
        <v>24.410000000000082</v>
      </c>
      <c r="J1253" s="14">
        <f t="shared" si="136"/>
        <v>2.2190909090909163</v>
      </c>
      <c r="K1253" s="56">
        <v>3.88</v>
      </c>
      <c r="L1253" s="15">
        <f t="shared" si="137"/>
        <v>44</v>
      </c>
      <c r="M1253" s="16">
        <f t="shared" si="138"/>
        <v>231.64772511999999</v>
      </c>
      <c r="N1253" s="17">
        <f t="shared" si="139"/>
        <v>2.5423999999999998</v>
      </c>
      <c r="O1253" s="17">
        <f t="shared" si="140"/>
        <v>2796.64</v>
      </c>
      <c r="P1253" s="18">
        <f t="shared" si="141"/>
        <v>254812.49763199998</v>
      </c>
      <c r="R1253" s="66" t="s">
        <v>1449</v>
      </c>
      <c r="S1253" s="19"/>
      <c r="T1253" s="20"/>
      <c r="U1253" s="20"/>
      <c r="V1253" s="20"/>
      <c r="W1253" s="20"/>
      <c r="X1253" s="20"/>
      <c r="Y1253" s="20"/>
      <c r="Z1253" s="20"/>
      <c r="AA1253" s="20"/>
    </row>
    <row r="1254" spans="1:27" ht="12.75">
      <c r="A1254" s="54"/>
      <c r="B1254" s="54">
        <v>46058</v>
      </c>
      <c r="C1254" s="11">
        <f>VLOOKUP(B:B,'Курс валют'!A:D,4,0)</f>
        <v>91.113799999999998</v>
      </c>
      <c r="D1254" s="57" t="s">
        <v>1464</v>
      </c>
      <c r="E1254" s="50" t="s">
        <v>56</v>
      </c>
      <c r="F1254" s="58">
        <v>2200</v>
      </c>
      <c r="G1254" s="52">
        <v>2241.85</v>
      </c>
      <c r="H1254" s="49">
        <v>0</v>
      </c>
      <c r="I1254" s="13">
        <f t="shared" si="142"/>
        <v>41.849999999999909</v>
      </c>
      <c r="J1254" s="14">
        <f t="shared" si="136"/>
        <v>1.9022727272727233</v>
      </c>
      <c r="K1254" s="56">
        <v>2.34</v>
      </c>
      <c r="L1254" s="15">
        <f t="shared" si="137"/>
        <v>0</v>
      </c>
      <c r="M1254" s="16">
        <f t="shared" si="138"/>
        <v>213.20629199999999</v>
      </c>
      <c r="N1254" s="17">
        <f t="shared" si="139"/>
        <v>2.34</v>
      </c>
      <c r="O1254" s="17">
        <f t="shared" si="140"/>
        <v>5148</v>
      </c>
      <c r="P1254" s="18">
        <f t="shared" si="141"/>
        <v>469053.84239999996</v>
      </c>
      <c r="R1254" s="66"/>
      <c r="S1254" s="19"/>
      <c r="T1254" s="20"/>
      <c r="U1254" s="20"/>
      <c r="V1254" s="20"/>
      <c r="W1254" s="20"/>
      <c r="X1254" s="20"/>
      <c r="Y1254" s="20"/>
      <c r="Z1254" s="20"/>
      <c r="AA1254" s="20"/>
    </row>
    <row r="1255" spans="1:27" ht="12.75">
      <c r="A1255" s="54"/>
      <c r="B1255" s="10">
        <v>46058</v>
      </c>
      <c r="C1255" s="11">
        <f>VLOOKUP(B:B,'Курс валют'!A:D,4,0)</f>
        <v>91.113799999999998</v>
      </c>
      <c r="D1255" s="57" t="s">
        <v>1465</v>
      </c>
      <c r="E1255" s="50" t="s">
        <v>15</v>
      </c>
      <c r="F1255" s="58">
        <v>1100</v>
      </c>
      <c r="G1255" s="52">
        <v>1124.4100000000001</v>
      </c>
      <c r="H1255" s="49">
        <v>484</v>
      </c>
      <c r="I1255" s="13">
        <f t="shared" si="142"/>
        <v>24.410000000000082</v>
      </c>
      <c r="J1255" s="14">
        <f t="shared" si="136"/>
        <v>2.2190909090909163</v>
      </c>
      <c r="K1255" s="56">
        <v>3.88</v>
      </c>
      <c r="L1255" s="15">
        <f t="shared" si="137"/>
        <v>44</v>
      </c>
      <c r="M1255" s="16">
        <f t="shared" si="138"/>
        <v>231.64772511999999</v>
      </c>
      <c r="N1255" s="17">
        <f t="shared" si="139"/>
        <v>2.5423999999999998</v>
      </c>
      <c r="O1255" s="17">
        <f t="shared" si="140"/>
        <v>2796.64</v>
      </c>
      <c r="P1255" s="18">
        <f t="shared" si="141"/>
        <v>254812.49763199998</v>
      </c>
      <c r="R1255" s="66" t="s">
        <v>1449</v>
      </c>
      <c r="S1255" s="19"/>
      <c r="T1255" s="20"/>
      <c r="U1255" s="20"/>
      <c r="V1255" s="20"/>
      <c r="W1255" s="20"/>
      <c r="X1255" s="20"/>
      <c r="Y1255" s="20"/>
      <c r="Z1255" s="20"/>
      <c r="AA1255" s="20"/>
    </row>
    <row r="1256" spans="1:27" ht="12.75">
      <c r="A1256" s="54"/>
      <c r="B1256" s="10">
        <v>46058</v>
      </c>
      <c r="C1256" s="11">
        <f>VLOOKUP(B:B,'Курс валют'!A:D,4,0)</f>
        <v>91.113799999999998</v>
      </c>
      <c r="D1256" s="57" t="s">
        <v>1466</v>
      </c>
      <c r="E1256" s="50" t="s">
        <v>15</v>
      </c>
      <c r="F1256" s="58">
        <v>1100</v>
      </c>
      <c r="G1256" s="52">
        <v>1124.4100000000001</v>
      </c>
      <c r="H1256" s="49">
        <v>484</v>
      </c>
      <c r="I1256" s="13">
        <f t="shared" si="142"/>
        <v>24.410000000000082</v>
      </c>
      <c r="J1256" s="14">
        <f t="shared" si="136"/>
        <v>2.2190909090909163</v>
      </c>
      <c r="K1256" s="56">
        <v>3.88</v>
      </c>
      <c r="L1256" s="15">
        <f t="shared" si="137"/>
        <v>44</v>
      </c>
      <c r="M1256" s="16">
        <f t="shared" si="138"/>
        <v>231.64772511999999</v>
      </c>
      <c r="N1256" s="17">
        <f t="shared" si="139"/>
        <v>2.5423999999999998</v>
      </c>
      <c r="O1256" s="17">
        <f t="shared" si="140"/>
        <v>2796.64</v>
      </c>
      <c r="P1256" s="18">
        <f t="shared" si="141"/>
        <v>254812.49763199998</v>
      </c>
      <c r="R1256" s="66" t="s">
        <v>1449</v>
      </c>
      <c r="S1256" s="19"/>
      <c r="T1256" s="20"/>
      <c r="U1256" s="20"/>
      <c r="V1256" s="20"/>
      <c r="W1256" s="20"/>
      <c r="X1256" s="20"/>
      <c r="Y1256" s="20"/>
      <c r="Z1256" s="20"/>
      <c r="AA1256" s="20"/>
    </row>
    <row r="1257" spans="1:27" ht="12.75">
      <c r="A1257" s="54"/>
      <c r="B1257" s="10">
        <v>46058</v>
      </c>
      <c r="C1257" s="11">
        <f>VLOOKUP(B:B,'Курс валют'!A:D,4,0)</f>
        <v>91.113799999999998</v>
      </c>
      <c r="D1257" s="57" t="s">
        <v>1467</v>
      </c>
      <c r="E1257" s="50" t="s">
        <v>15</v>
      </c>
      <c r="F1257" s="58">
        <v>1100</v>
      </c>
      <c r="G1257" s="52">
        <v>1124.4100000000001</v>
      </c>
      <c r="H1257" s="49">
        <v>484</v>
      </c>
      <c r="I1257" s="13">
        <f t="shared" si="142"/>
        <v>24.410000000000082</v>
      </c>
      <c r="J1257" s="14">
        <f t="shared" si="136"/>
        <v>2.2190909090909163</v>
      </c>
      <c r="K1257" s="56">
        <v>3.82</v>
      </c>
      <c r="L1257" s="15">
        <f t="shared" si="137"/>
        <v>44</v>
      </c>
      <c r="M1257" s="16">
        <f t="shared" si="138"/>
        <v>226.18089712</v>
      </c>
      <c r="N1257" s="17">
        <f t="shared" si="139"/>
        <v>2.4823999999999997</v>
      </c>
      <c r="O1257" s="17">
        <f t="shared" si="140"/>
        <v>2730.64</v>
      </c>
      <c r="P1257" s="18">
        <f t="shared" si="141"/>
        <v>248798.986832</v>
      </c>
      <c r="R1257" s="66" t="s">
        <v>1449</v>
      </c>
      <c r="S1257" s="19"/>
      <c r="T1257" s="20"/>
      <c r="U1257" s="20"/>
      <c r="V1257" s="20"/>
      <c r="W1257" s="20"/>
      <c r="X1257" s="20"/>
      <c r="Y1257" s="20"/>
      <c r="Z1257" s="20"/>
      <c r="AA1257" s="20"/>
    </row>
    <row r="1258" spans="1:27" ht="12.75">
      <c r="A1258" s="54"/>
      <c r="B1258" s="10">
        <v>46058</v>
      </c>
      <c r="C1258" s="11">
        <f>VLOOKUP(B:B,'Курс валют'!A:D,4,0)</f>
        <v>91.113799999999998</v>
      </c>
      <c r="D1258" s="57" t="s">
        <v>1468</v>
      </c>
      <c r="E1258" s="50" t="s">
        <v>15</v>
      </c>
      <c r="F1258" s="58">
        <v>1100</v>
      </c>
      <c r="G1258" s="52">
        <v>1124.4100000000001</v>
      </c>
      <c r="H1258" s="49">
        <v>484</v>
      </c>
      <c r="I1258" s="13">
        <f t="shared" si="142"/>
        <v>24.410000000000082</v>
      </c>
      <c r="J1258" s="14">
        <f t="shared" si="136"/>
        <v>2.2190909090909163</v>
      </c>
      <c r="K1258" s="56">
        <v>3.84</v>
      </c>
      <c r="L1258" s="15">
        <f t="shared" si="137"/>
        <v>44</v>
      </c>
      <c r="M1258" s="16">
        <f t="shared" si="138"/>
        <v>228.00317311999999</v>
      </c>
      <c r="N1258" s="17">
        <f t="shared" si="139"/>
        <v>2.5023999999999997</v>
      </c>
      <c r="O1258" s="17">
        <f t="shared" si="140"/>
        <v>2752.64</v>
      </c>
      <c r="P1258" s="18">
        <f t="shared" si="141"/>
        <v>250803.49043199999</v>
      </c>
      <c r="R1258" s="66" t="s">
        <v>1449</v>
      </c>
      <c r="S1258" s="20"/>
      <c r="T1258" s="20"/>
      <c r="U1258" s="20"/>
      <c r="V1258" s="20"/>
      <c r="W1258" s="20"/>
      <c r="X1258" s="20"/>
      <c r="Y1258" s="20"/>
      <c r="Z1258" s="20"/>
      <c r="AA1258" s="20"/>
    </row>
    <row r="1259" spans="1:27" ht="12.75">
      <c r="A1259" s="54"/>
      <c r="B1259" s="10">
        <v>46058</v>
      </c>
      <c r="C1259" s="11">
        <f>VLOOKUP(B:B,'Курс валют'!A:D,4,0)</f>
        <v>91.113799999999998</v>
      </c>
      <c r="D1259" s="57" t="s">
        <v>1469</v>
      </c>
      <c r="E1259" s="50" t="s">
        <v>105</v>
      </c>
      <c r="F1259" s="58">
        <v>46.36</v>
      </c>
      <c r="G1259" s="52">
        <v>49.98</v>
      </c>
      <c r="H1259" s="49">
        <v>0</v>
      </c>
      <c r="I1259" s="13">
        <f t="shared" si="142"/>
        <v>3.6199999999999974</v>
      </c>
      <c r="J1259" s="14">
        <f t="shared" si="136"/>
        <v>7.8084555651423582</v>
      </c>
      <c r="K1259" s="56">
        <v>2.4</v>
      </c>
      <c r="L1259" s="15">
        <f t="shared" si="137"/>
        <v>0</v>
      </c>
      <c r="M1259" s="16">
        <f t="shared" si="138"/>
        <v>218.67311999999998</v>
      </c>
      <c r="N1259" s="17">
        <f t="shared" si="139"/>
        <v>2.4</v>
      </c>
      <c r="O1259" s="17">
        <f t="shared" si="140"/>
        <v>111.264</v>
      </c>
      <c r="P1259" s="18">
        <f t="shared" si="141"/>
        <v>10137.685843199999</v>
      </c>
      <c r="R1259" s="66"/>
      <c r="S1259" s="20"/>
      <c r="T1259" s="20"/>
      <c r="U1259" s="20"/>
      <c r="V1259" s="20"/>
      <c r="W1259" s="20"/>
      <c r="X1259" s="20"/>
      <c r="Y1259" s="20"/>
      <c r="Z1259" s="20"/>
      <c r="AA1259" s="20"/>
    </row>
    <row r="1260" spans="1:27" ht="12.75">
      <c r="A1260" s="54"/>
      <c r="B1260" s="10">
        <v>46059</v>
      </c>
      <c r="C1260" s="11">
        <f>VLOOKUP(B:B,'Курс валют'!A:D,4,0)</f>
        <v>90.2881</v>
      </c>
      <c r="D1260" s="57" t="s">
        <v>1470</v>
      </c>
      <c r="E1260" s="50" t="s">
        <v>15</v>
      </c>
      <c r="F1260" s="58">
        <v>1100</v>
      </c>
      <c r="G1260" s="52">
        <v>1183.4100000000001</v>
      </c>
      <c r="H1260" s="49">
        <v>484</v>
      </c>
      <c r="I1260" s="13">
        <f t="shared" si="142"/>
        <v>83.410000000000082</v>
      </c>
      <c r="J1260" s="14">
        <f t="shared" si="136"/>
        <v>7.5827272727272801</v>
      </c>
      <c r="K1260" s="56">
        <v>3.99</v>
      </c>
      <c r="L1260" s="15">
        <f t="shared" si="137"/>
        <v>44</v>
      </c>
      <c r="M1260" s="16">
        <f t="shared" si="138"/>
        <v>239.48015644000003</v>
      </c>
      <c r="N1260" s="17">
        <f t="shared" si="139"/>
        <v>2.6524000000000001</v>
      </c>
      <c r="O1260" s="17">
        <f t="shared" si="140"/>
        <v>2917.6400000000003</v>
      </c>
      <c r="P1260" s="18">
        <f t="shared" si="141"/>
        <v>263428.17208400002</v>
      </c>
      <c r="R1260" s="66" t="s">
        <v>1449</v>
      </c>
      <c r="S1260" s="19"/>
      <c r="T1260" s="20"/>
      <c r="U1260" s="20"/>
      <c r="V1260" s="20"/>
      <c r="W1260" s="20"/>
      <c r="X1260" s="20"/>
      <c r="Y1260" s="20"/>
      <c r="Z1260" s="20"/>
      <c r="AA1260" s="20"/>
    </row>
    <row r="1261" spans="1:27" ht="12.75">
      <c r="A1261" s="54"/>
      <c r="B1261" s="10">
        <v>46059</v>
      </c>
      <c r="C1261" s="11">
        <f>VLOOKUP(B:B,'Курс валют'!A:D,4,0)</f>
        <v>90.2881</v>
      </c>
      <c r="D1261" s="57" t="s">
        <v>1471</v>
      </c>
      <c r="E1261" s="50" t="s">
        <v>15</v>
      </c>
      <c r="F1261" s="58">
        <v>1100</v>
      </c>
      <c r="G1261" s="52">
        <v>1183.4100000000001</v>
      </c>
      <c r="H1261" s="49">
        <v>484</v>
      </c>
      <c r="I1261" s="13">
        <f t="shared" si="142"/>
        <v>83.410000000000082</v>
      </c>
      <c r="J1261" s="14">
        <f t="shared" si="136"/>
        <v>7.5827272727272801</v>
      </c>
      <c r="K1261" s="56">
        <v>3.99</v>
      </c>
      <c r="L1261" s="15">
        <f t="shared" si="137"/>
        <v>44</v>
      </c>
      <c r="M1261" s="16">
        <f t="shared" si="138"/>
        <v>239.48015644000003</v>
      </c>
      <c r="N1261" s="17">
        <f t="shared" si="139"/>
        <v>2.6524000000000001</v>
      </c>
      <c r="O1261" s="17">
        <f t="shared" si="140"/>
        <v>2917.6400000000003</v>
      </c>
      <c r="P1261" s="18">
        <f t="shared" si="141"/>
        <v>263428.17208400002</v>
      </c>
      <c r="R1261" s="66" t="s">
        <v>1449</v>
      </c>
      <c r="S1261" s="19"/>
      <c r="T1261" s="20"/>
      <c r="U1261" s="20"/>
      <c r="V1261" s="20"/>
      <c r="W1261" s="20"/>
      <c r="X1261" s="20"/>
      <c r="Y1261" s="20"/>
      <c r="Z1261" s="20"/>
      <c r="AA1261" s="20"/>
    </row>
    <row r="1262" spans="1:27" ht="12.75">
      <c r="A1262" s="54"/>
      <c r="B1262" s="10">
        <v>46059</v>
      </c>
      <c r="C1262" s="11">
        <f>VLOOKUP(B:B,'Курс валют'!A:D,4,0)</f>
        <v>90.2881</v>
      </c>
      <c r="D1262" s="57" t="s">
        <v>1472</v>
      </c>
      <c r="E1262" s="50" t="s">
        <v>15</v>
      </c>
      <c r="F1262" s="58">
        <v>1100</v>
      </c>
      <c r="G1262" s="52">
        <v>1183.4100000000001</v>
      </c>
      <c r="H1262" s="49">
        <v>484</v>
      </c>
      <c r="I1262" s="13">
        <f t="shared" si="142"/>
        <v>83.410000000000082</v>
      </c>
      <c r="J1262" s="14">
        <f t="shared" si="136"/>
        <v>7.5827272727272801</v>
      </c>
      <c r="K1262" s="56">
        <v>3.99</v>
      </c>
      <c r="L1262" s="15">
        <f t="shared" si="137"/>
        <v>44</v>
      </c>
      <c r="M1262" s="16">
        <f t="shared" si="138"/>
        <v>239.48015644000003</v>
      </c>
      <c r="N1262" s="17">
        <f t="shared" si="139"/>
        <v>2.6524000000000001</v>
      </c>
      <c r="O1262" s="17">
        <f t="shared" si="140"/>
        <v>2917.6400000000003</v>
      </c>
      <c r="P1262" s="18">
        <f t="shared" si="141"/>
        <v>263428.17208400002</v>
      </c>
      <c r="R1262" s="66" t="s">
        <v>1449</v>
      </c>
      <c r="S1262" s="19"/>
      <c r="T1262" s="20"/>
      <c r="U1262" s="20"/>
      <c r="V1262" s="20"/>
      <c r="W1262" s="20"/>
      <c r="X1262" s="20"/>
      <c r="Y1262" s="20"/>
      <c r="Z1262" s="20"/>
      <c r="AA1262" s="20"/>
    </row>
    <row r="1263" spans="1:27" ht="12.75">
      <c r="A1263" s="54"/>
      <c r="B1263" s="10">
        <v>46059</v>
      </c>
      <c r="C1263" s="11">
        <f>VLOOKUP(B:B,'Курс валют'!A:D,4,0)</f>
        <v>90.2881</v>
      </c>
      <c r="D1263" s="57" t="s">
        <v>1473</v>
      </c>
      <c r="E1263" s="50" t="s">
        <v>15</v>
      </c>
      <c r="F1263" s="58">
        <v>1100</v>
      </c>
      <c r="G1263" s="52">
        <v>1183.4100000000001</v>
      </c>
      <c r="H1263" s="49">
        <v>484</v>
      </c>
      <c r="I1263" s="13">
        <f t="shared" si="142"/>
        <v>83.410000000000082</v>
      </c>
      <c r="J1263" s="14">
        <f t="shared" si="136"/>
        <v>7.5827272727272801</v>
      </c>
      <c r="K1263" s="56">
        <v>3.99</v>
      </c>
      <c r="L1263" s="15">
        <f t="shared" si="137"/>
        <v>44</v>
      </c>
      <c r="M1263" s="16">
        <f t="shared" si="138"/>
        <v>239.48015644000003</v>
      </c>
      <c r="N1263" s="17">
        <f t="shared" si="139"/>
        <v>2.6524000000000001</v>
      </c>
      <c r="O1263" s="17">
        <f t="shared" si="140"/>
        <v>2917.6400000000003</v>
      </c>
      <c r="P1263" s="18">
        <f t="shared" si="141"/>
        <v>263428.17208400002</v>
      </c>
      <c r="R1263" s="66" t="s">
        <v>1449</v>
      </c>
      <c r="S1263" s="19"/>
      <c r="T1263" s="20"/>
      <c r="U1263" s="20"/>
      <c r="V1263" s="20"/>
      <c r="W1263" s="20"/>
      <c r="X1263" s="20"/>
      <c r="Y1263" s="20"/>
      <c r="Z1263" s="20"/>
      <c r="AA1263" s="20"/>
    </row>
    <row r="1264" spans="1:27" ht="12.75">
      <c r="A1264" s="54"/>
      <c r="B1264" s="10">
        <v>46059</v>
      </c>
      <c r="C1264" s="11">
        <f>VLOOKUP(B:B,'Курс валют'!A:D,4,0)</f>
        <v>90.2881</v>
      </c>
      <c r="D1264" s="57" t="s">
        <v>1474</v>
      </c>
      <c r="E1264" s="50" t="s">
        <v>56</v>
      </c>
      <c r="F1264" s="58">
        <v>2200</v>
      </c>
      <c r="G1264" s="52">
        <v>2226.85</v>
      </c>
      <c r="H1264" s="49">
        <v>0</v>
      </c>
      <c r="I1264" s="13">
        <f t="shared" si="142"/>
        <v>26.849999999999909</v>
      </c>
      <c r="J1264" s="14">
        <f t="shared" si="136"/>
        <v>1.2204545454545412</v>
      </c>
      <c r="K1264" s="56">
        <v>2.33</v>
      </c>
      <c r="L1264" s="15">
        <f t="shared" si="137"/>
        <v>0</v>
      </c>
      <c r="M1264" s="16">
        <f t="shared" si="138"/>
        <v>210.371273</v>
      </c>
      <c r="N1264" s="17">
        <f t="shared" si="139"/>
        <v>2.33</v>
      </c>
      <c r="O1264" s="17">
        <f t="shared" si="140"/>
        <v>5126</v>
      </c>
      <c r="P1264" s="18">
        <f t="shared" si="141"/>
        <v>462816.80060000002</v>
      </c>
      <c r="R1264" s="65"/>
      <c r="S1264" s="19"/>
      <c r="T1264" s="20"/>
      <c r="U1264" s="20"/>
      <c r="V1264" s="20"/>
      <c r="W1264" s="20"/>
      <c r="X1264" s="20"/>
      <c r="Y1264" s="20"/>
      <c r="Z1264" s="20"/>
      <c r="AA1264" s="20"/>
    </row>
    <row r="1265" spans="1:27" ht="12.75">
      <c r="A1265" s="54"/>
      <c r="B1265" s="10">
        <v>46059</v>
      </c>
      <c r="C1265" s="11">
        <f>VLOOKUP(B:B,'Курс валют'!A:D,4,0)</f>
        <v>90.2881</v>
      </c>
      <c r="D1265" s="57" t="s">
        <v>1475</v>
      </c>
      <c r="E1265" s="50" t="s">
        <v>15</v>
      </c>
      <c r="F1265" s="58">
        <v>1100</v>
      </c>
      <c r="G1265" s="52">
        <v>1183.4100000000001</v>
      </c>
      <c r="H1265" s="49">
        <v>484</v>
      </c>
      <c r="I1265" s="13">
        <f t="shared" si="142"/>
        <v>83.410000000000082</v>
      </c>
      <c r="J1265" s="14">
        <f t="shared" si="136"/>
        <v>7.5827272727272801</v>
      </c>
      <c r="K1265" s="56">
        <v>4</v>
      </c>
      <c r="L1265" s="15">
        <f t="shared" si="137"/>
        <v>44</v>
      </c>
      <c r="M1265" s="16">
        <f t="shared" si="138"/>
        <v>240.38303743999995</v>
      </c>
      <c r="N1265" s="17">
        <f t="shared" si="139"/>
        <v>2.6623999999999999</v>
      </c>
      <c r="O1265" s="17">
        <f t="shared" si="140"/>
        <v>2928.64</v>
      </c>
      <c r="P1265" s="18">
        <f t="shared" si="141"/>
        <v>264421.34118399996</v>
      </c>
      <c r="R1265" s="66" t="s">
        <v>1449</v>
      </c>
      <c r="S1265" s="19"/>
      <c r="T1265" s="20"/>
      <c r="U1265" s="20"/>
      <c r="V1265" s="20"/>
      <c r="W1265" s="20"/>
      <c r="X1265" s="20"/>
      <c r="Y1265" s="20"/>
      <c r="Z1265" s="20"/>
      <c r="AA1265" s="20"/>
    </row>
    <row r="1266" spans="1:27" ht="12.75">
      <c r="A1266" s="54"/>
      <c r="B1266" s="10">
        <v>46059</v>
      </c>
      <c r="C1266" s="11">
        <f>VLOOKUP(B:B,'Курс валют'!A:D,4,0)</f>
        <v>90.2881</v>
      </c>
      <c r="D1266" s="57" t="s">
        <v>1476</v>
      </c>
      <c r="E1266" s="50" t="s">
        <v>15</v>
      </c>
      <c r="F1266" s="58">
        <v>1100</v>
      </c>
      <c r="G1266" s="52">
        <v>1183.4100000000001</v>
      </c>
      <c r="H1266" s="56">
        <v>484</v>
      </c>
      <c r="I1266" s="13">
        <f t="shared" si="142"/>
        <v>83.410000000000082</v>
      </c>
      <c r="J1266" s="14">
        <f t="shared" si="136"/>
        <v>7.5827272727272801</v>
      </c>
      <c r="K1266" s="53">
        <v>3.99</v>
      </c>
      <c r="L1266" s="15">
        <f t="shared" si="137"/>
        <v>44</v>
      </c>
      <c r="M1266" s="16">
        <f t="shared" si="138"/>
        <v>239.48015644000003</v>
      </c>
      <c r="N1266" s="17">
        <f t="shared" si="139"/>
        <v>2.6524000000000001</v>
      </c>
      <c r="O1266" s="17">
        <f t="shared" si="140"/>
        <v>2917.6400000000003</v>
      </c>
      <c r="P1266" s="18">
        <f t="shared" si="141"/>
        <v>263428.17208400002</v>
      </c>
      <c r="R1266" s="66" t="s">
        <v>1449</v>
      </c>
      <c r="S1266" s="19"/>
      <c r="T1266" s="20"/>
      <c r="U1266" s="20"/>
      <c r="V1266" s="20"/>
      <c r="W1266" s="20"/>
      <c r="X1266" s="20"/>
      <c r="Y1266" s="20"/>
      <c r="Z1266" s="20"/>
      <c r="AA1266" s="20"/>
    </row>
    <row r="1267" spans="1:27" ht="12.75">
      <c r="A1267" s="54"/>
      <c r="B1267" s="10">
        <v>46059</v>
      </c>
      <c r="C1267" s="11">
        <f>VLOOKUP(B:B,'Курс валют'!A:D,4,0)</f>
        <v>90.2881</v>
      </c>
      <c r="D1267" s="57" t="s">
        <v>1477</v>
      </c>
      <c r="E1267" s="50" t="s">
        <v>15</v>
      </c>
      <c r="F1267" s="58">
        <v>1100</v>
      </c>
      <c r="G1267" s="52">
        <v>1183.4100000000001</v>
      </c>
      <c r="H1267" s="56">
        <v>484</v>
      </c>
      <c r="I1267" s="13">
        <f t="shared" si="142"/>
        <v>83.410000000000082</v>
      </c>
      <c r="J1267" s="14">
        <f t="shared" si="136"/>
        <v>7.5827272727272801</v>
      </c>
      <c r="K1267" s="53">
        <v>3.99</v>
      </c>
      <c r="L1267" s="15">
        <f t="shared" si="137"/>
        <v>44</v>
      </c>
      <c r="M1267" s="16">
        <f t="shared" si="138"/>
        <v>239.48015644000003</v>
      </c>
      <c r="N1267" s="17">
        <f t="shared" si="139"/>
        <v>2.6524000000000001</v>
      </c>
      <c r="O1267" s="17">
        <f t="shared" si="140"/>
        <v>2917.6400000000003</v>
      </c>
      <c r="P1267" s="18">
        <f t="shared" si="141"/>
        <v>263428.17208400002</v>
      </c>
      <c r="R1267" s="66" t="s">
        <v>1449</v>
      </c>
      <c r="S1267" s="19"/>
      <c r="T1267" s="20"/>
      <c r="U1267" s="20"/>
      <c r="V1267" s="20"/>
      <c r="W1267" s="20"/>
      <c r="X1267" s="20"/>
      <c r="Y1267" s="20"/>
      <c r="Z1267" s="20"/>
      <c r="AA1267" s="20"/>
    </row>
    <row r="1268" spans="1:27" ht="12.75">
      <c r="A1268" s="54"/>
      <c r="B1268" s="10">
        <v>46059</v>
      </c>
      <c r="C1268" s="11">
        <f>VLOOKUP(B:B,'Курс валют'!A:D,4,0)</f>
        <v>90.2881</v>
      </c>
      <c r="D1268" s="57" t="s">
        <v>1478</v>
      </c>
      <c r="E1268" s="50" t="s">
        <v>15</v>
      </c>
      <c r="F1268" s="58">
        <v>1100</v>
      </c>
      <c r="G1268" s="52">
        <v>1183.4100000000001</v>
      </c>
      <c r="H1268" s="56">
        <v>484</v>
      </c>
      <c r="I1268" s="13">
        <f t="shared" si="142"/>
        <v>83.410000000000082</v>
      </c>
      <c r="J1268" s="14">
        <f t="shared" si="136"/>
        <v>7.5827272727272801</v>
      </c>
      <c r="K1268" s="56">
        <v>4</v>
      </c>
      <c r="L1268" s="15">
        <f t="shared" si="137"/>
        <v>44</v>
      </c>
      <c r="M1268" s="16">
        <f t="shared" si="138"/>
        <v>240.38303743999995</v>
      </c>
      <c r="N1268" s="17">
        <f t="shared" si="139"/>
        <v>2.6623999999999999</v>
      </c>
      <c r="O1268" s="17">
        <f t="shared" si="140"/>
        <v>2928.64</v>
      </c>
      <c r="P1268" s="18">
        <f t="shared" si="141"/>
        <v>264421.34118399996</v>
      </c>
      <c r="R1268" s="66" t="s">
        <v>1449</v>
      </c>
      <c r="S1268" s="20"/>
      <c r="T1268" s="20"/>
      <c r="U1268" s="20"/>
      <c r="V1268" s="20"/>
      <c r="W1268" s="20"/>
      <c r="X1268" s="20"/>
      <c r="Y1268" s="20"/>
      <c r="Z1268" s="20"/>
      <c r="AA1268" s="20"/>
    </row>
    <row r="1269" spans="1:27" ht="12.75">
      <c r="A1269" s="54"/>
      <c r="B1269" s="10">
        <v>46060</v>
      </c>
      <c r="C1269" s="11">
        <f>VLOOKUP(B:B,'Курс валют'!A:D,4,0)</f>
        <v>91.045100000000005</v>
      </c>
      <c r="D1269" s="57" t="s">
        <v>1479</v>
      </c>
      <c r="E1269" s="50" t="s">
        <v>15</v>
      </c>
      <c r="F1269" s="58">
        <v>1100</v>
      </c>
      <c r="G1269" s="52">
        <v>1183.4100000000001</v>
      </c>
      <c r="H1269" s="56">
        <v>484</v>
      </c>
      <c r="I1269" s="13">
        <f t="shared" si="142"/>
        <v>83.410000000000082</v>
      </c>
      <c r="J1269" s="14">
        <f t="shared" si="136"/>
        <v>7.5827272727272801</v>
      </c>
      <c r="K1269" s="56">
        <v>3.99</v>
      </c>
      <c r="L1269" s="15">
        <f t="shared" si="137"/>
        <v>44</v>
      </c>
      <c r="M1269" s="16">
        <f t="shared" si="138"/>
        <v>241.48802324000005</v>
      </c>
      <c r="N1269" s="17">
        <f t="shared" si="139"/>
        <v>2.6524000000000001</v>
      </c>
      <c r="O1269" s="17">
        <f t="shared" si="140"/>
        <v>2917.6400000000003</v>
      </c>
      <c r="P1269" s="18">
        <f t="shared" si="141"/>
        <v>265636.82556400006</v>
      </c>
      <c r="R1269" s="66" t="s">
        <v>1449</v>
      </c>
      <c r="S1269" s="20"/>
      <c r="T1269" s="20"/>
      <c r="U1269" s="20"/>
      <c r="V1269" s="20"/>
      <c r="W1269" s="20"/>
      <c r="X1269" s="20"/>
      <c r="Y1269" s="20"/>
      <c r="Z1269" s="20"/>
      <c r="AA1269" s="20"/>
    </row>
    <row r="1270" spans="1:27" ht="12.75">
      <c r="A1270" s="54"/>
      <c r="B1270" s="10">
        <v>46060</v>
      </c>
      <c r="C1270" s="11">
        <f>VLOOKUP(B:B,'Курс валют'!A:D,4,0)</f>
        <v>91.045100000000005</v>
      </c>
      <c r="D1270" s="57" t="s">
        <v>1480</v>
      </c>
      <c r="E1270" s="50" t="s">
        <v>15</v>
      </c>
      <c r="F1270" s="58">
        <v>1100</v>
      </c>
      <c r="G1270" s="52">
        <v>1183.4100000000001</v>
      </c>
      <c r="H1270" s="22">
        <v>484</v>
      </c>
      <c r="I1270" s="13">
        <f t="shared" si="142"/>
        <v>83.410000000000082</v>
      </c>
      <c r="J1270" s="14">
        <f t="shared" si="136"/>
        <v>7.5827272727272801</v>
      </c>
      <c r="K1270" s="56">
        <v>3.99</v>
      </c>
      <c r="L1270" s="15">
        <f t="shared" si="137"/>
        <v>44</v>
      </c>
      <c r="M1270" s="16">
        <f t="shared" si="138"/>
        <v>241.48802324000005</v>
      </c>
      <c r="N1270" s="17">
        <f t="shared" si="139"/>
        <v>2.6524000000000001</v>
      </c>
      <c r="O1270" s="17">
        <f t="shared" si="140"/>
        <v>2917.6400000000003</v>
      </c>
      <c r="P1270" s="18">
        <f t="shared" si="141"/>
        <v>265636.82556400006</v>
      </c>
      <c r="R1270" s="66" t="s">
        <v>1449</v>
      </c>
      <c r="S1270" s="20"/>
      <c r="T1270" s="20"/>
      <c r="U1270" s="20"/>
      <c r="V1270" s="20"/>
      <c r="W1270" s="20"/>
      <c r="X1270" s="20"/>
      <c r="Y1270" s="20"/>
      <c r="Z1270" s="20"/>
      <c r="AA1270" s="20"/>
    </row>
    <row r="1271" spans="1:27" ht="12.75">
      <c r="A1271" s="54"/>
      <c r="B1271" s="10">
        <v>46060</v>
      </c>
      <c r="C1271" s="11">
        <f>VLOOKUP(B:B,'Курс валют'!A:D,4,0)</f>
        <v>91.045100000000005</v>
      </c>
      <c r="D1271" s="57" t="s">
        <v>1481</v>
      </c>
      <c r="E1271" s="50" t="s">
        <v>15</v>
      </c>
      <c r="F1271" s="58">
        <v>1100</v>
      </c>
      <c r="G1271" s="52">
        <v>1183.4100000000001</v>
      </c>
      <c r="H1271" s="22">
        <v>484</v>
      </c>
      <c r="I1271" s="13">
        <f t="shared" si="142"/>
        <v>83.410000000000082</v>
      </c>
      <c r="J1271" s="14">
        <f t="shared" si="136"/>
        <v>7.5827272727272801</v>
      </c>
      <c r="K1271" s="56">
        <v>3.99</v>
      </c>
      <c r="L1271" s="15">
        <f t="shared" si="137"/>
        <v>44</v>
      </c>
      <c r="M1271" s="16">
        <f t="shared" si="138"/>
        <v>241.48802324000005</v>
      </c>
      <c r="N1271" s="17">
        <f t="shared" si="139"/>
        <v>2.6524000000000001</v>
      </c>
      <c r="O1271" s="17">
        <f t="shared" si="140"/>
        <v>2917.6400000000003</v>
      </c>
      <c r="P1271" s="18">
        <f t="shared" si="141"/>
        <v>265636.82556400006</v>
      </c>
      <c r="R1271" s="66" t="s">
        <v>1449</v>
      </c>
      <c r="S1271" s="20"/>
      <c r="T1271" s="20"/>
      <c r="U1271" s="20"/>
      <c r="V1271" s="20"/>
      <c r="W1271" s="20"/>
      <c r="X1271" s="20"/>
      <c r="Y1271" s="20"/>
      <c r="Z1271" s="20"/>
      <c r="AA1271" s="20"/>
    </row>
    <row r="1272" spans="1:27" ht="12.75">
      <c r="A1272" s="54"/>
      <c r="B1272" s="10">
        <v>46060</v>
      </c>
      <c r="C1272" s="11">
        <f>VLOOKUP(B:B,'Курс валют'!A:D,4,0)</f>
        <v>91.045100000000005</v>
      </c>
      <c r="D1272" s="57" t="s">
        <v>1482</v>
      </c>
      <c r="E1272" s="50" t="s">
        <v>15</v>
      </c>
      <c r="F1272" s="58">
        <v>1100</v>
      </c>
      <c r="G1272" s="52">
        <v>1183.4100000000001</v>
      </c>
      <c r="H1272" s="56">
        <v>484</v>
      </c>
      <c r="I1272" s="13">
        <f t="shared" si="142"/>
        <v>83.410000000000082</v>
      </c>
      <c r="J1272" s="14">
        <f t="shared" si="136"/>
        <v>7.5827272727272801</v>
      </c>
      <c r="K1272" s="56">
        <v>3.99</v>
      </c>
      <c r="L1272" s="15">
        <f t="shared" si="137"/>
        <v>44</v>
      </c>
      <c r="M1272" s="16">
        <f t="shared" si="138"/>
        <v>241.48802324000005</v>
      </c>
      <c r="N1272" s="17">
        <f t="shared" si="139"/>
        <v>2.6524000000000001</v>
      </c>
      <c r="O1272" s="17">
        <f t="shared" si="140"/>
        <v>2917.6400000000003</v>
      </c>
      <c r="P1272" s="18">
        <f t="shared" si="141"/>
        <v>265636.82556400006</v>
      </c>
      <c r="R1272" s="66" t="s">
        <v>1449</v>
      </c>
      <c r="S1272" s="19"/>
      <c r="T1272" s="20"/>
      <c r="U1272" s="20"/>
      <c r="V1272" s="20"/>
      <c r="W1272" s="20"/>
      <c r="X1272" s="20"/>
      <c r="Y1272" s="20"/>
      <c r="Z1272" s="20"/>
      <c r="AA1272" s="20"/>
    </row>
    <row r="1273" spans="1:27" ht="12.75">
      <c r="A1273" s="54"/>
      <c r="B1273" s="10">
        <v>46060</v>
      </c>
      <c r="C1273" s="11">
        <f>VLOOKUP(B:B,'Курс валют'!A:D,4,0)</f>
        <v>91.045100000000005</v>
      </c>
      <c r="D1273" s="57" t="s">
        <v>1483</v>
      </c>
      <c r="E1273" s="50" t="s">
        <v>15</v>
      </c>
      <c r="F1273" s="58">
        <v>1100</v>
      </c>
      <c r="G1273" s="52">
        <v>1183.4100000000001</v>
      </c>
      <c r="H1273" s="22">
        <v>484</v>
      </c>
      <c r="I1273" s="13">
        <f t="shared" si="142"/>
        <v>83.410000000000082</v>
      </c>
      <c r="J1273" s="14">
        <f t="shared" si="136"/>
        <v>7.5827272727272801</v>
      </c>
      <c r="K1273" s="56">
        <v>3.99</v>
      </c>
      <c r="L1273" s="15">
        <f t="shared" si="137"/>
        <v>44</v>
      </c>
      <c r="M1273" s="16">
        <f t="shared" si="138"/>
        <v>241.48802324000005</v>
      </c>
      <c r="N1273" s="17">
        <f t="shared" si="139"/>
        <v>2.6524000000000001</v>
      </c>
      <c r="O1273" s="17">
        <f t="shared" si="140"/>
        <v>2917.6400000000003</v>
      </c>
      <c r="P1273" s="18">
        <f t="shared" si="141"/>
        <v>265636.82556400006</v>
      </c>
      <c r="R1273" s="66" t="s">
        <v>1449</v>
      </c>
      <c r="S1273" s="19"/>
      <c r="T1273" s="20"/>
      <c r="U1273" s="20"/>
      <c r="V1273" s="20"/>
      <c r="W1273" s="20"/>
      <c r="X1273" s="20"/>
      <c r="Y1273" s="20"/>
      <c r="Z1273" s="20"/>
      <c r="AA1273" s="20"/>
    </row>
    <row r="1274" spans="1:27" ht="12.75">
      <c r="A1274" s="54"/>
      <c r="B1274" s="10">
        <v>46060</v>
      </c>
      <c r="C1274" s="11">
        <f>VLOOKUP(B:B,'Курс валют'!A:D,4,0)</f>
        <v>91.045100000000005</v>
      </c>
      <c r="D1274" s="57" t="s">
        <v>1484</v>
      </c>
      <c r="E1274" s="50" t="s">
        <v>15</v>
      </c>
      <c r="F1274" s="58">
        <v>1100</v>
      </c>
      <c r="G1274" s="52">
        <v>1183.4100000000001</v>
      </c>
      <c r="H1274" s="56">
        <v>484</v>
      </c>
      <c r="I1274" s="13">
        <f t="shared" si="142"/>
        <v>83.410000000000082</v>
      </c>
      <c r="J1274" s="14">
        <f t="shared" si="136"/>
        <v>7.5827272727272801</v>
      </c>
      <c r="K1274" s="56">
        <v>3.99</v>
      </c>
      <c r="L1274" s="15">
        <f t="shared" si="137"/>
        <v>44</v>
      </c>
      <c r="M1274" s="16">
        <f t="shared" si="138"/>
        <v>241.48802324000005</v>
      </c>
      <c r="N1274" s="17">
        <f t="shared" si="139"/>
        <v>2.6524000000000001</v>
      </c>
      <c r="O1274" s="17">
        <f t="shared" si="140"/>
        <v>2917.6400000000003</v>
      </c>
      <c r="P1274" s="18">
        <f t="shared" si="141"/>
        <v>265636.82556400006</v>
      </c>
      <c r="R1274" s="66" t="s">
        <v>1449</v>
      </c>
      <c r="S1274" s="19"/>
      <c r="T1274" s="20"/>
      <c r="U1274" s="20"/>
      <c r="V1274" s="20"/>
      <c r="W1274" s="20"/>
      <c r="X1274" s="20"/>
      <c r="Y1274" s="20"/>
      <c r="Z1274" s="20"/>
      <c r="AA1274" s="20"/>
    </row>
    <row r="1275" spans="1:27" ht="12.75">
      <c r="A1275" s="54"/>
      <c r="B1275" s="10">
        <v>46060</v>
      </c>
      <c r="C1275" s="11">
        <f>VLOOKUP(B:B,'Курс валют'!A:D,4,0)</f>
        <v>91.045100000000005</v>
      </c>
      <c r="D1275" s="57" t="s">
        <v>1485</v>
      </c>
      <c r="E1275" s="50" t="s">
        <v>15</v>
      </c>
      <c r="F1275" s="58">
        <v>1100</v>
      </c>
      <c r="G1275" s="52">
        <v>1183.4100000000001</v>
      </c>
      <c r="H1275" s="56">
        <v>484</v>
      </c>
      <c r="I1275" s="13">
        <f t="shared" si="142"/>
        <v>83.410000000000082</v>
      </c>
      <c r="J1275" s="14">
        <f t="shared" si="136"/>
        <v>7.5827272727272801</v>
      </c>
      <c r="K1275" s="56">
        <v>3.99</v>
      </c>
      <c r="L1275" s="15">
        <f t="shared" si="137"/>
        <v>44</v>
      </c>
      <c r="M1275" s="16">
        <f t="shared" si="138"/>
        <v>241.48802324000005</v>
      </c>
      <c r="N1275" s="17">
        <f t="shared" si="139"/>
        <v>2.6524000000000001</v>
      </c>
      <c r="O1275" s="17">
        <f t="shared" si="140"/>
        <v>2917.6400000000003</v>
      </c>
      <c r="P1275" s="18">
        <f t="shared" si="141"/>
        <v>265636.82556400006</v>
      </c>
      <c r="R1275" s="66" t="s">
        <v>1449</v>
      </c>
      <c r="S1275" s="20"/>
      <c r="T1275" s="20"/>
      <c r="U1275" s="20"/>
      <c r="V1275" s="20"/>
      <c r="W1275" s="20"/>
      <c r="X1275" s="20"/>
      <c r="Y1275" s="20"/>
      <c r="Z1275" s="20"/>
      <c r="AA1275" s="20"/>
    </row>
    <row r="1276" spans="1:27" ht="12.75">
      <c r="A1276" s="54"/>
      <c r="B1276" s="10">
        <v>46060</v>
      </c>
      <c r="C1276" s="11">
        <f>VLOOKUP(B:B,'Курс валют'!A:D,4,0)</f>
        <v>91.045100000000005</v>
      </c>
      <c r="D1276" s="57" t="s">
        <v>1486</v>
      </c>
      <c r="E1276" s="50" t="s">
        <v>15</v>
      </c>
      <c r="F1276" s="58">
        <v>1100</v>
      </c>
      <c r="G1276" s="52">
        <v>1183.4100000000001</v>
      </c>
      <c r="H1276" s="56">
        <v>484</v>
      </c>
      <c r="I1276" s="13">
        <f t="shared" si="142"/>
        <v>83.410000000000082</v>
      </c>
      <c r="J1276" s="14">
        <f t="shared" si="136"/>
        <v>7.5827272727272801</v>
      </c>
      <c r="K1276" s="56">
        <v>3.99</v>
      </c>
      <c r="L1276" s="15">
        <f t="shared" si="137"/>
        <v>44</v>
      </c>
      <c r="M1276" s="16">
        <f t="shared" si="138"/>
        <v>241.48802324000005</v>
      </c>
      <c r="N1276" s="17">
        <f t="shared" si="139"/>
        <v>2.6524000000000001</v>
      </c>
      <c r="O1276" s="17">
        <f t="shared" si="140"/>
        <v>2917.6400000000003</v>
      </c>
      <c r="P1276" s="18">
        <f t="shared" si="141"/>
        <v>265636.82556400006</v>
      </c>
      <c r="R1276" s="66" t="s">
        <v>1449</v>
      </c>
      <c r="S1276" s="20"/>
      <c r="T1276" s="20"/>
      <c r="U1276" s="20"/>
      <c r="V1276" s="20"/>
      <c r="W1276" s="20"/>
      <c r="X1276" s="20"/>
      <c r="Y1276" s="20"/>
      <c r="Z1276" s="20"/>
      <c r="AA1276" s="20"/>
    </row>
    <row r="1277" spans="1:27" ht="12.75">
      <c r="A1277" s="54"/>
      <c r="B1277" s="10">
        <v>46060</v>
      </c>
      <c r="C1277" s="11">
        <f>VLOOKUP(B:B,'Курс валют'!A:D,4,0)</f>
        <v>91.045100000000005</v>
      </c>
      <c r="D1277" s="57" t="s">
        <v>1487</v>
      </c>
      <c r="E1277" s="50" t="s">
        <v>56</v>
      </c>
      <c r="F1277" s="58">
        <v>1600</v>
      </c>
      <c r="G1277" s="52">
        <v>1628.35</v>
      </c>
      <c r="H1277" s="56">
        <v>0</v>
      </c>
      <c r="I1277" s="13">
        <f t="shared" si="142"/>
        <v>28.349999999999909</v>
      </c>
      <c r="J1277" s="14">
        <f t="shared" si="136"/>
        <v>1.7718749999999943</v>
      </c>
      <c r="K1277" s="56">
        <v>2.36</v>
      </c>
      <c r="L1277" s="15">
        <f t="shared" si="137"/>
        <v>0</v>
      </c>
      <c r="M1277" s="16">
        <f t="shared" si="138"/>
        <v>214.86643599999999</v>
      </c>
      <c r="N1277" s="17">
        <f t="shared" si="139"/>
        <v>2.36</v>
      </c>
      <c r="O1277" s="17">
        <f t="shared" si="140"/>
        <v>3776</v>
      </c>
      <c r="P1277" s="18">
        <f t="shared" si="141"/>
        <v>343786.29759999999</v>
      </c>
      <c r="R1277" s="66"/>
      <c r="S1277" s="20"/>
      <c r="T1277" s="20"/>
      <c r="U1277" s="20"/>
      <c r="V1277" s="20"/>
      <c r="W1277" s="20"/>
      <c r="X1277" s="20"/>
      <c r="Y1277" s="20"/>
      <c r="Z1277" s="20"/>
      <c r="AA1277" s="20"/>
    </row>
    <row r="1278" spans="1:27" ht="12.75">
      <c r="A1278" s="54"/>
      <c r="B1278" s="10">
        <v>46061</v>
      </c>
      <c r="C1278" s="11">
        <f>VLOOKUP(B:B,'Курс валют'!A:D,4,0)</f>
        <v>91.045100000000005</v>
      </c>
      <c r="D1278" s="57" t="s">
        <v>1488</v>
      </c>
      <c r="E1278" s="50" t="s">
        <v>15</v>
      </c>
      <c r="F1278" s="58">
        <v>1100</v>
      </c>
      <c r="G1278" s="52">
        <v>1187.4100000000001</v>
      </c>
      <c r="H1278" s="56">
        <v>488</v>
      </c>
      <c r="I1278" s="13">
        <f t="shared" si="142"/>
        <v>87.410000000000082</v>
      </c>
      <c r="J1278" s="14">
        <f t="shared" si="136"/>
        <v>7.9463636363636443</v>
      </c>
      <c r="K1278" s="56">
        <v>4</v>
      </c>
      <c r="L1278" s="15">
        <f t="shared" si="137"/>
        <v>44.363636363636367</v>
      </c>
      <c r="M1278" s="16">
        <f t="shared" si="138"/>
        <v>241.39201204363638</v>
      </c>
      <c r="N1278" s="17">
        <f t="shared" si="139"/>
        <v>2.6513454545454547</v>
      </c>
      <c r="O1278" s="17">
        <f t="shared" si="140"/>
        <v>2916.48</v>
      </c>
      <c r="P1278" s="18">
        <f t="shared" si="141"/>
        <v>265531.21324800001</v>
      </c>
      <c r="R1278" s="66" t="s">
        <v>1449</v>
      </c>
      <c r="S1278" s="20"/>
      <c r="T1278" s="20"/>
      <c r="U1278" s="20"/>
      <c r="V1278" s="20"/>
      <c r="W1278" s="20"/>
      <c r="X1278" s="20"/>
      <c r="Y1278" s="20"/>
      <c r="Z1278" s="20"/>
      <c r="AA1278" s="20"/>
    </row>
    <row r="1279" spans="1:27" ht="12.75">
      <c r="A1279" s="54"/>
      <c r="B1279" s="10">
        <v>46061</v>
      </c>
      <c r="C1279" s="11">
        <f>VLOOKUP(B:B,'Курс валют'!A:D,4,0)</f>
        <v>91.045100000000005</v>
      </c>
      <c r="D1279" s="57" t="s">
        <v>1489</v>
      </c>
      <c r="E1279" s="50" t="s">
        <v>15</v>
      </c>
      <c r="F1279" s="58">
        <v>1100</v>
      </c>
      <c r="G1279" s="52">
        <v>1187.4100000000001</v>
      </c>
      <c r="H1279" s="56">
        <v>488</v>
      </c>
      <c r="I1279" s="13">
        <f t="shared" si="142"/>
        <v>87.410000000000082</v>
      </c>
      <c r="J1279" s="14">
        <f t="shared" si="136"/>
        <v>7.9463636363636443</v>
      </c>
      <c r="K1279" s="56">
        <v>4.01</v>
      </c>
      <c r="L1279" s="15">
        <f t="shared" si="137"/>
        <v>44.363636363636367</v>
      </c>
      <c r="M1279" s="16">
        <f t="shared" si="138"/>
        <v>242.30246304363638</v>
      </c>
      <c r="N1279" s="17">
        <f t="shared" si="139"/>
        <v>2.6613454545454545</v>
      </c>
      <c r="O1279" s="17">
        <f t="shared" si="140"/>
        <v>2927.48</v>
      </c>
      <c r="P1279" s="18">
        <f t="shared" si="141"/>
        <v>266532.709348</v>
      </c>
      <c r="R1279" s="66" t="s">
        <v>1449</v>
      </c>
      <c r="S1279" s="20"/>
      <c r="T1279" s="20"/>
      <c r="U1279" s="20"/>
      <c r="V1279" s="20"/>
      <c r="W1279" s="20"/>
      <c r="X1279" s="20"/>
      <c r="Y1279" s="20"/>
      <c r="Z1279" s="20"/>
      <c r="AA1279" s="20"/>
    </row>
    <row r="1280" spans="1:27" ht="12.75">
      <c r="A1280" s="54"/>
      <c r="B1280" s="10">
        <v>46061</v>
      </c>
      <c r="C1280" s="11">
        <f>VLOOKUP(B:B,'Курс валют'!A:D,4,0)</f>
        <v>91.045100000000005</v>
      </c>
      <c r="D1280" s="57" t="s">
        <v>1490</v>
      </c>
      <c r="E1280" s="50" t="s">
        <v>15</v>
      </c>
      <c r="F1280" s="58">
        <v>1100</v>
      </c>
      <c r="G1280" s="52">
        <v>1187.4100000000001</v>
      </c>
      <c r="H1280" s="56">
        <v>488</v>
      </c>
      <c r="I1280" s="13">
        <f t="shared" si="142"/>
        <v>87.410000000000082</v>
      </c>
      <c r="J1280" s="14">
        <f t="shared" si="136"/>
        <v>7.9463636363636443</v>
      </c>
      <c r="K1280" s="56">
        <v>4.01</v>
      </c>
      <c r="L1280" s="15">
        <f t="shared" si="137"/>
        <v>44.363636363636367</v>
      </c>
      <c r="M1280" s="16">
        <f t="shared" si="138"/>
        <v>242.30246304363638</v>
      </c>
      <c r="N1280" s="17">
        <f t="shared" si="139"/>
        <v>2.6613454545454545</v>
      </c>
      <c r="O1280" s="17">
        <f t="shared" si="140"/>
        <v>2927.48</v>
      </c>
      <c r="P1280" s="18">
        <f t="shared" si="141"/>
        <v>266532.709348</v>
      </c>
      <c r="R1280" s="66" t="s">
        <v>1449</v>
      </c>
      <c r="S1280" s="20"/>
      <c r="T1280" s="20"/>
      <c r="U1280" s="20"/>
      <c r="V1280" s="20"/>
      <c r="W1280" s="20"/>
      <c r="X1280" s="20"/>
      <c r="Y1280" s="20"/>
      <c r="Z1280" s="20"/>
      <c r="AA1280" s="20"/>
    </row>
    <row r="1281" spans="1:27" ht="12.75">
      <c r="A1281" s="54"/>
      <c r="B1281" s="10">
        <v>46061</v>
      </c>
      <c r="C1281" s="11">
        <f>VLOOKUP(B:B,'Курс валют'!A:D,4,0)</f>
        <v>91.045100000000005</v>
      </c>
      <c r="D1281" s="57" t="s">
        <v>1491</v>
      </c>
      <c r="E1281" s="50" t="s">
        <v>15</v>
      </c>
      <c r="F1281" s="58">
        <v>1100</v>
      </c>
      <c r="G1281" s="52">
        <v>1187.4100000000001</v>
      </c>
      <c r="H1281" s="56">
        <v>488</v>
      </c>
      <c r="I1281" s="13">
        <f t="shared" si="142"/>
        <v>87.410000000000082</v>
      </c>
      <c r="J1281" s="14">
        <f t="shared" si="136"/>
        <v>7.9463636363636443</v>
      </c>
      <c r="K1281" s="56">
        <v>4.01</v>
      </c>
      <c r="L1281" s="15">
        <f t="shared" si="137"/>
        <v>44.363636363636367</v>
      </c>
      <c r="M1281" s="16">
        <f t="shared" si="138"/>
        <v>242.30246304363638</v>
      </c>
      <c r="N1281" s="17">
        <f t="shared" si="139"/>
        <v>2.6613454545454545</v>
      </c>
      <c r="O1281" s="17">
        <f t="shared" si="140"/>
        <v>2927.48</v>
      </c>
      <c r="P1281" s="18">
        <f t="shared" si="141"/>
        <v>266532.709348</v>
      </c>
      <c r="R1281" s="66" t="s">
        <v>1449</v>
      </c>
      <c r="S1281" s="20"/>
      <c r="T1281" s="20"/>
      <c r="U1281" s="20"/>
      <c r="V1281" s="20"/>
      <c r="W1281" s="20"/>
      <c r="X1281" s="20"/>
      <c r="Y1281" s="20"/>
      <c r="Z1281" s="20"/>
      <c r="AA1281" s="20"/>
    </row>
    <row r="1282" spans="1:27" ht="12.75">
      <c r="A1282" s="54"/>
      <c r="B1282" s="10">
        <v>46061</v>
      </c>
      <c r="C1282" s="11">
        <f>VLOOKUP(B:B,'Курс валют'!A:D,4,0)</f>
        <v>91.045100000000005</v>
      </c>
      <c r="D1282" s="57" t="s">
        <v>1492</v>
      </c>
      <c r="E1282" s="50" t="s">
        <v>15</v>
      </c>
      <c r="F1282" s="58">
        <v>1100</v>
      </c>
      <c r="G1282" s="52">
        <v>1187.4100000000001</v>
      </c>
      <c r="H1282" s="56">
        <v>488</v>
      </c>
      <c r="I1282" s="13">
        <f t="shared" si="142"/>
        <v>87.410000000000082</v>
      </c>
      <c r="J1282" s="14">
        <f t="shared" si="136"/>
        <v>7.9463636363636443</v>
      </c>
      <c r="K1282" s="56">
        <v>4.01</v>
      </c>
      <c r="L1282" s="15">
        <f t="shared" si="137"/>
        <v>44.363636363636367</v>
      </c>
      <c r="M1282" s="16">
        <f t="shared" si="138"/>
        <v>242.30246304363638</v>
      </c>
      <c r="N1282" s="17">
        <f t="shared" si="139"/>
        <v>2.6613454545454545</v>
      </c>
      <c r="O1282" s="17">
        <f t="shared" si="140"/>
        <v>2927.48</v>
      </c>
      <c r="P1282" s="18">
        <f t="shared" si="141"/>
        <v>266532.709348</v>
      </c>
      <c r="R1282" s="66" t="s">
        <v>1449</v>
      </c>
      <c r="S1282" s="20"/>
      <c r="T1282" s="20"/>
      <c r="U1282" s="20"/>
      <c r="V1282" s="20"/>
      <c r="W1282" s="20"/>
      <c r="X1282" s="20"/>
      <c r="Y1282" s="20"/>
      <c r="Z1282" s="20"/>
      <c r="AA1282" s="20"/>
    </row>
    <row r="1283" spans="1:27" ht="12.75">
      <c r="A1283" s="54"/>
      <c r="B1283" s="10">
        <v>46061</v>
      </c>
      <c r="C1283" s="11">
        <f>VLOOKUP(B:B,'Курс валют'!A:D,4,0)</f>
        <v>91.045100000000005</v>
      </c>
      <c r="D1283" s="57" t="s">
        <v>1493</v>
      </c>
      <c r="E1283" s="50" t="s">
        <v>15</v>
      </c>
      <c r="F1283" s="58">
        <v>1100</v>
      </c>
      <c r="G1283" s="52">
        <v>1187.4100000000001</v>
      </c>
      <c r="H1283" s="56">
        <v>488</v>
      </c>
      <c r="I1283" s="13">
        <f t="shared" si="142"/>
        <v>87.410000000000082</v>
      </c>
      <c r="J1283" s="14">
        <f t="shared" si="136"/>
        <v>7.9463636363636443</v>
      </c>
      <c r="K1283" s="56">
        <v>4.01</v>
      </c>
      <c r="L1283" s="15">
        <f t="shared" si="137"/>
        <v>44.363636363636367</v>
      </c>
      <c r="M1283" s="16">
        <f t="shared" si="138"/>
        <v>242.30246304363638</v>
      </c>
      <c r="N1283" s="17">
        <f t="shared" si="139"/>
        <v>2.6613454545454545</v>
      </c>
      <c r="O1283" s="17">
        <f t="shared" si="140"/>
        <v>2927.48</v>
      </c>
      <c r="P1283" s="18">
        <f t="shared" si="141"/>
        <v>266532.709348</v>
      </c>
      <c r="R1283" s="66" t="s">
        <v>1449</v>
      </c>
      <c r="S1283" s="20"/>
      <c r="T1283" s="20"/>
      <c r="U1283" s="20"/>
      <c r="V1283" s="20"/>
      <c r="W1283" s="20"/>
      <c r="X1283" s="20"/>
      <c r="Y1283" s="20"/>
      <c r="Z1283" s="20"/>
      <c r="AA1283" s="20"/>
    </row>
    <row r="1284" spans="1:27" ht="12.75">
      <c r="A1284" s="54"/>
      <c r="B1284" s="10">
        <v>46061</v>
      </c>
      <c r="C1284" s="11">
        <f>VLOOKUP(B:B,'Курс валют'!A:D,4,0)</f>
        <v>91.045100000000005</v>
      </c>
      <c r="D1284" s="57" t="s">
        <v>1494</v>
      </c>
      <c r="E1284" s="50" t="s">
        <v>15</v>
      </c>
      <c r="F1284" s="58">
        <v>1100</v>
      </c>
      <c r="G1284" s="52">
        <v>1187.4100000000001</v>
      </c>
      <c r="H1284" s="56">
        <v>488</v>
      </c>
      <c r="I1284" s="13">
        <f t="shared" si="142"/>
        <v>87.410000000000082</v>
      </c>
      <c r="J1284" s="14">
        <f t="shared" si="136"/>
        <v>7.9463636363636443</v>
      </c>
      <c r="K1284" s="56">
        <v>4.01</v>
      </c>
      <c r="L1284" s="15">
        <f t="shared" si="137"/>
        <v>44.363636363636367</v>
      </c>
      <c r="M1284" s="16">
        <f t="shared" si="138"/>
        <v>242.30246304363638</v>
      </c>
      <c r="N1284" s="17">
        <f t="shared" si="139"/>
        <v>2.6613454545454545</v>
      </c>
      <c r="O1284" s="17">
        <f t="shared" si="140"/>
        <v>2927.48</v>
      </c>
      <c r="P1284" s="18">
        <f t="shared" si="141"/>
        <v>266532.709348</v>
      </c>
      <c r="R1284" s="66" t="s">
        <v>1449</v>
      </c>
      <c r="S1284" s="20"/>
      <c r="T1284" s="20"/>
      <c r="U1284" s="20"/>
      <c r="V1284" s="20"/>
      <c r="W1284" s="20"/>
      <c r="X1284" s="20"/>
      <c r="Y1284" s="20"/>
      <c r="Z1284" s="20"/>
      <c r="AA1284" s="20"/>
    </row>
    <row r="1285" spans="1:27" ht="12.75">
      <c r="A1285" s="54"/>
      <c r="B1285" s="10">
        <v>46061</v>
      </c>
      <c r="C1285" s="11">
        <f>VLOOKUP(B:B,'Курс валют'!A:D,4,0)</f>
        <v>91.045100000000005</v>
      </c>
      <c r="D1285" s="57" t="s">
        <v>1495</v>
      </c>
      <c r="E1285" s="50" t="s">
        <v>15</v>
      </c>
      <c r="F1285" s="58">
        <v>1100</v>
      </c>
      <c r="G1285" s="52">
        <v>1187.4100000000001</v>
      </c>
      <c r="H1285" s="56">
        <v>488</v>
      </c>
      <c r="I1285" s="13">
        <f t="shared" si="142"/>
        <v>87.410000000000082</v>
      </c>
      <c r="J1285" s="14">
        <f t="shared" si="136"/>
        <v>7.9463636363636443</v>
      </c>
      <c r="K1285" s="56">
        <v>4.01</v>
      </c>
      <c r="L1285" s="15">
        <f t="shared" si="137"/>
        <v>44.363636363636367</v>
      </c>
      <c r="M1285" s="16">
        <f t="shared" si="138"/>
        <v>242.30246304363638</v>
      </c>
      <c r="N1285" s="17">
        <f t="shared" si="139"/>
        <v>2.6613454545454545</v>
      </c>
      <c r="O1285" s="17">
        <f t="shared" si="140"/>
        <v>2927.48</v>
      </c>
      <c r="P1285" s="18">
        <f t="shared" si="141"/>
        <v>266532.709348</v>
      </c>
      <c r="R1285" s="66" t="s">
        <v>1449</v>
      </c>
      <c r="S1285" s="20"/>
      <c r="T1285" s="20"/>
      <c r="U1285" s="20"/>
      <c r="V1285" s="20"/>
      <c r="W1285" s="20"/>
      <c r="X1285" s="20"/>
      <c r="Y1285" s="20"/>
      <c r="Z1285" s="20"/>
      <c r="AA1285" s="20"/>
    </row>
    <row r="1286" spans="1:27" ht="12.75">
      <c r="A1286" s="54"/>
      <c r="B1286" s="10">
        <v>46063</v>
      </c>
      <c r="C1286" s="11">
        <f>VLOOKUP(B:B,'Курс валют'!A:D,4,0)</f>
        <v>92.013599999999997</v>
      </c>
      <c r="D1286" s="57" t="s">
        <v>1496</v>
      </c>
      <c r="E1286" s="55" t="s">
        <v>432</v>
      </c>
      <c r="F1286" s="58">
        <v>880.84</v>
      </c>
      <c r="G1286" s="13">
        <v>890.5</v>
      </c>
      <c r="H1286" s="56">
        <v>0</v>
      </c>
      <c r="I1286" s="13">
        <f t="shared" si="142"/>
        <v>9.6599999999999682</v>
      </c>
      <c r="J1286" s="14">
        <f t="shared" si="136"/>
        <v>1.0966804413968447</v>
      </c>
      <c r="K1286" s="56">
        <v>1.95</v>
      </c>
      <c r="L1286" s="15">
        <f t="shared" si="137"/>
        <v>0</v>
      </c>
      <c r="M1286" s="16">
        <f t="shared" si="138"/>
        <v>179.42651999999995</v>
      </c>
      <c r="N1286" s="17">
        <f t="shared" si="139"/>
        <v>1.9499999999999997</v>
      </c>
      <c r="O1286" s="17">
        <f t="shared" si="140"/>
        <v>1717.6379999999999</v>
      </c>
      <c r="P1286" s="18">
        <f t="shared" si="141"/>
        <v>158046.05587679998</v>
      </c>
      <c r="R1286" s="66"/>
      <c r="S1286" s="20"/>
      <c r="T1286" s="20"/>
      <c r="U1286" s="20"/>
      <c r="V1286" s="20"/>
      <c r="W1286" s="20"/>
      <c r="X1286" s="20"/>
      <c r="Y1286" s="20"/>
      <c r="Z1286" s="20"/>
      <c r="AA1286" s="20"/>
    </row>
    <row r="1287" spans="1:27" ht="12.75">
      <c r="A1287" s="54"/>
      <c r="B1287" s="10">
        <v>46066</v>
      </c>
      <c r="C1287" s="11">
        <f>VLOOKUP(B:B,'Курс валют'!A:D,4,0)</f>
        <v>91.711299999999994</v>
      </c>
      <c r="D1287" s="57" t="s">
        <v>1497</v>
      </c>
      <c r="E1287" s="55" t="s">
        <v>15</v>
      </c>
      <c r="F1287" s="58">
        <v>1100</v>
      </c>
      <c r="G1287" s="13">
        <v>1147.71</v>
      </c>
      <c r="H1287" s="56">
        <v>488</v>
      </c>
      <c r="I1287" s="13">
        <f t="shared" si="142"/>
        <v>47.710000000000036</v>
      </c>
      <c r="J1287" s="14">
        <f t="shared" si="136"/>
        <v>4.3372727272727305</v>
      </c>
      <c r="K1287" s="56">
        <v>3.89</v>
      </c>
      <c r="L1287" s="15">
        <f t="shared" si="137"/>
        <v>44.363636363636367</v>
      </c>
      <c r="M1287" s="16">
        <f t="shared" si="138"/>
        <v>233.07009538545449</v>
      </c>
      <c r="N1287" s="17">
        <f t="shared" si="139"/>
        <v>2.5413454545454544</v>
      </c>
      <c r="O1287" s="17">
        <f t="shared" si="140"/>
        <v>2795.4799999999996</v>
      </c>
      <c r="P1287" s="18">
        <f t="shared" si="141"/>
        <v>256377.10492399996</v>
      </c>
      <c r="R1287" s="66" t="s">
        <v>1449</v>
      </c>
      <c r="S1287" s="20"/>
      <c r="T1287" s="20"/>
      <c r="U1287" s="20"/>
      <c r="V1287" s="20"/>
      <c r="W1287" s="20"/>
      <c r="X1287" s="20"/>
      <c r="Y1287" s="20"/>
      <c r="Z1287" s="20"/>
      <c r="AA1287" s="20"/>
    </row>
    <row r="1288" spans="1:27" ht="12.75">
      <c r="A1288" s="54"/>
      <c r="B1288" s="10">
        <v>46066</v>
      </c>
      <c r="C1288" s="11">
        <f>VLOOKUP(B:B,'Курс валют'!A:D,4,0)</f>
        <v>91.711299999999994</v>
      </c>
      <c r="D1288" s="57" t="s">
        <v>1498</v>
      </c>
      <c r="E1288" s="55" t="s">
        <v>15</v>
      </c>
      <c r="F1288" s="58">
        <v>1100</v>
      </c>
      <c r="G1288" s="13">
        <v>1147.71</v>
      </c>
      <c r="H1288" s="56">
        <v>488</v>
      </c>
      <c r="I1288" s="13">
        <f t="shared" si="142"/>
        <v>47.710000000000036</v>
      </c>
      <c r="J1288" s="14">
        <f t="shared" si="136"/>
        <v>4.3372727272727305</v>
      </c>
      <c r="K1288" s="56">
        <v>3.89</v>
      </c>
      <c r="L1288" s="15">
        <f t="shared" si="137"/>
        <v>44.363636363636367</v>
      </c>
      <c r="M1288" s="16">
        <f t="shared" si="138"/>
        <v>233.07009538545449</v>
      </c>
      <c r="N1288" s="17">
        <f t="shared" si="139"/>
        <v>2.5413454545454544</v>
      </c>
      <c r="O1288" s="17">
        <f t="shared" si="140"/>
        <v>2795.4799999999996</v>
      </c>
      <c r="P1288" s="18">
        <f t="shared" si="141"/>
        <v>256377.10492399996</v>
      </c>
      <c r="R1288" s="66" t="s">
        <v>1449</v>
      </c>
      <c r="S1288" s="20"/>
      <c r="T1288" s="20"/>
      <c r="U1288" s="20"/>
      <c r="V1288" s="20"/>
      <c r="W1288" s="20"/>
      <c r="X1288" s="20"/>
      <c r="Y1288" s="20"/>
      <c r="Z1288" s="20"/>
      <c r="AA1288" s="20"/>
    </row>
    <row r="1289" spans="1:27" ht="12.75">
      <c r="A1289" s="54"/>
      <c r="B1289" s="10">
        <v>46066</v>
      </c>
      <c r="C1289" s="11">
        <f>VLOOKUP(B:B,'Курс валют'!A:D,4,0)</f>
        <v>91.711299999999994</v>
      </c>
      <c r="D1289" s="57" t="s">
        <v>1499</v>
      </c>
      <c r="E1289" s="55" t="s">
        <v>15</v>
      </c>
      <c r="F1289" s="58">
        <v>1100</v>
      </c>
      <c r="G1289" s="13">
        <v>1147.71</v>
      </c>
      <c r="H1289" s="56">
        <v>466.2</v>
      </c>
      <c r="I1289" s="13">
        <f t="shared" si="142"/>
        <v>47.710000000000036</v>
      </c>
      <c r="J1289" s="14">
        <f t="shared" si="136"/>
        <v>4.3372727272727305</v>
      </c>
      <c r="K1289" s="56">
        <v>3.83</v>
      </c>
      <c r="L1289" s="15">
        <f t="shared" si="137"/>
        <v>42.381818181818183</v>
      </c>
      <c r="M1289" s="16">
        <f t="shared" si="138"/>
        <v>233.09277308872728</v>
      </c>
      <c r="N1289" s="17">
        <f t="shared" si="139"/>
        <v>2.5415927272727274</v>
      </c>
      <c r="O1289" s="17">
        <f t="shared" si="140"/>
        <v>2795.7520000000004</v>
      </c>
      <c r="P1289" s="18">
        <f t="shared" si="141"/>
        <v>256402.05039760002</v>
      </c>
      <c r="R1289" s="66" t="s">
        <v>1449</v>
      </c>
      <c r="S1289" s="20"/>
      <c r="T1289" s="20"/>
      <c r="U1289" s="20"/>
      <c r="V1289" s="20"/>
      <c r="W1289" s="20"/>
      <c r="X1289" s="20"/>
      <c r="Y1289" s="20"/>
      <c r="Z1289" s="20"/>
      <c r="AA1289" s="20"/>
    </row>
    <row r="1290" spans="1:27" ht="12.75">
      <c r="A1290" s="54"/>
      <c r="B1290" s="10">
        <v>46066</v>
      </c>
      <c r="C1290" s="11">
        <f>VLOOKUP(B:B,'Курс валют'!A:D,4,0)</f>
        <v>91.711299999999994</v>
      </c>
      <c r="D1290" s="57" t="s">
        <v>1500</v>
      </c>
      <c r="E1290" s="55" t="s">
        <v>15</v>
      </c>
      <c r="F1290" s="58">
        <v>1100</v>
      </c>
      <c r="G1290" s="13">
        <v>1147.71</v>
      </c>
      <c r="H1290" s="56">
        <v>0</v>
      </c>
      <c r="I1290" s="13">
        <f t="shared" si="142"/>
        <v>47.710000000000036</v>
      </c>
      <c r="J1290" s="14">
        <f t="shared" si="136"/>
        <v>4.3372727272727305</v>
      </c>
      <c r="K1290" s="56">
        <v>2.62</v>
      </c>
      <c r="L1290" s="15">
        <f t="shared" si="137"/>
        <v>0</v>
      </c>
      <c r="M1290" s="16">
        <f t="shared" si="138"/>
        <v>240.28360599999999</v>
      </c>
      <c r="N1290" s="17">
        <f t="shared" si="139"/>
        <v>2.62</v>
      </c>
      <c r="O1290" s="17">
        <f t="shared" si="140"/>
        <v>2882</v>
      </c>
      <c r="P1290" s="18">
        <f t="shared" si="141"/>
        <v>264311.96659999999</v>
      </c>
      <c r="R1290" s="66" t="s">
        <v>1449</v>
      </c>
      <c r="S1290" s="20"/>
      <c r="T1290" s="20"/>
      <c r="U1290" s="20"/>
      <c r="V1290" s="20"/>
      <c r="W1290" s="20"/>
      <c r="X1290" s="20"/>
      <c r="Y1290" s="20"/>
      <c r="Z1290" s="20"/>
      <c r="AA1290" s="20"/>
    </row>
    <row r="1291" spans="1:27" ht="12.75">
      <c r="A1291" s="54"/>
      <c r="B1291" s="10">
        <v>46066</v>
      </c>
      <c r="C1291" s="11">
        <f>VLOOKUP(B:B,'Курс валют'!A:D,4,0)</f>
        <v>91.711299999999994</v>
      </c>
      <c r="D1291" s="57" t="s">
        <v>1501</v>
      </c>
      <c r="E1291" s="55" t="s">
        <v>15</v>
      </c>
      <c r="F1291" s="58">
        <v>1100</v>
      </c>
      <c r="G1291" s="13">
        <v>1147.71</v>
      </c>
      <c r="H1291" s="56">
        <v>0</v>
      </c>
      <c r="I1291" s="13">
        <f t="shared" si="142"/>
        <v>47.710000000000036</v>
      </c>
      <c r="J1291" s="14">
        <f t="shared" si="136"/>
        <v>4.3372727272727305</v>
      </c>
      <c r="K1291" s="56">
        <v>2.62</v>
      </c>
      <c r="L1291" s="15">
        <f t="shared" si="137"/>
        <v>0</v>
      </c>
      <c r="M1291" s="16">
        <f t="shared" si="138"/>
        <v>240.28360599999999</v>
      </c>
      <c r="N1291" s="17">
        <f t="shared" si="139"/>
        <v>2.62</v>
      </c>
      <c r="O1291" s="17">
        <f t="shared" si="140"/>
        <v>2882</v>
      </c>
      <c r="P1291" s="18">
        <f t="shared" si="141"/>
        <v>264311.96659999999</v>
      </c>
      <c r="R1291" s="66" t="s">
        <v>1449</v>
      </c>
      <c r="S1291" s="20"/>
      <c r="T1291" s="20"/>
      <c r="U1291" s="20"/>
      <c r="V1291" s="20"/>
      <c r="W1291" s="20"/>
      <c r="X1291" s="20"/>
      <c r="Y1291" s="20"/>
      <c r="Z1291" s="20"/>
      <c r="AA1291" s="20"/>
    </row>
    <row r="1292" spans="1:27" ht="12.75">
      <c r="A1292" s="54"/>
      <c r="B1292" s="10">
        <v>46066</v>
      </c>
      <c r="C1292" s="11">
        <f>VLOOKUP(B:B,'Курс валют'!A:D,4,0)</f>
        <v>91.711299999999994</v>
      </c>
      <c r="D1292" s="57" t="s">
        <v>1502</v>
      </c>
      <c r="E1292" s="55" t="s">
        <v>15</v>
      </c>
      <c r="F1292" s="58">
        <v>660</v>
      </c>
      <c r="G1292" s="13">
        <v>689.07</v>
      </c>
      <c r="H1292" s="56">
        <v>0</v>
      </c>
      <c r="I1292" s="13">
        <f t="shared" si="142"/>
        <v>29.07000000000005</v>
      </c>
      <c r="J1292" s="14">
        <f t="shared" si="136"/>
        <v>4.4045454545454623</v>
      </c>
      <c r="K1292" s="56">
        <v>2.62</v>
      </c>
      <c r="L1292" s="15">
        <f t="shared" si="137"/>
        <v>0</v>
      </c>
      <c r="M1292" s="16">
        <f t="shared" si="138"/>
        <v>240.28360600000002</v>
      </c>
      <c r="N1292" s="17">
        <f t="shared" si="139"/>
        <v>2.62</v>
      </c>
      <c r="O1292" s="17">
        <f t="shared" si="140"/>
        <v>1729.2</v>
      </c>
      <c r="P1292" s="18">
        <f t="shared" si="141"/>
        <v>158587.17996000001</v>
      </c>
      <c r="R1292" s="66" t="s">
        <v>1449</v>
      </c>
      <c r="S1292" s="20"/>
      <c r="T1292" s="20"/>
      <c r="U1292" s="20"/>
      <c r="V1292" s="20"/>
      <c r="W1292" s="20"/>
      <c r="X1292" s="20"/>
      <c r="Y1292" s="20"/>
      <c r="Z1292" s="20"/>
      <c r="AA1292" s="20"/>
    </row>
    <row r="1293" spans="1:27" ht="12.75">
      <c r="A1293" s="54"/>
      <c r="B1293" s="10">
        <v>46068</v>
      </c>
      <c r="C1293" s="11">
        <f>VLOOKUP(B:B,'Курс валют'!A:D,4,0)</f>
        <v>91.557500000000005</v>
      </c>
      <c r="D1293" s="57" t="s">
        <v>1503</v>
      </c>
      <c r="E1293" s="55" t="s">
        <v>15</v>
      </c>
      <c r="F1293" s="58">
        <v>1100</v>
      </c>
      <c r="G1293" s="13">
        <v>1143.6099999999999</v>
      </c>
      <c r="H1293" s="56">
        <v>0</v>
      </c>
      <c r="I1293" s="13">
        <f t="shared" si="142"/>
        <v>43.6099999999999</v>
      </c>
      <c r="J1293" s="14">
        <f t="shared" si="136"/>
        <v>3.9645454545454455</v>
      </c>
      <c r="K1293" s="56">
        <v>2.5</v>
      </c>
      <c r="L1293" s="15">
        <f t="shared" si="137"/>
        <v>0</v>
      </c>
      <c r="M1293" s="16">
        <f t="shared" si="138"/>
        <v>228.89375000000001</v>
      </c>
      <c r="N1293" s="17">
        <f t="shared" si="139"/>
        <v>2.5</v>
      </c>
      <c r="O1293" s="17">
        <f t="shared" si="140"/>
        <v>2750</v>
      </c>
      <c r="P1293" s="18">
        <f t="shared" si="141"/>
        <v>251783.125</v>
      </c>
      <c r="R1293" s="66" t="s">
        <v>1504</v>
      </c>
      <c r="S1293" s="20"/>
      <c r="T1293" s="20"/>
      <c r="U1293" s="20"/>
      <c r="V1293" s="20"/>
      <c r="W1293" s="20"/>
      <c r="X1293" s="20"/>
      <c r="Y1293" s="20"/>
      <c r="Z1293" s="20"/>
      <c r="AA1293" s="20"/>
    </row>
    <row r="1294" spans="1:27" ht="12.75">
      <c r="A1294" s="54"/>
      <c r="B1294" s="10">
        <v>46068</v>
      </c>
      <c r="C1294" s="11">
        <f>VLOOKUP(B:B,'Курс валют'!A:D,4,0)</f>
        <v>91.557500000000005</v>
      </c>
      <c r="D1294" s="57" t="s">
        <v>1505</v>
      </c>
      <c r="E1294" s="55" t="s">
        <v>15</v>
      </c>
      <c r="F1294" s="58">
        <v>1100</v>
      </c>
      <c r="G1294" s="13">
        <v>1143.6099999999999</v>
      </c>
      <c r="H1294" s="56">
        <v>0</v>
      </c>
      <c r="I1294" s="13">
        <f t="shared" si="142"/>
        <v>43.6099999999999</v>
      </c>
      <c r="J1294" s="14">
        <f t="shared" si="136"/>
        <v>3.9645454545454455</v>
      </c>
      <c r="K1294" s="56">
        <v>2.36</v>
      </c>
      <c r="L1294" s="15">
        <f t="shared" si="137"/>
        <v>0</v>
      </c>
      <c r="M1294" s="16">
        <f t="shared" si="138"/>
        <v>216.07570000000001</v>
      </c>
      <c r="N1294" s="17">
        <f t="shared" si="139"/>
        <v>2.36</v>
      </c>
      <c r="O1294" s="17">
        <f t="shared" si="140"/>
        <v>2596</v>
      </c>
      <c r="P1294" s="18">
        <f t="shared" si="141"/>
        <v>237683.27000000002</v>
      </c>
      <c r="R1294" s="66" t="s">
        <v>1504</v>
      </c>
      <c r="S1294" s="20"/>
      <c r="T1294" s="20"/>
      <c r="U1294" s="20"/>
      <c r="V1294" s="20"/>
      <c r="W1294" s="20"/>
      <c r="X1294" s="20"/>
      <c r="Y1294" s="20"/>
      <c r="Z1294" s="20"/>
      <c r="AA1294" s="20"/>
    </row>
    <row r="1295" spans="1:27" ht="12.75">
      <c r="A1295" s="54"/>
      <c r="B1295" s="10">
        <v>46068</v>
      </c>
      <c r="C1295" s="11">
        <f>VLOOKUP(B:B,'Курс валют'!A:D,4,0)</f>
        <v>91.557500000000005</v>
      </c>
      <c r="D1295" s="57" t="s">
        <v>1506</v>
      </c>
      <c r="E1295" s="55" t="s">
        <v>15</v>
      </c>
      <c r="F1295" s="58">
        <v>1100</v>
      </c>
      <c r="G1295" s="13">
        <v>1143.6099999999999</v>
      </c>
      <c r="H1295" s="56">
        <v>0</v>
      </c>
      <c r="I1295" s="13">
        <f t="shared" si="142"/>
        <v>43.6099999999999</v>
      </c>
      <c r="J1295" s="14">
        <f t="shared" si="136"/>
        <v>3.9645454545454455</v>
      </c>
      <c r="K1295" s="56">
        <v>2.3199999999999998</v>
      </c>
      <c r="L1295" s="15">
        <f t="shared" si="137"/>
        <v>0</v>
      </c>
      <c r="M1295" s="16">
        <f t="shared" si="138"/>
        <v>212.41340000000002</v>
      </c>
      <c r="N1295" s="17">
        <f t="shared" si="139"/>
        <v>2.3199999999999998</v>
      </c>
      <c r="O1295" s="17">
        <f t="shared" si="140"/>
        <v>2552</v>
      </c>
      <c r="P1295" s="18">
        <f t="shared" si="141"/>
        <v>233654.74000000002</v>
      </c>
      <c r="R1295" s="66" t="s">
        <v>1504</v>
      </c>
      <c r="S1295" s="20"/>
      <c r="T1295" s="20"/>
      <c r="U1295" s="20"/>
      <c r="V1295" s="20"/>
      <c r="W1295" s="20"/>
      <c r="X1295" s="20"/>
      <c r="Y1295" s="20"/>
      <c r="Z1295" s="20"/>
      <c r="AA1295" s="20"/>
    </row>
    <row r="1296" spans="1:27" ht="12.75">
      <c r="A1296" s="54"/>
      <c r="B1296" s="10">
        <v>46068</v>
      </c>
      <c r="C1296" s="11">
        <f>VLOOKUP(B:B,'Курс валют'!A:D,4,0)</f>
        <v>91.557500000000005</v>
      </c>
      <c r="D1296" s="57" t="s">
        <v>1507</v>
      </c>
      <c r="E1296" s="55" t="s">
        <v>15</v>
      </c>
      <c r="F1296" s="58">
        <v>1100</v>
      </c>
      <c r="G1296" s="13">
        <v>1143.6099999999999</v>
      </c>
      <c r="H1296" s="56">
        <v>0</v>
      </c>
      <c r="I1296" s="13">
        <f t="shared" si="142"/>
        <v>43.6099999999999</v>
      </c>
      <c r="J1296" s="14">
        <f t="shared" si="136"/>
        <v>3.9645454545454455</v>
      </c>
      <c r="K1296" s="56">
        <v>2.33</v>
      </c>
      <c r="L1296" s="15">
        <f t="shared" si="137"/>
        <v>0</v>
      </c>
      <c r="M1296" s="16">
        <f t="shared" si="138"/>
        <v>213.32897499999999</v>
      </c>
      <c r="N1296" s="17">
        <f t="shared" si="139"/>
        <v>2.33</v>
      </c>
      <c r="O1296" s="17">
        <f t="shared" si="140"/>
        <v>2563</v>
      </c>
      <c r="P1296" s="18">
        <f t="shared" si="141"/>
        <v>234661.8725</v>
      </c>
      <c r="R1296" s="66" t="s">
        <v>1504</v>
      </c>
      <c r="S1296" s="20"/>
      <c r="T1296" s="20"/>
      <c r="U1296" s="20"/>
      <c r="V1296" s="20"/>
      <c r="W1296" s="20"/>
      <c r="X1296" s="20"/>
      <c r="Y1296" s="20"/>
      <c r="Z1296" s="20"/>
      <c r="AA1296" s="20"/>
    </row>
    <row r="1297" spans="1:27" ht="12.75">
      <c r="A1297" s="54"/>
      <c r="B1297" s="10">
        <v>46069</v>
      </c>
      <c r="C1297" s="11">
        <f>VLOOKUP(B:B,'Курс валют'!A:D,4,0)</f>
        <v>91.557500000000005</v>
      </c>
      <c r="D1297" s="57" t="s">
        <v>1508</v>
      </c>
      <c r="E1297" s="50" t="s">
        <v>15</v>
      </c>
      <c r="F1297" s="58">
        <v>220</v>
      </c>
      <c r="G1297" s="58">
        <v>225.01</v>
      </c>
      <c r="H1297" s="56">
        <v>0</v>
      </c>
      <c r="I1297" s="58">
        <f t="shared" si="142"/>
        <v>5.0099999999999909</v>
      </c>
      <c r="J1297" s="14">
        <f t="shared" si="136"/>
        <v>2.2772727272727233</v>
      </c>
      <c r="K1297" s="56">
        <v>2.5</v>
      </c>
      <c r="L1297" s="15">
        <f t="shared" si="137"/>
        <v>0</v>
      </c>
      <c r="M1297" s="16">
        <f t="shared" si="138"/>
        <v>228.89375000000001</v>
      </c>
      <c r="N1297" s="17">
        <f t="shared" si="139"/>
        <v>2.5</v>
      </c>
      <c r="O1297" s="17">
        <f t="shared" si="140"/>
        <v>550</v>
      </c>
      <c r="P1297" s="18">
        <f t="shared" si="141"/>
        <v>50356.625</v>
      </c>
      <c r="R1297" s="66" t="s">
        <v>1504</v>
      </c>
      <c r="S1297" s="20"/>
      <c r="T1297" s="20"/>
      <c r="U1297" s="20"/>
      <c r="V1297" s="20"/>
      <c r="W1297" s="20"/>
      <c r="X1297" s="20"/>
      <c r="Y1297" s="20"/>
      <c r="Z1297" s="20"/>
      <c r="AA1297" s="20"/>
    </row>
    <row r="1298" spans="1:27" ht="12.75">
      <c r="A1298" s="54"/>
      <c r="B1298" s="10">
        <v>46069</v>
      </c>
      <c r="C1298" s="11">
        <f>VLOOKUP(B:B,'Курс валют'!A:D,4,0)</f>
        <v>91.557500000000005</v>
      </c>
      <c r="D1298" s="57" t="s">
        <v>1509</v>
      </c>
      <c r="E1298" s="50" t="s">
        <v>15</v>
      </c>
      <c r="F1298" s="58">
        <v>220</v>
      </c>
      <c r="G1298" s="58">
        <v>226.01</v>
      </c>
      <c r="H1298" s="56">
        <v>0</v>
      </c>
      <c r="I1298" s="58">
        <f t="shared" si="142"/>
        <v>6.0099999999999909</v>
      </c>
      <c r="J1298" s="14">
        <f t="shared" si="136"/>
        <v>2.7318181818181775</v>
      </c>
      <c r="K1298" s="56">
        <v>2.5</v>
      </c>
      <c r="L1298" s="15">
        <f t="shared" si="137"/>
        <v>0</v>
      </c>
      <c r="M1298" s="16">
        <f t="shared" si="138"/>
        <v>228.89375000000001</v>
      </c>
      <c r="N1298" s="17">
        <f t="shared" si="139"/>
        <v>2.5</v>
      </c>
      <c r="O1298" s="17">
        <f t="shared" si="140"/>
        <v>550</v>
      </c>
      <c r="P1298" s="18">
        <f t="shared" si="141"/>
        <v>50356.625</v>
      </c>
      <c r="R1298" s="66" t="s">
        <v>1504</v>
      </c>
      <c r="S1298" s="20"/>
      <c r="T1298" s="20"/>
      <c r="U1298" s="20"/>
      <c r="V1298" s="20"/>
      <c r="W1298" s="20"/>
      <c r="X1298" s="20"/>
      <c r="Y1298" s="20"/>
      <c r="Z1298" s="20"/>
      <c r="AA1298" s="20"/>
    </row>
    <row r="1299" spans="1:27" ht="12.75">
      <c r="A1299" s="54"/>
      <c r="B1299" s="10">
        <v>46070</v>
      </c>
      <c r="C1299" s="11">
        <f>VLOOKUP(B:B,'Курс валют'!A:D,4,0)</f>
        <v>91.036799999999999</v>
      </c>
      <c r="D1299" s="57" t="s">
        <v>1510</v>
      </c>
      <c r="E1299" s="50" t="s">
        <v>58</v>
      </c>
      <c r="F1299" s="58">
        <v>1100</v>
      </c>
      <c r="G1299" s="13">
        <v>1128.3599999999999</v>
      </c>
      <c r="H1299" s="56">
        <v>0</v>
      </c>
      <c r="I1299" s="13">
        <f t="shared" si="142"/>
        <v>28.3599999999999</v>
      </c>
      <c r="J1299" s="14">
        <f t="shared" si="136"/>
        <v>2.5781818181818088</v>
      </c>
      <c r="K1299" s="56">
        <v>2.37</v>
      </c>
      <c r="L1299" s="15">
        <f t="shared" si="137"/>
        <v>0</v>
      </c>
      <c r="M1299" s="16">
        <f t="shared" si="138"/>
        <v>215.757216</v>
      </c>
      <c r="N1299" s="17">
        <f t="shared" si="139"/>
        <v>2.37</v>
      </c>
      <c r="O1299" s="17">
        <f t="shared" si="140"/>
        <v>2607</v>
      </c>
      <c r="P1299" s="18">
        <f t="shared" si="141"/>
        <v>237332.9376</v>
      </c>
      <c r="R1299" s="66" t="s">
        <v>1504</v>
      </c>
      <c r="S1299" s="20"/>
      <c r="T1299" s="20"/>
      <c r="U1299" s="20"/>
      <c r="V1299" s="20"/>
      <c r="W1299" s="20"/>
      <c r="X1299" s="20"/>
      <c r="Y1299" s="20"/>
      <c r="Z1299" s="20"/>
      <c r="AA1299" s="20"/>
    </row>
    <row r="1300" spans="1:27" ht="12.75">
      <c r="A1300" s="54"/>
      <c r="B1300" s="10">
        <v>46070</v>
      </c>
      <c r="C1300" s="11">
        <f>VLOOKUP(B:B,'Курс валют'!A:D,4,0)</f>
        <v>91.036799999999999</v>
      </c>
      <c r="D1300" s="57" t="s">
        <v>1511</v>
      </c>
      <c r="E1300" s="50" t="s">
        <v>58</v>
      </c>
      <c r="F1300" s="58">
        <v>1100</v>
      </c>
      <c r="G1300" s="13">
        <v>1128.3599999999999</v>
      </c>
      <c r="H1300" s="56">
        <v>0</v>
      </c>
      <c r="I1300" s="13">
        <f t="shared" si="142"/>
        <v>28.3599999999999</v>
      </c>
      <c r="J1300" s="14">
        <f t="shared" si="136"/>
        <v>2.5781818181818088</v>
      </c>
      <c r="K1300" s="56">
        <v>2.36</v>
      </c>
      <c r="L1300" s="15">
        <f t="shared" si="137"/>
        <v>0</v>
      </c>
      <c r="M1300" s="16">
        <f t="shared" si="138"/>
        <v>214.84684799999999</v>
      </c>
      <c r="N1300" s="17">
        <f t="shared" si="139"/>
        <v>2.36</v>
      </c>
      <c r="O1300" s="17">
        <f t="shared" si="140"/>
        <v>2596</v>
      </c>
      <c r="P1300" s="18">
        <f t="shared" si="141"/>
        <v>236331.53279999999</v>
      </c>
      <c r="R1300" s="66" t="s">
        <v>1504</v>
      </c>
      <c r="S1300" s="20"/>
      <c r="T1300" s="20"/>
      <c r="U1300" s="20"/>
      <c r="V1300" s="20"/>
      <c r="W1300" s="20"/>
      <c r="X1300" s="20"/>
      <c r="Y1300" s="20"/>
      <c r="Z1300" s="20"/>
      <c r="AA1300" s="20"/>
    </row>
    <row r="1301" spans="1:27" ht="12.75">
      <c r="A1301" s="54"/>
      <c r="B1301" s="10">
        <v>46070</v>
      </c>
      <c r="C1301" s="11">
        <f>VLOOKUP(B:B,'Курс валют'!A:D,4,0)</f>
        <v>91.036799999999999</v>
      </c>
      <c r="D1301" s="57" t="s">
        <v>1512</v>
      </c>
      <c r="E1301" s="50" t="s">
        <v>58</v>
      </c>
      <c r="F1301" s="58">
        <v>1100</v>
      </c>
      <c r="G1301" s="13">
        <v>1128.3599999999999</v>
      </c>
      <c r="H1301" s="56">
        <v>0</v>
      </c>
      <c r="I1301" s="13">
        <f t="shared" si="142"/>
        <v>28.3599999999999</v>
      </c>
      <c r="J1301" s="14">
        <f t="shared" si="136"/>
        <v>2.5781818181818088</v>
      </c>
      <c r="K1301" s="56">
        <v>2.36</v>
      </c>
      <c r="L1301" s="15">
        <f t="shared" si="137"/>
        <v>0</v>
      </c>
      <c r="M1301" s="16">
        <f t="shared" si="138"/>
        <v>214.84684799999999</v>
      </c>
      <c r="N1301" s="17">
        <f t="shared" si="139"/>
        <v>2.36</v>
      </c>
      <c r="O1301" s="17">
        <f t="shared" si="140"/>
        <v>2596</v>
      </c>
      <c r="P1301" s="18">
        <f t="shared" si="141"/>
        <v>236331.53279999999</v>
      </c>
      <c r="R1301" s="66" t="s">
        <v>1504</v>
      </c>
      <c r="S1301" s="20"/>
      <c r="T1301" s="20"/>
      <c r="U1301" s="20"/>
      <c r="V1301" s="20"/>
      <c r="W1301" s="20"/>
      <c r="X1301" s="20"/>
      <c r="Y1301" s="20"/>
      <c r="Z1301" s="20"/>
      <c r="AA1301" s="20"/>
    </row>
    <row r="1302" spans="1:27" ht="12.75">
      <c r="A1302" s="54"/>
      <c r="B1302" s="10">
        <v>46070</v>
      </c>
      <c r="C1302" s="11">
        <f>VLOOKUP(B:B,'Курс валют'!A:D,4,0)</f>
        <v>91.036799999999999</v>
      </c>
      <c r="D1302" s="57" t="s">
        <v>1513</v>
      </c>
      <c r="E1302" s="50" t="s">
        <v>58</v>
      </c>
      <c r="F1302" s="58">
        <v>1100</v>
      </c>
      <c r="G1302" s="13">
        <v>1128.3599999999999</v>
      </c>
      <c r="H1302" s="56">
        <v>0</v>
      </c>
      <c r="I1302" s="13">
        <f t="shared" si="142"/>
        <v>28.3599999999999</v>
      </c>
      <c r="J1302" s="14">
        <f t="shared" si="136"/>
        <v>2.5781818181818088</v>
      </c>
      <c r="K1302" s="56">
        <v>2.37</v>
      </c>
      <c r="L1302" s="15">
        <f t="shared" si="137"/>
        <v>0</v>
      </c>
      <c r="M1302" s="16">
        <f t="shared" si="138"/>
        <v>215.757216</v>
      </c>
      <c r="N1302" s="17">
        <f t="shared" si="139"/>
        <v>2.37</v>
      </c>
      <c r="O1302" s="17">
        <f t="shared" si="140"/>
        <v>2607</v>
      </c>
      <c r="P1302" s="18">
        <f t="shared" si="141"/>
        <v>237332.9376</v>
      </c>
      <c r="R1302" s="66" t="s">
        <v>1504</v>
      </c>
      <c r="S1302" s="20"/>
      <c r="T1302" s="20"/>
      <c r="U1302" s="20"/>
      <c r="V1302" s="20"/>
      <c r="W1302" s="20"/>
      <c r="X1302" s="20"/>
      <c r="Y1302" s="20"/>
      <c r="Z1302" s="20"/>
      <c r="AA1302" s="20"/>
    </row>
    <row r="1303" spans="1:27" ht="12.75">
      <c r="A1303" s="54"/>
      <c r="B1303" s="10">
        <v>46070</v>
      </c>
      <c r="C1303" s="11">
        <f>VLOOKUP(B:B,'Курс валют'!A:D,4,0)</f>
        <v>91.036799999999999</v>
      </c>
      <c r="D1303" s="57" t="s">
        <v>1514</v>
      </c>
      <c r="E1303" s="50" t="s">
        <v>15</v>
      </c>
      <c r="F1303" s="58">
        <v>1100</v>
      </c>
      <c r="G1303" s="13">
        <v>1133.6099999999999</v>
      </c>
      <c r="H1303" s="56">
        <v>0</v>
      </c>
      <c r="I1303" s="13">
        <f t="shared" si="142"/>
        <v>33.6099999999999</v>
      </c>
      <c r="J1303" s="14">
        <f t="shared" si="136"/>
        <v>3.0554545454545363</v>
      </c>
      <c r="K1303" s="56">
        <v>2.2999999999999998</v>
      </c>
      <c r="L1303" s="15">
        <f t="shared" si="137"/>
        <v>0</v>
      </c>
      <c r="M1303" s="16">
        <f t="shared" si="138"/>
        <v>209.38463999999999</v>
      </c>
      <c r="N1303" s="17">
        <f t="shared" si="139"/>
        <v>2.2999999999999998</v>
      </c>
      <c r="O1303" s="17">
        <f t="shared" si="140"/>
        <v>2530</v>
      </c>
      <c r="P1303" s="18">
        <f t="shared" si="141"/>
        <v>230323.10399999999</v>
      </c>
      <c r="R1303" s="66" t="s">
        <v>1504</v>
      </c>
      <c r="S1303" s="20"/>
      <c r="T1303" s="20"/>
      <c r="U1303" s="20"/>
      <c r="V1303" s="20"/>
      <c r="W1303" s="20"/>
      <c r="X1303" s="20"/>
      <c r="Y1303" s="20"/>
      <c r="Z1303" s="20"/>
      <c r="AA1303" s="20"/>
    </row>
    <row r="1304" spans="1:27" ht="12.75">
      <c r="A1304" s="54"/>
      <c r="B1304" s="10">
        <v>46070</v>
      </c>
      <c r="C1304" s="11">
        <f>VLOOKUP(B:B,'Курс валют'!A:D,4,0)</f>
        <v>91.036799999999999</v>
      </c>
      <c r="D1304" s="57" t="s">
        <v>1515</v>
      </c>
      <c r="E1304" s="50" t="s">
        <v>15</v>
      </c>
      <c r="F1304" s="58">
        <v>1100</v>
      </c>
      <c r="G1304" s="13">
        <v>1133.6099999999999</v>
      </c>
      <c r="H1304" s="56">
        <v>0</v>
      </c>
      <c r="I1304" s="13">
        <f t="shared" si="142"/>
        <v>33.6099999999999</v>
      </c>
      <c r="J1304" s="14">
        <f t="shared" si="136"/>
        <v>3.0554545454545363</v>
      </c>
      <c r="K1304" s="56">
        <v>2.2999999999999998</v>
      </c>
      <c r="L1304" s="15">
        <f t="shared" si="137"/>
        <v>0</v>
      </c>
      <c r="M1304" s="16">
        <f t="shared" si="138"/>
        <v>209.38463999999999</v>
      </c>
      <c r="N1304" s="17">
        <f t="shared" si="139"/>
        <v>2.2999999999999998</v>
      </c>
      <c r="O1304" s="17">
        <f t="shared" si="140"/>
        <v>2530</v>
      </c>
      <c r="P1304" s="18">
        <f t="shared" si="141"/>
        <v>230323.10399999999</v>
      </c>
      <c r="R1304" s="66" t="s">
        <v>1504</v>
      </c>
      <c r="S1304" s="20"/>
      <c r="T1304" s="20"/>
      <c r="U1304" s="20"/>
      <c r="V1304" s="20"/>
      <c r="W1304" s="20"/>
      <c r="X1304" s="20"/>
      <c r="Y1304" s="20"/>
      <c r="Z1304" s="20"/>
      <c r="AA1304" s="20"/>
    </row>
    <row r="1305" spans="1:27" ht="12.75">
      <c r="A1305" s="54"/>
      <c r="B1305" s="10">
        <v>46070</v>
      </c>
      <c r="C1305" s="11">
        <f>VLOOKUP(B:B,'Курс валют'!A:D,4,0)</f>
        <v>91.036799999999999</v>
      </c>
      <c r="D1305" s="57" t="s">
        <v>1516</v>
      </c>
      <c r="E1305" s="50" t="s">
        <v>15</v>
      </c>
      <c r="F1305" s="58">
        <v>1100</v>
      </c>
      <c r="G1305" s="13">
        <v>1133.6099999999999</v>
      </c>
      <c r="H1305" s="56">
        <v>0</v>
      </c>
      <c r="I1305" s="13">
        <f t="shared" si="142"/>
        <v>33.6099999999999</v>
      </c>
      <c r="J1305" s="14">
        <f t="shared" si="136"/>
        <v>3.0554545454545363</v>
      </c>
      <c r="K1305" s="56">
        <v>2.2799999999999998</v>
      </c>
      <c r="L1305" s="15">
        <f t="shared" si="137"/>
        <v>0</v>
      </c>
      <c r="M1305" s="16">
        <f t="shared" si="138"/>
        <v>207.56390399999998</v>
      </c>
      <c r="N1305" s="17">
        <f t="shared" si="139"/>
        <v>2.2799999999999998</v>
      </c>
      <c r="O1305" s="17">
        <f t="shared" si="140"/>
        <v>2508</v>
      </c>
      <c r="P1305" s="18">
        <f t="shared" si="141"/>
        <v>228320.29439999998</v>
      </c>
      <c r="R1305" s="66" t="s">
        <v>1504</v>
      </c>
      <c r="S1305" s="20"/>
      <c r="T1305" s="20"/>
      <c r="U1305" s="20"/>
      <c r="V1305" s="20"/>
      <c r="W1305" s="20"/>
      <c r="X1305" s="20"/>
      <c r="Y1305" s="20"/>
      <c r="Z1305" s="20"/>
      <c r="AA1305" s="20"/>
    </row>
    <row r="1306" spans="1:27" ht="12.75">
      <c r="A1306" s="54"/>
      <c r="B1306" s="10">
        <v>46071</v>
      </c>
      <c r="C1306" s="11">
        <f>VLOOKUP(B:B,'Курс валют'!A:D,4,0)</f>
        <v>90.865799999999993</v>
      </c>
      <c r="D1306" s="57" t="s">
        <v>1517</v>
      </c>
      <c r="E1306" s="50" t="s">
        <v>58</v>
      </c>
      <c r="F1306" s="58">
        <v>1100</v>
      </c>
      <c r="G1306" s="13">
        <v>1105.46</v>
      </c>
      <c r="H1306" s="56">
        <v>0</v>
      </c>
      <c r="I1306" s="13">
        <f t="shared" si="142"/>
        <v>5.4600000000000364</v>
      </c>
      <c r="J1306" s="14">
        <f t="shared" si="136"/>
        <v>0.49636363636363967</v>
      </c>
      <c r="K1306" s="56">
        <v>2.31</v>
      </c>
      <c r="L1306" s="15">
        <f t="shared" si="137"/>
        <v>0</v>
      </c>
      <c r="M1306" s="16">
        <f t="shared" si="138"/>
        <v>209.89999799999998</v>
      </c>
      <c r="N1306" s="17">
        <f t="shared" si="139"/>
        <v>2.31</v>
      </c>
      <c r="O1306" s="17">
        <f t="shared" si="140"/>
        <v>2541</v>
      </c>
      <c r="P1306" s="18">
        <f t="shared" si="141"/>
        <v>230889.99779999998</v>
      </c>
      <c r="R1306" s="19"/>
      <c r="S1306" s="20"/>
      <c r="T1306" s="20"/>
      <c r="U1306" s="20"/>
      <c r="V1306" s="20"/>
      <c r="W1306" s="20"/>
      <c r="X1306" s="20"/>
      <c r="Y1306" s="20"/>
      <c r="Z1306" s="20"/>
      <c r="AA1306" s="20"/>
    </row>
    <row r="1307" spans="1:27" ht="12.75">
      <c r="A1307" s="20"/>
      <c r="B1307" s="10">
        <v>46071</v>
      </c>
      <c r="C1307" s="11">
        <f>VLOOKUP(B:B,'Курс валют'!A:D,4,0)</f>
        <v>90.865799999999993</v>
      </c>
      <c r="D1307" s="57" t="s">
        <v>1518</v>
      </c>
      <c r="E1307" s="50" t="s">
        <v>58</v>
      </c>
      <c r="F1307" s="58">
        <v>1100</v>
      </c>
      <c r="G1307" s="13">
        <v>1105.46</v>
      </c>
      <c r="H1307" s="56">
        <v>0</v>
      </c>
      <c r="I1307" s="13">
        <f t="shared" si="142"/>
        <v>5.4600000000000364</v>
      </c>
      <c r="J1307" s="14">
        <f t="shared" si="136"/>
        <v>0.49636363636363967</v>
      </c>
      <c r="K1307" s="56">
        <v>2.31</v>
      </c>
      <c r="L1307" s="15">
        <f t="shared" si="137"/>
        <v>0</v>
      </c>
      <c r="M1307" s="16">
        <f t="shared" si="138"/>
        <v>209.89999799999998</v>
      </c>
      <c r="N1307" s="17">
        <f t="shared" si="139"/>
        <v>2.31</v>
      </c>
      <c r="O1307" s="17">
        <f t="shared" si="140"/>
        <v>2541</v>
      </c>
      <c r="P1307" s="18">
        <f t="shared" si="141"/>
        <v>230889.99779999998</v>
      </c>
      <c r="R1307" s="19"/>
      <c r="S1307" s="20"/>
      <c r="T1307" s="20"/>
      <c r="U1307" s="20"/>
      <c r="V1307" s="20"/>
      <c r="W1307" s="20"/>
      <c r="X1307" s="20"/>
      <c r="Y1307" s="20"/>
      <c r="Z1307" s="20"/>
      <c r="AA1307" s="20"/>
    </row>
    <row r="1308" spans="1:27" ht="12.75">
      <c r="A1308" s="20"/>
      <c r="B1308" s="10">
        <v>46071</v>
      </c>
      <c r="C1308" s="11">
        <f>VLOOKUP(B:B,'Курс валют'!A:D,4,0)</f>
        <v>90.865799999999993</v>
      </c>
      <c r="D1308" s="57" t="s">
        <v>1519</v>
      </c>
      <c r="E1308" s="50" t="s">
        <v>58</v>
      </c>
      <c r="F1308" s="58">
        <v>1100</v>
      </c>
      <c r="G1308" s="13">
        <v>1105.46</v>
      </c>
      <c r="H1308" s="56">
        <v>0</v>
      </c>
      <c r="I1308" s="13">
        <f t="shared" si="142"/>
        <v>5.4600000000000364</v>
      </c>
      <c r="J1308" s="14">
        <f t="shared" si="136"/>
        <v>0.49636363636363967</v>
      </c>
      <c r="K1308" s="56">
        <v>2.2999999999999998</v>
      </c>
      <c r="L1308" s="15">
        <f t="shared" si="137"/>
        <v>0</v>
      </c>
      <c r="M1308" s="16">
        <f t="shared" si="138"/>
        <v>208.99133999999998</v>
      </c>
      <c r="N1308" s="17">
        <f t="shared" si="139"/>
        <v>2.2999999999999998</v>
      </c>
      <c r="O1308" s="17">
        <f t="shared" si="140"/>
        <v>2530</v>
      </c>
      <c r="P1308" s="18">
        <f t="shared" si="141"/>
        <v>229890.47399999999</v>
      </c>
      <c r="R1308" s="19"/>
      <c r="S1308" s="20"/>
      <c r="T1308" s="20"/>
      <c r="U1308" s="20"/>
      <c r="V1308" s="20"/>
      <c r="W1308" s="20"/>
      <c r="X1308" s="20"/>
      <c r="Y1308" s="20"/>
      <c r="Z1308" s="20"/>
      <c r="AA1308" s="20"/>
    </row>
    <row r="1309" spans="1:27" ht="12.75">
      <c r="A1309" s="20"/>
      <c r="B1309" s="10">
        <v>46071</v>
      </c>
      <c r="C1309" s="11">
        <f>VLOOKUP(B:B,'Курс валют'!A:D,4,0)</f>
        <v>90.865799999999993</v>
      </c>
      <c r="D1309" s="57" t="s">
        <v>1520</v>
      </c>
      <c r="E1309" s="50" t="s">
        <v>58</v>
      </c>
      <c r="F1309" s="58">
        <v>1100</v>
      </c>
      <c r="G1309" s="13">
        <v>1105.46</v>
      </c>
      <c r="H1309" s="56">
        <v>0</v>
      </c>
      <c r="I1309" s="13">
        <f t="shared" si="142"/>
        <v>5.4600000000000364</v>
      </c>
      <c r="J1309" s="14">
        <f t="shared" si="136"/>
        <v>0.49636363636363967</v>
      </c>
      <c r="K1309" s="56">
        <v>2.31</v>
      </c>
      <c r="L1309" s="15">
        <f t="shared" si="137"/>
        <v>0</v>
      </c>
      <c r="M1309" s="16">
        <f t="shared" si="138"/>
        <v>209.89999799999998</v>
      </c>
      <c r="N1309" s="17">
        <f t="shared" si="139"/>
        <v>2.31</v>
      </c>
      <c r="O1309" s="17">
        <f t="shared" si="140"/>
        <v>2541</v>
      </c>
      <c r="P1309" s="18">
        <f t="shared" si="141"/>
        <v>230889.99779999998</v>
      </c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</row>
    <row r="1310" spans="1:27" ht="12.75">
      <c r="A1310" s="20"/>
      <c r="B1310" s="10">
        <v>46071</v>
      </c>
      <c r="C1310" s="11">
        <f>VLOOKUP(B:B,'Курс валют'!A:D,4,0)</f>
        <v>90.865799999999993</v>
      </c>
      <c r="D1310" s="57" t="s">
        <v>1521</v>
      </c>
      <c r="E1310" s="50" t="s">
        <v>58</v>
      </c>
      <c r="F1310" s="58">
        <v>1100</v>
      </c>
      <c r="G1310" s="13">
        <v>1105.46</v>
      </c>
      <c r="H1310" s="56">
        <v>0</v>
      </c>
      <c r="I1310" s="13">
        <f t="shared" si="142"/>
        <v>5.4600000000000364</v>
      </c>
      <c r="J1310" s="14">
        <f t="shared" si="136"/>
        <v>0.49636363636363967</v>
      </c>
      <c r="K1310" s="56">
        <v>2.2999999999999998</v>
      </c>
      <c r="L1310" s="15">
        <f t="shared" si="137"/>
        <v>0</v>
      </c>
      <c r="M1310" s="16">
        <f t="shared" si="138"/>
        <v>208.99133999999998</v>
      </c>
      <c r="N1310" s="17">
        <f t="shared" si="139"/>
        <v>2.2999999999999998</v>
      </c>
      <c r="O1310" s="17">
        <f t="shared" si="140"/>
        <v>2530</v>
      </c>
      <c r="P1310" s="18">
        <f t="shared" si="141"/>
        <v>229890.47399999999</v>
      </c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</row>
    <row r="1311" spans="1:27" ht="12.75">
      <c r="A1311" s="20"/>
      <c r="B1311" s="10">
        <v>46071</v>
      </c>
      <c r="C1311" s="11">
        <f>VLOOKUP(B:B,'Курс валют'!A:D,4,0)</f>
        <v>90.865799999999993</v>
      </c>
      <c r="D1311" s="57" t="s">
        <v>1522</v>
      </c>
      <c r="E1311" s="50" t="s">
        <v>58</v>
      </c>
      <c r="F1311" s="58">
        <v>1100</v>
      </c>
      <c r="G1311" s="13">
        <v>1105.46</v>
      </c>
      <c r="H1311" s="56">
        <v>0</v>
      </c>
      <c r="I1311" s="13">
        <f t="shared" si="142"/>
        <v>5.4600000000000364</v>
      </c>
      <c r="J1311" s="14">
        <f t="shared" si="136"/>
        <v>0.49636363636363967</v>
      </c>
      <c r="K1311" s="56">
        <v>2.31</v>
      </c>
      <c r="L1311" s="15">
        <f t="shared" si="137"/>
        <v>0</v>
      </c>
      <c r="M1311" s="16">
        <f t="shared" si="138"/>
        <v>209.89999799999998</v>
      </c>
      <c r="N1311" s="17">
        <f t="shared" si="139"/>
        <v>2.31</v>
      </c>
      <c r="O1311" s="17">
        <f t="shared" si="140"/>
        <v>2541</v>
      </c>
      <c r="P1311" s="18">
        <f t="shared" si="141"/>
        <v>230889.99779999998</v>
      </c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</row>
    <row r="1312" spans="1:27" ht="12.75">
      <c r="A1312" s="20"/>
      <c r="B1312" s="10">
        <v>46071</v>
      </c>
      <c r="C1312" s="11">
        <f>VLOOKUP(B:B,'Курс валют'!A:D,4,0)</f>
        <v>90.865799999999993</v>
      </c>
      <c r="D1312" s="57" t="s">
        <v>1523</v>
      </c>
      <c r="E1312" s="50" t="s">
        <v>58</v>
      </c>
      <c r="F1312" s="58">
        <v>1100</v>
      </c>
      <c r="G1312" s="13">
        <v>1105.46</v>
      </c>
      <c r="H1312" s="56">
        <v>0</v>
      </c>
      <c r="I1312" s="13">
        <f t="shared" si="142"/>
        <v>5.4600000000000364</v>
      </c>
      <c r="J1312" s="14">
        <f t="shared" si="136"/>
        <v>0.49636363636363967</v>
      </c>
      <c r="K1312" s="56">
        <v>2.2999999999999998</v>
      </c>
      <c r="L1312" s="15">
        <f t="shared" si="137"/>
        <v>0</v>
      </c>
      <c r="M1312" s="16">
        <f t="shared" si="138"/>
        <v>208.99133999999998</v>
      </c>
      <c r="N1312" s="17">
        <f t="shared" si="139"/>
        <v>2.2999999999999998</v>
      </c>
      <c r="O1312" s="17">
        <f t="shared" si="140"/>
        <v>2530</v>
      </c>
      <c r="P1312" s="18">
        <f t="shared" si="141"/>
        <v>229890.47399999999</v>
      </c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</row>
    <row r="1313" spans="1:27" ht="12.75">
      <c r="A1313" s="20"/>
      <c r="B1313" s="10">
        <v>46071</v>
      </c>
      <c r="C1313" s="11">
        <f>VLOOKUP(B:B,'Курс валют'!A:D,4,0)</f>
        <v>90.865799999999993</v>
      </c>
      <c r="D1313" s="57" t="s">
        <v>1524</v>
      </c>
      <c r="E1313" s="50" t="s">
        <v>58</v>
      </c>
      <c r="F1313" s="58">
        <v>1100</v>
      </c>
      <c r="G1313" s="13">
        <v>1105.46</v>
      </c>
      <c r="H1313" s="56">
        <v>0</v>
      </c>
      <c r="I1313" s="13">
        <f t="shared" si="142"/>
        <v>5.4600000000000364</v>
      </c>
      <c r="J1313" s="14">
        <f t="shared" si="136"/>
        <v>0.49636363636363967</v>
      </c>
      <c r="K1313" s="56">
        <v>2.2999999999999998</v>
      </c>
      <c r="L1313" s="15">
        <f t="shared" si="137"/>
        <v>0</v>
      </c>
      <c r="M1313" s="16">
        <f t="shared" si="138"/>
        <v>208.99133999999998</v>
      </c>
      <c r="N1313" s="17">
        <f t="shared" si="139"/>
        <v>2.2999999999999998</v>
      </c>
      <c r="O1313" s="17">
        <f t="shared" si="140"/>
        <v>2530</v>
      </c>
      <c r="P1313" s="18">
        <f t="shared" si="141"/>
        <v>229890.47399999999</v>
      </c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</row>
    <row r="1314" spans="1:27" ht="12.75">
      <c r="A1314" s="20"/>
      <c r="B1314" s="10">
        <v>46071</v>
      </c>
      <c r="C1314" s="11">
        <f>VLOOKUP(B:B,'Курс валют'!A:D,4,0)</f>
        <v>90.865799999999993</v>
      </c>
      <c r="D1314" s="57" t="s">
        <v>1525</v>
      </c>
      <c r="E1314" s="50" t="s">
        <v>58</v>
      </c>
      <c r="F1314" s="58">
        <v>1100</v>
      </c>
      <c r="G1314" s="13">
        <v>1105.46</v>
      </c>
      <c r="H1314" s="56">
        <v>0</v>
      </c>
      <c r="I1314" s="13">
        <f t="shared" si="142"/>
        <v>5.4600000000000364</v>
      </c>
      <c r="J1314" s="14">
        <f t="shared" si="136"/>
        <v>0.49636363636363967</v>
      </c>
      <c r="K1314" s="56">
        <v>2.31</v>
      </c>
      <c r="L1314" s="15">
        <f t="shared" si="137"/>
        <v>0</v>
      </c>
      <c r="M1314" s="16">
        <f t="shared" si="138"/>
        <v>209.89999799999998</v>
      </c>
      <c r="N1314" s="17">
        <f t="shared" si="139"/>
        <v>2.31</v>
      </c>
      <c r="O1314" s="17">
        <f t="shared" si="140"/>
        <v>2541</v>
      </c>
      <c r="P1314" s="18">
        <f t="shared" si="141"/>
        <v>230889.99779999998</v>
      </c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</row>
    <row r="1315" spans="1:27" ht="12.75">
      <c r="A1315" s="20"/>
      <c r="B1315" s="10">
        <v>46071</v>
      </c>
      <c r="C1315" s="11">
        <f>VLOOKUP(B:B,'Курс валют'!A:D,4,0)</f>
        <v>90.865799999999993</v>
      </c>
      <c r="D1315" s="57" t="s">
        <v>1526</v>
      </c>
      <c r="E1315" s="50" t="s">
        <v>58</v>
      </c>
      <c r="F1315" s="58">
        <v>1100</v>
      </c>
      <c r="G1315" s="13">
        <v>1105.46</v>
      </c>
      <c r="H1315" s="56">
        <v>0</v>
      </c>
      <c r="I1315" s="13">
        <f t="shared" si="142"/>
        <v>5.4600000000000364</v>
      </c>
      <c r="J1315" s="14">
        <f t="shared" si="136"/>
        <v>0.49636363636363967</v>
      </c>
      <c r="K1315" s="56">
        <v>2.31</v>
      </c>
      <c r="L1315" s="15">
        <f t="shared" si="137"/>
        <v>0</v>
      </c>
      <c r="M1315" s="16">
        <f t="shared" si="138"/>
        <v>209.89999799999998</v>
      </c>
      <c r="N1315" s="17">
        <f t="shared" si="139"/>
        <v>2.31</v>
      </c>
      <c r="O1315" s="17">
        <f t="shared" si="140"/>
        <v>2541</v>
      </c>
      <c r="P1315" s="18">
        <f t="shared" si="141"/>
        <v>230889.99779999998</v>
      </c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</row>
    <row r="1316" spans="1:27" ht="12.75">
      <c r="A1316" s="20"/>
      <c r="B1316" s="10">
        <v>46071</v>
      </c>
      <c r="C1316" s="11">
        <f>VLOOKUP(B:B,'Курс валют'!A:D,4,0)</f>
        <v>90.865799999999993</v>
      </c>
      <c r="D1316" s="57" t="s">
        <v>1527</v>
      </c>
      <c r="E1316" s="50" t="s">
        <v>1528</v>
      </c>
      <c r="F1316" s="58">
        <v>40</v>
      </c>
      <c r="G1316" s="13">
        <v>40</v>
      </c>
      <c r="H1316" s="56">
        <v>0</v>
      </c>
      <c r="I1316" s="13">
        <f t="shared" si="142"/>
        <v>0</v>
      </c>
      <c r="J1316" s="14">
        <f t="shared" si="136"/>
        <v>0</v>
      </c>
      <c r="K1316" s="56">
        <v>2.95</v>
      </c>
      <c r="L1316" s="15">
        <f t="shared" si="137"/>
        <v>0</v>
      </c>
      <c r="M1316" s="16">
        <f t="shared" si="138"/>
        <v>268.05410999999998</v>
      </c>
      <c r="N1316" s="17">
        <f t="shared" si="139"/>
        <v>2.95</v>
      </c>
      <c r="O1316" s="17">
        <f t="shared" si="140"/>
        <v>118</v>
      </c>
      <c r="P1316" s="18">
        <f t="shared" si="141"/>
        <v>10722.1644</v>
      </c>
      <c r="R1316" s="19" t="s">
        <v>205</v>
      </c>
      <c r="S1316" s="20"/>
      <c r="T1316" s="20"/>
      <c r="U1316" s="20"/>
      <c r="V1316" s="20"/>
      <c r="W1316" s="20"/>
      <c r="X1316" s="20"/>
      <c r="Y1316" s="20"/>
      <c r="Z1316" s="20"/>
      <c r="AA1316" s="20"/>
    </row>
    <row r="1317" spans="1:27" ht="12.75">
      <c r="A1317" s="20"/>
      <c r="B1317" s="10">
        <v>46071</v>
      </c>
      <c r="C1317" s="11">
        <f>VLOOKUP(B:B,'Курс валют'!A:D,4,0)</f>
        <v>90.865799999999993</v>
      </c>
      <c r="D1317" s="57" t="s">
        <v>1527</v>
      </c>
      <c r="E1317" s="50" t="s">
        <v>1529</v>
      </c>
      <c r="F1317" s="58">
        <v>10</v>
      </c>
      <c r="G1317" s="13">
        <v>10</v>
      </c>
      <c r="H1317" s="56">
        <v>0</v>
      </c>
      <c r="I1317" s="13">
        <f t="shared" si="142"/>
        <v>0</v>
      </c>
      <c r="J1317" s="14">
        <f t="shared" si="136"/>
        <v>0</v>
      </c>
      <c r="K1317" s="56">
        <v>2.95</v>
      </c>
      <c r="L1317" s="15">
        <f t="shared" si="137"/>
        <v>0</v>
      </c>
      <c r="M1317" s="16">
        <f t="shared" si="138"/>
        <v>268.05410999999998</v>
      </c>
      <c r="N1317" s="17">
        <f t="shared" si="139"/>
        <v>2.95</v>
      </c>
      <c r="O1317" s="17">
        <f t="shared" si="140"/>
        <v>29.5</v>
      </c>
      <c r="P1317" s="18">
        <f t="shared" si="141"/>
        <v>2680.5410999999999</v>
      </c>
      <c r="R1317" s="19" t="s">
        <v>205</v>
      </c>
      <c r="S1317" s="20"/>
      <c r="T1317" s="20"/>
      <c r="U1317" s="20"/>
      <c r="V1317" s="20"/>
      <c r="W1317" s="20"/>
      <c r="X1317" s="20"/>
      <c r="Y1317" s="20"/>
      <c r="Z1317" s="20"/>
      <c r="AA1317" s="20"/>
    </row>
    <row r="1318" spans="1:27" ht="12.75">
      <c r="A1318" s="20"/>
      <c r="B1318" s="10">
        <v>46072</v>
      </c>
      <c r="C1318" s="11">
        <f>VLOOKUP(B:B,'Курс валют'!A:D,4,0)</f>
        <v>90.268299999999996</v>
      </c>
      <c r="D1318" s="57" t="s">
        <v>1530</v>
      </c>
      <c r="E1318" s="50" t="s">
        <v>58</v>
      </c>
      <c r="F1318" s="58">
        <v>1100</v>
      </c>
      <c r="G1318" s="13">
        <v>1107.46</v>
      </c>
      <c r="H1318" s="56">
        <v>0</v>
      </c>
      <c r="I1318" s="13">
        <f t="shared" si="142"/>
        <v>7.4600000000000364</v>
      </c>
      <c r="J1318" s="14">
        <f t="shared" si="136"/>
        <v>0.67818181818182155</v>
      </c>
      <c r="K1318" s="56">
        <v>2.31</v>
      </c>
      <c r="L1318" s="15">
        <f t="shared" si="137"/>
        <v>0</v>
      </c>
      <c r="M1318" s="16">
        <f t="shared" si="138"/>
        <v>208.51977299999999</v>
      </c>
      <c r="N1318" s="17">
        <f t="shared" si="139"/>
        <v>2.31</v>
      </c>
      <c r="O1318" s="17">
        <f t="shared" si="140"/>
        <v>2541</v>
      </c>
      <c r="P1318" s="18">
        <f t="shared" si="141"/>
        <v>229371.75029999999</v>
      </c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</row>
    <row r="1319" spans="1:27" ht="12.75">
      <c r="A1319" s="20"/>
      <c r="B1319" s="10">
        <v>46072</v>
      </c>
      <c r="C1319" s="11">
        <f>VLOOKUP(B:B,'Курс валют'!A:D,4,0)</f>
        <v>90.268299999999996</v>
      </c>
      <c r="D1319" s="57" t="s">
        <v>1531</v>
      </c>
      <c r="E1319" s="50" t="s">
        <v>58</v>
      </c>
      <c r="F1319" s="58">
        <v>1100</v>
      </c>
      <c r="G1319" s="13">
        <v>1107.46</v>
      </c>
      <c r="H1319" s="56">
        <v>0</v>
      </c>
      <c r="I1319" s="13">
        <f t="shared" si="142"/>
        <v>7.4600000000000364</v>
      </c>
      <c r="J1319" s="14">
        <f t="shared" si="136"/>
        <v>0.67818181818182155</v>
      </c>
      <c r="K1319" s="56">
        <v>2.2999999999999998</v>
      </c>
      <c r="L1319" s="15">
        <f t="shared" si="137"/>
        <v>0</v>
      </c>
      <c r="M1319" s="16">
        <f t="shared" si="138"/>
        <v>207.61708999999999</v>
      </c>
      <c r="N1319" s="17">
        <f t="shared" si="139"/>
        <v>2.2999999999999998</v>
      </c>
      <c r="O1319" s="17">
        <f t="shared" si="140"/>
        <v>2530</v>
      </c>
      <c r="P1319" s="18">
        <f t="shared" si="141"/>
        <v>228378.799</v>
      </c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</row>
    <row r="1320" spans="1:27" ht="12.75">
      <c r="A1320" s="20"/>
      <c r="B1320" s="10">
        <v>46072</v>
      </c>
      <c r="C1320" s="11">
        <f>VLOOKUP(B:B,'Курс валют'!A:D,4,0)</f>
        <v>90.268299999999996</v>
      </c>
      <c r="D1320" s="57" t="s">
        <v>1532</v>
      </c>
      <c r="E1320" s="50" t="s">
        <v>58</v>
      </c>
      <c r="F1320" s="58">
        <v>1100</v>
      </c>
      <c r="G1320" s="13">
        <v>1107.46</v>
      </c>
      <c r="H1320" s="56">
        <v>0</v>
      </c>
      <c r="I1320" s="13">
        <f t="shared" si="142"/>
        <v>7.4600000000000364</v>
      </c>
      <c r="J1320" s="14">
        <f t="shared" si="136"/>
        <v>0.67818181818182155</v>
      </c>
      <c r="K1320" s="56">
        <v>2.2999999999999998</v>
      </c>
      <c r="L1320" s="15">
        <f t="shared" si="137"/>
        <v>0</v>
      </c>
      <c r="M1320" s="16">
        <f t="shared" si="138"/>
        <v>207.61708999999999</v>
      </c>
      <c r="N1320" s="17">
        <f t="shared" si="139"/>
        <v>2.2999999999999998</v>
      </c>
      <c r="O1320" s="17">
        <f t="shared" si="140"/>
        <v>2530</v>
      </c>
      <c r="P1320" s="18">
        <f t="shared" si="141"/>
        <v>228378.799</v>
      </c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</row>
    <row r="1321" spans="1:27" ht="12.75">
      <c r="A1321" s="20"/>
      <c r="B1321" s="10">
        <v>46072</v>
      </c>
      <c r="C1321" s="11">
        <f>VLOOKUP(B:B,'Курс валют'!A:D,4,0)</f>
        <v>90.268299999999996</v>
      </c>
      <c r="D1321" s="57" t="s">
        <v>1533</v>
      </c>
      <c r="E1321" s="50" t="s">
        <v>101</v>
      </c>
      <c r="F1321" s="58">
        <v>800</v>
      </c>
      <c r="G1321" s="58">
        <v>807.75</v>
      </c>
      <c r="H1321" s="56">
        <v>0</v>
      </c>
      <c r="I1321" s="58">
        <f t="shared" si="142"/>
        <v>7.75</v>
      </c>
      <c r="J1321" s="14">
        <f t="shared" si="136"/>
        <v>0.96875</v>
      </c>
      <c r="K1321" s="56">
        <v>2.5299999999999998</v>
      </c>
      <c r="L1321" s="15">
        <f t="shared" si="137"/>
        <v>0</v>
      </c>
      <c r="M1321" s="16">
        <f t="shared" si="138"/>
        <v>228.37879899999996</v>
      </c>
      <c r="N1321" s="17">
        <f t="shared" si="139"/>
        <v>2.5299999999999998</v>
      </c>
      <c r="O1321" s="17">
        <f t="shared" si="140"/>
        <v>2023.9999999999998</v>
      </c>
      <c r="P1321" s="18">
        <f t="shared" si="141"/>
        <v>182703.03919999997</v>
      </c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</row>
    <row r="1322" spans="1:27" ht="12.75">
      <c r="A1322" s="20"/>
      <c r="B1322" s="10">
        <v>46072</v>
      </c>
      <c r="C1322" s="11">
        <f>VLOOKUP(B:B,'Курс валют'!A:D,4,0)</f>
        <v>90.268299999999996</v>
      </c>
      <c r="D1322" s="57" t="s">
        <v>1534</v>
      </c>
      <c r="E1322" s="50" t="s">
        <v>58</v>
      </c>
      <c r="F1322" s="58">
        <v>1100</v>
      </c>
      <c r="G1322" s="13">
        <v>1107.46</v>
      </c>
      <c r="H1322" s="56">
        <v>0</v>
      </c>
      <c r="I1322" s="13">
        <f t="shared" si="142"/>
        <v>7.4600000000000364</v>
      </c>
      <c r="J1322" s="14">
        <f t="shared" si="136"/>
        <v>0.67818181818182155</v>
      </c>
      <c r="K1322" s="56">
        <v>2.31</v>
      </c>
      <c r="L1322" s="15">
        <f t="shared" si="137"/>
        <v>0</v>
      </c>
      <c r="M1322" s="16">
        <f t="shared" si="138"/>
        <v>208.51977299999999</v>
      </c>
      <c r="N1322" s="17">
        <f t="shared" si="139"/>
        <v>2.31</v>
      </c>
      <c r="O1322" s="17">
        <f t="shared" si="140"/>
        <v>2541</v>
      </c>
      <c r="P1322" s="18">
        <f t="shared" si="141"/>
        <v>229371.75029999999</v>
      </c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</row>
    <row r="1323" spans="1:27" ht="12.75">
      <c r="A1323" s="20"/>
      <c r="B1323" s="10">
        <v>46072</v>
      </c>
      <c r="C1323" s="11">
        <f>VLOOKUP(B:B,'Курс валют'!A:D,4,0)</f>
        <v>90.268299999999996</v>
      </c>
      <c r="D1323" s="57" t="s">
        <v>1535</v>
      </c>
      <c r="E1323" s="50" t="s">
        <v>58</v>
      </c>
      <c r="F1323" s="58">
        <v>1100</v>
      </c>
      <c r="G1323" s="13">
        <v>1107.96</v>
      </c>
      <c r="H1323" s="56">
        <v>0</v>
      </c>
      <c r="I1323" s="13">
        <f t="shared" si="142"/>
        <v>7.9600000000000364</v>
      </c>
      <c r="J1323" s="14">
        <f t="shared" si="136"/>
        <v>0.72363636363636696</v>
      </c>
      <c r="K1323" s="56">
        <v>2.2999999999999998</v>
      </c>
      <c r="L1323" s="15">
        <f t="shared" si="137"/>
        <v>0</v>
      </c>
      <c r="M1323" s="16">
        <f t="shared" si="138"/>
        <v>207.61708999999999</v>
      </c>
      <c r="N1323" s="17">
        <f t="shared" si="139"/>
        <v>2.2999999999999998</v>
      </c>
      <c r="O1323" s="17">
        <f t="shared" si="140"/>
        <v>2530</v>
      </c>
      <c r="P1323" s="18">
        <f t="shared" si="141"/>
        <v>228378.799</v>
      </c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</row>
    <row r="1324" spans="1:27" ht="12.75">
      <c r="A1324" s="20"/>
      <c r="B1324" s="10">
        <v>46072</v>
      </c>
      <c r="C1324" s="11">
        <f>VLOOKUP(B:B,'Курс валют'!A:D,4,0)</f>
        <v>90.268299999999996</v>
      </c>
      <c r="D1324" s="57" t="s">
        <v>1536</v>
      </c>
      <c r="E1324" s="50" t="s">
        <v>58</v>
      </c>
      <c r="F1324" s="58">
        <v>1100</v>
      </c>
      <c r="G1324" s="13">
        <v>1107.96</v>
      </c>
      <c r="H1324" s="56">
        <v>0</v>
      </c>
      <c r="I1324" s="13">
        <f t="shared" si="142"/>
        <v>7.9600000000000364</v>
      </c>
      <c r="J1324" s="14">
        <f t="shared" si="136"/>
        <v>0.72363636363636696</v>
      </c>
      <c r="K1324" s="56">
        <v>2.31</v>
      </c>
      <c r="L1324" s="15">
        <f t="shared" si="137"/>
        <v>0</v>
      </c>
      <c r="M1324" s="16">
        <f t="shared" si="138"/>
        <v>208.51977299999999</v>
      </c>
      <c r="N1324" s="17">
        <f t="shared" si="139"/>
        <v>2.31</v>
      </c>
      <c r="O1324" s="17">
        <f t="shared" si="140"/>
        <v>2541</v>
      </c>
      <c r="P1324" s="18">
        <f t="shared" si="141"/>
        <v>229371.75029999999</v>
      </c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</row>
    <row r="1325" spans="1:27" ht="12.75">
      <c r="A1325" s="20"/>
      <c r="B1325" s="10">
        <v>46072</v>
      </c>
      <c r="C1325" s="11">
        <f>VLOOKUP(B:B,'Курс валют'!A:D,4,0)</f>
        <v>90.268299999999996</v>
      </c>
      <c r="D1325" s="57" t="s">
        <v>1537</v>
      </c>
      <c r="E1325" s="50" t="s">
        <v>58</v>
      </c>
      <c r="F1325" s="58">
        <v>1100</v>
      </c>
      <c r="G1325" s="13">
        <v>1107.96</v>
      </c>
      <c r="H1325" s="56">
        <v>0</v>
      </c>
      <c r="I1325" s="13">
        <f t="shared" si="142"/>
        <v>7.9600000000000364</v>
      </c>
      <c r="J1325" s="14">
        <f t="shared" si="136"/>
        <v>0.72363636363636696</v>
      </c>
      <c r="K1325" s="56">
        <v>2.2999999999999998</v>
      </c>
      <c r="L1325" s="15">
        <f t="shared" si="137"/>
        <v>0</v>
      </c>
      <c r="M1325" s="16">
        <f t="shared" si="138"/>
        <v>207.61708999999999</v>
      </c>
      <c r="N1325" s="17">
        <f t="shared" si="139"/>
        <v>2.2999999999999998</v>
      </c>
      <c r="O1325" s="17">
        <f t="shared" si="140"/>
        <v>2530</v>
      </c>
      <c r="P1325" s="18">
        <f t="shared" si="141"/>
        <v>228378.799</v>
      </c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</row>
    <row r="1326" spans="1:27" ht="12.75">
      <c r="A1326" s="20"/>
      <c r="B1326" s="10">
        <v>46072</v>
      </c>
      <c r="C1326" s="11">
        <f>VLOOKUP(B:B,'Курс валют'!A:D,4,0)</f>
        <v>90.268299999999996</v>
      </c>
      <c r="D1326" s="57" t="s">
        <v>1538</v>
      </c>
      <c r="E1326" s="50" t="s">
        <v>58</v>
      </c>
      <c r="F1326" s="58">
        <v>1100</v>
      </c>
      <c r="G1326" s="13">
        <v>1107.96</v>
      </c>
      <c r="H1326" s="56">
        <v>0</v>
      </c>
      <c r="I1326" s="13">
        <f t="shared" si="142"/>
        <v>7.9600000000000364</v>
      </c>
      <c r="J1326" s="14">
        <f t="shared" si="136"/>
        <v>0.72363636363636696</v>
      </c>
      <c r="K1326" s="56">
        <v>2.2999999999999998</v>
      </c>
      <c r="L1326" s="15">
        <f t="shared" si="137"/>
        <v>0</v>
      </c>
      <c r="M1326" s="16">
        <f t="shared" si="138"/>
        <v>207.61708999999999</v>
      </c>
      <c r="N1326" s="17">
        <f t="shared" si="139"/>
        <v>2.2999999999999998</v>
      </c>
      <c r="O1326" s="17">
        <f t="shared" si="140"/>
        <v>2530</v>
      </c>
      <c r="P1326" s="18">
        <f t="shared" si="141"/>
        <v>228378.799</v>
      </c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</row>
    <row r="1327" spans="1:27" ht="12.75">
      <c r="A1327" s="20"/>
      <c r="B1327" s="10">
        <v>46072</v>
      </c>
      <c r="C1327" s="11">
        <f>VLOOKUP(B:B,'Курс валют'!A:D,4,0)</f>
        <v>90.268299999999996</v>
      </c>
      <c r="D1327" s="57" t="s">
        <v>1539</v>
      </c>
      <c r="E1327" s="50" t="s">
        <v>58</v>
      </c>
      <c r="F1327" s="58">
        <v>1100</v>
      </c>
      <c r="G1327" s="13">
        <v>1107.96</v>
      </c>
      <c r="H1327" s="56">
        <v>0</v>
      </c>
      <c r="I1327" s="13">
        <f t="shared" si="142"/>
        <v>7.9600000000000364</v>
      </c>
      <c r="J1327" s="14">
        <f t="shared" si="136"/>
        <v>0.72363636363636696</v>
      </c>
      <c r="K1327" s="56">
        <v>2.2999999999999998</v>
      </c>
      <c r="L1327" s="15">
        <f t="shared" si="137"/>
        <v>0</v>
      </c>
      <c r="M1327" s="16">
        <f t="shared" si="138"/>
        <v>207.61708999999999</v>
      </c>
      <c r="N1327" s="17">
        <f t="shared" si="139"/>
        <v>2.2999999999999998</v>
      </c>
      <c r="O1327" s="17">
        <f t="shared" si="140"/>
        <v>2530</v>
      </c>
      <c r="P1327" s="18">
        <f t="shared" si="141"/>
        <v>228378.799</v>
      </c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</row>
    <row r="1328" spans="1:27" ht="12.75">
      <c r="A1328" s="20"/>
      <c r="B1328" s="10">
        <v>46072</v>
      </c>
      <c r="C1328" s="11">
        <f>VLOOKUP(B:B,'Курс валют'!A:D,4,0)</f>
        <v>90.268299999999996</v>
      </c>
      <c r="D1328" s="57" t="s">
        <v>1540</v>
      </c>
      <c r="E1328" s="50" t="s">
        <v>58</v>
      </c>
      <c r="F1328" s="58">
        <v>1100</v>
      </c>
      <c r="G1328" s="13">
        <v>1107.96</v>
      </c>
      <c r="H1328" s="56">
        <v>0</v>
      </c>
      <c r="I1328" s="13">
        <f t="shared" si="142"/>
        <v>7.9600000000000364</v>
      </c>
      <c r="J1328" s="14">
        <f t="shared" si="136"/>
        <v>0.72363636363636696</v>
      </c>
      <c r="K1328" s="56">
        <v>2.2999999999999998</v>
      </c>
      <c r="L1328" s="15">
        <f t="shared" si="137"/>
        <v>0</v>
      </c>
      <c r="M1328" s="16">
        <f t="shared" si="138"/>
        <v>207.61708999999999</v>
      </c>
      <c r="N1328" s="17">
        <f t="shared" si="139"/>
        <v>2.2999999999999998</v>
      </c>
      <c r="O1328" s="17">
        <f t="shared" si="140"/>
        <v>2530</v>
      </c>
      <c r="P1328" s="18">
        <f t="shared" si="141"/>
        <v>228378.799</v>
      </c>
      <c r="R1328" s="19"/>
      <c r="S1328" s="20"/>
      <c r="T1328" s="20"/>
      <c r="U1328" s="20"/>
      <c r="V1328" s="20"/>
      <c r="W1328" s="20"/>
      <c r="X1328" s="20"/>
      <c r="Y1328" s="20"/>
      <c r="Z1328" s="20"/>
      <c r="AA1328" s="20"/>
    </row>
    <row r="1329" spans="1:27" ht="12.75">
      <c r="A1329" s="20"/>
      <c r="B1329" s="10">
        <v>46072</v>
      </c>
      <c r="C1329" s="11">
        <f>VLOOKUP(B:B,'Курс валют'!A:D,4,0)</f>
        <v>90.268299999999996</v>
      </c>
      <c r="D1329" s="57" t="s">
        <v>1541</v>
      </c>
      <c r="E1329" s="50" t="s">
        <v>101</v>
      </c>
      <c r="F1329" s="58">
        <v>800</v>
      </c>
      <c r="G1329" s="58">
        <v>807.75</v>
      </c>
      <c r="H1329" s="56">
        <v>0</v>
      </c>
      <c r="I1329" s="58">
        <f t="shared" si="142"/>
        <v>7.75</v>
      </c>
      <c r="J1329" s="14">
        <f t="shared" si="136"/>
        <v>0.96875</v>
      </c>
      <c r="K1329" s="56">
        <v>2.5299999999999998</v>
      </c>
      <c r="L1329" s="15">
        <f t="shared" si="137"/>
        <v>0</v>
      </c>
      <c r="M1329" s="16">
        <f t="shared" si="138"/>
        <v>228.37879899999996</v>
      </c>
      <c r="N1329" s="17">
        <f t="shared" si="139"/>
        <v>2.5299999999999998</v>
      </c>
      <c r="O1329" s="17">
        <f t="shared" si="140"/>
        <v>2023.9999999999998</v>
      </c>
      <c r="P1329" s="18">
        <f t="shared" si="141"/>
        <v>182703.03919999997</v>
      </c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</row>
    <row r="1330" spans="1:27" ht="12.75">
      <c r="A1330" s="20"/>
      <c r="B1330" s="10">
        <v>46073</v>
      </c>
      <c r="C1330" s="11">
        <f>VLOOKUP(B:B,'Курс валют'!A:D,4,0)</f>
        <v>90.166899999999998</v>
      </c>
      <c r="D1330" s="57" t="s">
        <v>1542</v>
      </c>
      <c r="E1330" s="50" t="s">
        <v>58</v>
      </c>
      <c r="F1330" s="58">
        <v>1100</v>
      </c>
      <c r="G1330" s="13">
        <v>1110.96</v>
      </c>
      <c r="H1330" s="56">
        <v>0</v>
      </c>
      <c r="I1330" s="13">
        <f t="shared" si="142"/>
        <v>10.960000000000036</v>
      </c>
      <c r="J1330" s="14">
        <f t="shared" si="136"/>
        <v>0.99636363636363967</v>
      </c>
      <c r="K1330" s="56">
        <v>2.33</v>
      </c>
      <c r="L1330" s="15">
        <f t="shared" si="137"/>
        <v>0</v>
      </c>
      <c r="M1330" s="16">
        <f t="shared" si="138"/>
        <v>210.088877</v>
      </c>
      <c r="N1330" s="17">
        <f t="shared" si="139"/>
        <v>2.33</v>
      </c>
      <c r="O1330" s="17">
        <f t="shared" si="140"/>
        <v>2563</v>
      </c>
      <c r="P1330" s="18">
        <f t="shared" si="141"/>
        <v>231097.7647</v>
      </c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</row>
    <row r="1331" spans="1:27" ht="12.75">
      <c r="A1331" s="20"/>
      <c r="B1331" s="10">
        <v>46073</v>
      </c>
      <c r="C1331" s="11">
        <f>VLOOKUP(B:B,'Курс валют'!A:D,4,0)</f>
        <v>90.166899999999998</v>
      </c>
      <c r="D1331" s="57" t="s">
        <v>1543</v>
      </c>
      <c r="E1331" s="50" t="s">
        <v>58</v>
      </c>
      <c r="F1331" s="58">
        <v>1100</v>
      </c>
      <c r="G1331" s="13">
        <v>1110.96</v>
      </c>
      <c r="H1331" s="56">
        <v>0</v>
      </c>
      <c r="I1331" s="13">
        <f t="shared" si="142"/>
        <v>10.960000000000036</v>
      </c>
      <c r="J1331" s="14">
        <f t="shared" si="136"/>
        <v>0.99636363636363967</v>
      </c>
      <c r="K1331" s="56">
        <v>2.33</v>
      </c>
      <c r="L1331" s="15">
        <f t="shared" si="137"/>
        <v>0</v>
      </c>
      <c r="M1331" s="16">
        <f t="shared" si="138"/>
        <v>210.088877</v>
      </c>
      <c r="N1331" s="17">
        <f t="shared" si="139"/>
        <v>2.33</v>
      </c>
      <c r="O1331" s="17">
        <f t="shared" si="140"/>
        <v>2563</v>
      </c>
      <c r="P1331" s="18">
        <f t="shared" si="141"/>
        <v>231097.7647</v>
      </c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</row>
    <row r="1332" spans="1:27" ht="12.75">
      <c r="A1332" s="20"/>
      <c r="B1332" s="10">
        <v>46073</v>
      </c>
      <c r="C1332" s="11">
        <f>VLOOKUP(B:B,'Курс валют'!A:D,4,0)</f>
        <v>90.166899999999998</v>
      </c>
      <c r="D1332" s="57" t="s">
        <v>1544</v>
      </c>
      <c r="E1332" s="50" t="s">
        <v>58</v>
      </c>
      <c r="F1332" s="58">
        <v>1100</v>
      </c>
      <c r="G1332" s="13">
        <v>1110.96</v>
      </c>
      <c r="H1332" s="56">
        <v>0</v>
      </c>
      <c r="I1332" s="13">
        <f t="shared" si="142"/>
        <v>10.960000000000036</v>
      </c>
      <c r="J1332" s="14">
        <f t="shared" si="136"/>
        <v>0.99636363636363967</v>
      </c>
      <c r="K1332" s="56">
        <v>2.33</v>
      </c>
      <c r="L1332" s="15">
        <f t="shared" si="137"/>
        <v>0</v>
      </c>
      <c r="M1332" s="16">
        <f t="shared" si="138"/>
        <v>210.088877</v>
      </c>
      <c r="N1332" s="17">
        <f t="shared" si="139"/>
        <v>2.33</v>
      </c>
      <c r="O1332" s="17">
        <f t="shared" si="140"/>
        <v>2563</v>
      </c>
      <c r="P1332" s="18">
        <f t="shared" si="141"/>
        <v>231097.7647</v>
      </c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</row>
    <row r="1333" spans="1:27" ht="12.75">
      <c r="A1333" s="20"/>
      <c r="B1333" s="10">
        <v>46073</v>
      </c>
      <c r="C1333" s="11">
        <f>VLOOKUP(B:B,'Курс валют'!A:D,4,0)</f>
        <v>90.166899999999998</v>
      </c>
      <c r="D1333" s="57" t="s">
        <v>1545</v>
      </c>
      <c r="E1333" s="50" t="s">
        <v>58</v>
      </c>
      <c r="F1333" s="58">
        <v>1100</v>
      </c>
      <c r="G1333" s="13">
        <v>1110.96</v>
      </c>
      <c r="H1333" s="56">
        <v>0</v>
      </c>
      <c r="I1333" s="13">
        <f t="shared" si="142"/>
        <v>10.960000000000036</v>
      </c>
      <c r="J1333" s="14">
        <f t="shared" si="136"/>
        <v>0.99636363636363967</v>
      </c>
      <c r="K1333" s="56">
        <v>2.33</v>
      </c>
      <c r="L1333" s="15">
        <f t="shared" si="137"/>
        <v>0</v>
      </c>
      <c r="M1333" s="16">
        <f t="shared" si="138"/>
        <v>210.088877</v>
      </c>
      <c r="N1333" s="17">
        <f t="shared" si="139"/>
        <v>2.33</v>
      </c>
      <c r="O1333" s="17">
        <f t="shared" si="140"/>
        <v>2563</v>
      </c>
      <c r="P1333" s="18">
        <f t="shared" si="141"/>
        <v>231097.7647</v>
      </c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</row>
    <row r="1334" spans="1:27" ht="12.75">
      <c r="A1334" s="20"/>
      <c r="B1334" s="10">
        <v>46073</v>
      </c>
      <c r="C1334" s="11">
        <f>VLOOKUP(B:B,'Курс валют'!A:D,4,0)</f>
        <v>90.166899999999998</v>
      </c>
      <c r="D1334" s="57" t="s">
        <v>1546</v>
      </c>
      <c r="E1334" s="50" t="s">
        <v>58</v>
      </c>
      <c r="F1334" s="58">
        <v>1100</v>
      </c>
      <c r="G1334" s="13">
        <v>1110.96</v>
      </c>
      <c r="H1334" s="56">
        <v>0</v>
      </c>
      <c r="I1334" s="13">
        <f t="shared" si="142"/>
        <v>10.960000000000036</v>
      </c>
      <c r="J1334" s="14">
        <f t="shared" si="136"/>
        <v>0.99636363636363967</v>
      </c>
      <c r="K1334" s="56">
        <v>2.33</v>
      </c>
      <c r="L1334" s="15">
        <f t="shared" si="137"/>
        <v>0</v>
      </c>
      <c r="M1334" s="16">
        <f t="shared" si="138"/>
        <v>210.088877</v>
      </c>
      <c r="N1334" s="17">
        <f t="shared" si="139"/>
        <v>2.33</v>
      </c>
      <c r="O1334" s="17">
        <f t="shared" si="140"/>
        <v>2563</v>
      </c>
      <c r="P1334" s="18">
        <f t="shared" si="141"/>
        <v>231097.7647</v>
      </c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</row>
    <row r="1335" spans="1:27" ht="12.75">
      <c r="A1335" s="20"/>
      <c r="B1335" s="10">
        <v>46073</v>
      </c>
      <c r="C1335" s="11">
        <f>VLOOKUP(B:B,'Курс валют'!A:D,4,0)</f>
        <v>90.166899999999998</v>
      </c>
      <c r="D1335" s="57" t="s">
        <v>1547</v>
      </c>
      <c r="E1335" s="50" t="s">
        <v>101</v>
      </c>
      <c r="F1335" s="58">
        <v>800</v>
      </c>
      <c r="G1335" s="58">
        <v>810</v>
      </c>
      <c r="H1335" s="56">
        <v>0</v>
      </c>
      <c r="I1335" s="58">
        <f t="shared" si="142"/>
        <v>10</v>
      </c>
      <c r="J1335" s="14">
        <f t="shared" si="136"/>
        <v>1.25</v>
      </c>
      <c r="K1335" s="56">
        <v>2.54</v>
      </c>
      <c r="L1335" s="15">
        <f t="shared" si="137"/>
        <v>0</v>
      </c>
      <c r="M1335" s="16">
        <f t="shared" si="138"/>
        <v>229.02392599999999</v>
      </c>
      <c r="N1335" s="17">
        <f t="shared" si="139"/>
        <v>2.54</v>
      </c>
      <c r="O1335" s="17">
        <f t="shared" si="140"/>
        <v>2032</v>
      </c>
      <c r="P1335" s="18">
        <f t="shared" si="141"/>
        <v>183219.14079999999</v>
      </c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</row>
    <row r="1336" spans="1:27" ht="12.75">
      <c r="A1336" s="20"/>
      <c r="B1336" s="10">
        <v>46073</v>
      </c>
      <c r="C1336" s="11">
        <f>VLOOKUP(B:B,'Курс валют'!A:D,4,0)</f>
        <v>90.166899999999998</v>
      </c>
      <c r="D1336" s="57" t="s">
        <v>1548</v>
      </c>
      <c r="E1336" s="50" t="s">
        <v>101</v>
      </c>
      <c r="F1336" s="58">
        <v>800</v>
      </c>
      <c r="G1336" s="58">
        <v>810</v>
      </c>
      <c r="H1336" s="56">
        <v>0</v>
      </c>
      <c r="I1336" s="58">
        <f t="shared" si="142"/>
        <v>10</v>
      </c>
      <c r="J1336" s="14">
        <f t="shared" si="136"/>
        <v>1.25</v>
      </c>
      <c r="K1336" s="56">
        <v>2.54</v>
      </c>
      <c r="L1336" s="15">
        <f t="shared" si="137"/>
        <v>0</v>
      </c>
      <c r="M1336" s="16">
        <f t="shared" si="138"/>
        <v>229.02392599999999</v>
      </c>
      <c r="N1336" s="17">
        <f t="shared" si="139"/>
        <v>2.54</v>
      </c>
      <c r="O1336" s="17">
        <f t="shared" si="140"/>
        <v>2032</v>
      </c>
      <c r="P1336" s="18">
        <f t="shared" si="141"/>
        <v>183219.14079999999</v>
      </c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</row>
    <row r="1337" spans="1:27" ht="12.75">
      <c r="A1337" s="20"/>
      <c r="B1337" s="10">
        <v>46074</v>
      </c>
      <c r="C1337" s="11">
        <f>VLOOKUP(B:B,'Курс валют'!A:D,4,0)</f>
        <v>90.283299999999997</v>
      </c>
      <c r="D1337" s="57" t="s">
        <v>1549</v>
      </c>
      <c r="E1337" s="50" t="s">
        <v>89</v>
      </c>
      <c r="F1337" s="58">
        <v>1000</v>
      </c>
      <c r="G1337" s="58">
        <v>1000</v>
      </c>
      <c r="H1337" s="56">
        <v>0</v>
      </c>
      <c r="I1337" s="58">
        <f t="shared" si="142"/>
        <v>0</v>
      </c>
      <c r="J1337" s="14">
        <f t="shared" si="136"/>
        <v>0</v>
      </c>
      <c r="K1337" s="56">
        <v>2.84</v>
      </c>
      <c r="L1337" s="15">
        <f t="shared" si="137"/>
        <v>0</v>
      </c>
      <c r="M1337" s="16">
        <f t="shared" si="138"/>
        <v>256.40457199999997</v>
      </c>
      <c r="N1337" s="17">
        <f t="shared" si="139"/>
        <v>2.84</v>
      </c>
      <c r="O1337" s="17">
        <f t="shared" si="140"/>
        <v>2840</v>
      </c>
      <c r="P1337" s="18">
        <f t="shared" si="141"/>
        <v>256404.57199999999</v>
      </c>
      <c r="R1337" s="19" t="s">
        <v>1550</v>
      </c>
      <c r="S1337" s="20"/>
      <c r="T1337" s="20"/>
      <c r="U1337" s="20"/>
      <c r="V1337" s="20"/>
      <c r="W1337" s="20"/>
      <c r="X1337" s="20"/>
      <c r="Y1337" s="20"/>
      <c r="Z1337" s="20"/>
      <c r="AA1337" s="20"/>
    </row>
    <row r="1338" spans="1:27" ht="12.75">
      <c r="B1338" s="10">
        <v>46074</v>
      </c>
      <c r="C1338" s="11">
        <f>VLOOKUP(B:B,'Курс валют'!A:D,4,0)</f>
        <v>90.283299999999997</v>
      </c>
      <c r="D1338" s="57" t="s">
        <v>1551</v>
      </c>
      <c r="E1338" s="50" t="s">
        <v>484</v>
      </c>
      <c r="F1338" s="58">
        <v>220</v>
      </c>
      <c r="G1338" s="58">
        <v>220</v>
      </c>
      <c r="H1338" s="56">
        <v>0</v>
      </c>
      <c r="I1338" s="58">
        <f t="shared" si="142"/>
        <v>0</v>
      </c>
      <c r="J1338" s="14">
        <f t="shared" si="136"/>
        <v>0</v>
      </c>
      <c r="K1338" s="56">
        <v>2.5499999999999998</v>
      </c>
      <c r="L1338" s="15">
        <f t="shared" si="137"/>
        <v>0</v>
      </c>
      <c r="M1338" s="16">
        <f t="shared" si="138"/>
        <v>230.22241499999998</v>
      </c>
      <c r="N1338" s="17">
        <f t="shared" si="139"/>
        <v>2.5499999999999998</v>
      </c>
      <c r="O1338" s="17">
        <f t="shared" si="140"/>
        <v>561</v>
      </c>
      <c r="P1338" s="18">
        <f t="shared" si="141"/>
        <v>50648.931299999997</v>
      </c>
      <c r="R1338" s="33" t="s">
        <v>1552</v>
      </c>
    </row>
    <row r="1339" spans="1:27" ht="12.75">
      <c r="B1339" s="10">
        <v>46075</v>
      </c>
      <c r="C1339" s="11">
        <f>VLOOKUP(B:B,'Курс валют'!A:D,4,0)</f>
        <v>90.283299999999997</v>
      </c>
      <c r="D1339" s="57" t="s">
        <v>1553</v>
      </c>
      <c r="E1339" s="50" t="s">
        <v>1554</v>
      </c>
      <c r="F1339" s="58">
        <v>200</v>
      </c>
      <c r="G1339" s="58">
        <v>204.45</v>
      </c>
      <c r="H1339" s="56">
        <v>0</v>
      </c>
      <c r="I1339" s="58">
        <f t="shared" si="142"/>
        <v>4.4499999999999886</v>
      </c>
      <c r="J1339" s="14">
        <f t="shared" si="136"/>
        <v>2.2249999999999943</v>
      </c>
      <c r="K1339" s="56">
        <v>2.63</v>
      </c>
      <c r="L1339" s="15">
        <f t="shared" si="137"/>
        <v>0</v>
      </c>
      <c r="M1339" s="16">
        <f t="shared" si="138"/>
        <v>237.44507899999999</v>
      </c>
      <c r="N1339" s="17">
        <f t="shared" si="139"/>
        <v>2.63</v>
      </c>
      <c r="O1339" s="17">
        <f t="shared" si="140"/>
        <v>526</v>
      </c>
      <c r="P1339" s="18">
        <f t="shared" si="141"/>
        <v>47489.015800000001</v>
      </c>
    </row>
    <row r="1340" spans="1:27" ht="12.75">
      <c r="B1340" s="10">
        <v>46075</v>
      </c>
      <c r="C1340" s="11">
        <f>VLOOKUP(B:B,'Курс валют'!A:D,4,0)</f>
        <v>90.283299999999997</v>
      </c>
      <c r="D1340" s="57" t="s">
        <v>1555</v>
      </c>
      <c r="E1340" s="50" t="s">
        <v>1554</v>
      </c>
      <c r="F1340" s="58">
        <v>800</v>
      </c>
      <c r="G1340" s="58">
        <v>806.99</v>
      </c>
      <c r="H1340" s="56">
        <v>0</v>
      </c>
      <c r="I1340" s="58">
        <f t="shared" si="142"/>
        <v>6.9900000000000091</v>
      </c>
      <c r="J1340" s="14">
        <f t="shared" si="136"/>
        <v>0.87375000000000114</v>
      </c>
      <c r="K1340" s="56">
        <v>2.9</v>
      </c>
      <c r="L1340" s="15">
        <f t="shared" si="137"/>
        <v>0</v>
      </c>
      <c r="M1340" s="16">
        <f t="shared" si="138"/>
        <v>261.82157000000001</v>
      </c>
      <c r="N1340" s="17">
        <f t="shared" si="139"/>
        <v>2.9</v>
      </c>
      <c r="O1340" s="17">
        <f t="shared" si="140"/>
        <v>2320</v>
      </c>
      <c r="P1340" s="18">
        <f t="shared" si="141"/>
        <v>209457.25599999999</v>
      </c>
    </row>
    <row r="1341" spans="1:27" ht="12.75">
      <c r="B1341" s="10">
        <v>46075</v>
      </c>
      <c r="C1341" s="11">
        <f>VLOOKUP(B:B,'Курс валют'!A:D,4,0)</f>
        <v>90.283299999999997</v>
      </c>
      <c r="D1341" s="57" t="s">
        <v>1556</v>
      </c>
      <c r="E1341" s="50" t="s">
        <v>1554</v>
      </c>
      <c r="F1341" s="58">
        <v>800</v>
      </c>
      <c r="G1341" s="58">
        <v>806.99</v>
      </c>
      <c r="H1341" s="56">
        <v>0</v>
      </c>
      <c r="I1341" s="58">
        <f t="shared" si="142"/>
        <v>6.9900000000000091</v>
      </c>
      <c r="J1341" s="14">
        <f t="shared" si="136"/>
        <v>0.87375000000000114</v>
      </c>
      <c r="K1341" s="56">
        <v>2.93</v>
      </c>
      <c r="L1341" s="15">
        <f t="shared" si="137"/>
        <v>0</v>
      </c>
      <c r="M1341" s="16">
        <f t="shared" si="138"/>
        <v>264.53006900000003</v>
      </c>
      <c r="N1341" s="17">
        <f t="shared" si="139"/>
        <v>2.93</v>
      </c>
      <c r="O1341" s="17">
        <f t="shared" si="140"/>
        <v>2344</v>
      </c>
      <c r="P1341" s="18">
        <f t="shared" si="141"/>
        <v>211624.0552</v>
      </c>
    </row>
    <row r="1342" spans="1:27" ht="12.75">
      <c r="B1342" s="10">
        <v>46075</v>
      </c>
      <c r="C1342" s="11">
        <f>VLOOKUP(B:B,'Курс валют'!A:D,4,0)</f>
        <v>90.283299999999997</v>
      </c>
      <c r="D1342" s="57" t="s">
        <v>1557</v>
      </c>
      <c r="E1342" s="50" t="s">
        <v>1554</v>
      </c>
      <c r="F1342" s="58">
        <v>800</v>
      </c>
      <c r="G1342" s="58">
        <v>806.99</v>
      </c>
      <c r="H1342" s="56">
        <v>0</v>
      </c>
      <c r="I1342" s="58">
        <f t="shared" si="142"/>
        <v>6.9900000000000091</v>
      </c>
      <c r="J1342" s="14">
        <f t="shared" si="136"/>
        <v>0.87375000000000114</v>
      </c>
      <c r="K1342" s="56">
        <v>3.08</v>
      </c>
      <c r="L1342" s="15">
        <f t="shared" si="137"/>
        <v>0</v>
      </c>
      <c r="M1342" s="16">
        <f t="shared" si="138"/>
        <v>278.072564</v>
      </c>
      <c r="N1342" s="17">
        <f t="shared" si="139"/>
        <v>3.08</v>
      </c>
      <c r="O1342" s="17">
        <f t="shared" si="140"/>
        <v>2464</v>
      </c>
      <c r="P1342" s="18">
        <f t="shared" si="141"/>
        <v>222458.05119999999</v>
      </c>
    </row>
    <row r="1343" spans="1:27" ht="12.75">
      <c r="B1343" s="10">
        <v>46078</v>
      </c>
      <c r="C1343" s="11">
        <f>VLOOKUP(B:B,'Курс валют'!A:D,4,0)</f>
        <v>90.582099999999997</v>
      </c>
      <c r="D1343" s="57" t="s">
        <v>1558</v>
      </c>
      <c r="E1343" s="50" t="s">
        <v>15</v>
      </c>
      <c r="F1343" s="58">
        <v>1100</v>
      </c>
      <c r="G1343" s="13">
        <v>1108.6099999999999</v>
      </c>
      <c r="H1343" s="56">
        <v>0</v>
      </c>
      <c r="I1343" s="13">
        <f t="shared" si="142"/>
        <v>8.6099999999999</v>
      </c>
      <c r="J1343" s="14">
        <f t="shared" si="136"/>
        <v>0.78272727272726361</v>
      </c>
      <c r="K1343" s="56">
        <v>2.2400000000000002</v>
      </c>
      <c r="L1343" s="15">
        <f t="shared" si="137"/>
        <v>0</v>
      </c>
      <c r="M1343" s="16">
        <f t="shared" si="138"/>
        <v>202.90390400000004</v>
      </c>
      <c r="N1343" s="17">
        <f t="shared" si="139"/>
        <v>2.2400000000000002</v>
      </c>
      <c r="O1343" s="17">
        <f t="shared" si="140"/>
        <v>2464.0000000000005</v>
      </c>
      <c r="P1343" s="18">
        <f t="shared" si="141"/>
        <v>223194.29440000004</v>
      </c>
    </row>
    <row r="1344" spans="1:27" ht="12.75">
      <c r="B1344" s="10">
        <v>46078</v>
      </c>
      <c r="C1344" s="11">
        <f>VLOOKUP(B:B,'Курс валют'!A:D,4,0)</f>
        <v>90.582099999999997</v>
      </c>
      <c r="D1344" s="57" t="s">
        <v>1559</v>
      </c>
      <c r="E1344" s="50" t="s">
        <v>15</v>
      </c>
      <c r="F1344" s="58">
        <v>1100</v>
      </c>
      <c r="G1344" s="13">
        <v>1108.6099999999999</v>
      </c>
      <c r="H1344" s="56">
        <v>0</v>
      </c>
      <c r="I1344" s="13">
        <f t="shared" si="142"/>
        <v>8.6099999999999</v>
      </c>
      <c r="J1344" s="14">
        <f t="shared" si="136"/>
        <v>0.78272727272726361</v>
      </c>
      <c r="K1344" s="56">
        <v>2.2400000000000002</v>
      </c>
      <c r="L1344" s="15">
        <f t="shared" si="137"/>
        <v>0</v>
      </c>
      <c r="M1344" s="16">
        <f t="shared" si="138"/>
        <v>202.90390400000004</v>
      </c>
      <c r="N1344" s="17">
        <f t="shared" si="139"/>
        <v>2.2400000000000002</v>
      </c>
      <c r="O1344" s="17">
        <f t="shared" si="140"/>
        <v>2464.0000000000005</v>
      </c>
      <c r="P1344" s="18">
        <f t="shared" si="141"/>
        <v>223194.29440000004</v>
      </c>
    </row>
    <row r="1345" spans="2:16" ht="12.75">
      <c r="B1345" s="10">
        <v>46078</v>
      </c>
      <c r="C1345" s="11">
        <f>VLOOKUP(B:B,'Курс валют'!A:D,4,0)</f>
        <v>90.582099999999997</v>
      </c>
      <c r="D1345" s="57" t="s">
        <v>1560</v>
      </c>
      <c r="E1345" s="50" t="s">
        <v>15</v>
      </c>
      <c r="F1345" s="58">
        <v>1100</v>
      </c>
      <c r="G1345" s="13">
        <v>1108.6099999999999</v>
      </c>
      <c r="H1345" s="56">
        <v>0</v>
      </c>
      <c r="I1345" s="13">
        <f t="shared" si="142"/>
        <v>8.6099999999999</v>
      </c>
      <c r="J1345" s="14">
        <f t="shared" si="136"/>
        <v>0.78272727272726361</v>
      </c>
      <c r="K1345" s="56">
        <v>2.2400000000000002</v>
      </c>
      <c r="L1345" s="15">
        <f t="shared" si="137"/>
        <v>0</v>
      </c>
      <c r="M1345" s="16">
        <f t="shared" si="138"/>
        <v>202.90390400000004</v>
      </c>
      <c r="N1345" s="17">
        <f t="shared" si="139"/>
        <v>2.2400000000000002</v>
      </c>
      <c r="O1345" s="17">
        <f t="shared" si="140"/>
        <v>2464.0000000000005</v>
      </c>
      <c r="P1345" s="18">
        <f t="shared" si="141"/>
        <v>223194.29440000004</v>
      </c>
    </row>
    <row r="1346" spans="2:16" ht="12.75">
      <c r="B1346" s="10">
        <v>46078</v>
      </c>
      <c r="C1346" s="11">
        <f>VLOOKUP(B:B,'Курс валют'!A:D,4,0)</f>
        <v>90.582099999999997</v>
      </c>
      <c r="D1346" s="57" t="s">
        <v>1561</v>
      </c>
      <c r="E1346" s="50" t="s">
        <v>15</v>
      </c>
      <c r="F1346" s="58">
        <v>1100</v>
      </c>
      <c r="G1346" s="13">
        <v>1108.6099999999999</v>
      </c>
      <c r="H1346" s="56">
        <v>0</v>
      </c>
      <c r="I1346" s="13">
        <f t="shared" si="142"/>
        <v>8.6099999999999</v>
      </c>
      <c r="J1346" s="14">
        <f t="shared" si="136"/>
        <v>0.78272727272726361</v>
      </c>
      <c r="K1346" s="56">
        <v>2.2400000000000002</v>
      </c>
      <c r="L1346" s="15">
        <f t="shared" si="137"/>
        <v>0</v>
      </c>
      <c r="M1346" s="16">
        <f t="shared" si="138"/>
        <v>202.90390400000004</v>
      </c>
      <c r="N1346" s="17">
        <f t="shared" si="139"/>
        <v>2.2400000000000002</v>
      </c>
      <c r="O1346" s="17">
        <f t="shared" si="140"/>
        <v>2464.0000000000005</v>
      </c>
      <c r="P1346" s="18">
        <f t="shared" si="141"/>
        <v>223194.29440000004</v>
      </c>
    </row>
    <row r="1347" spans="2:16" ht="12.75">
      <c r="B1347" s="10">
        <v>46078</v>
      </c>
      <c r="C1347" s="11">
        <f>VLOOKUP(B:B,'Курс валют'!A:D,4,0)</f>
        <v>90.582099999999997</v>
      </c>
      <c r="D1347" s="57" t="s">
        <v>1562</v>
      </c>
      <c r="E1347" s="50" t="s">
        <v>15</v>
      </c>
      <c r="F1347" s="58">
        <v>1100</v>
      </c>
      <c r="G1347" s="13">
        <v>1108.6099999999999</v>
      </c>
      <c r="H1347" s="56">
        <v>0</v>
      </c>
      <c r="I1347" s="13">
        <f t="shared" si="142"/>
        <v>8.6099999999999</v>
      </c>
      <c r="J1347" s="14">
        <f t="shared" si="136"/>
        <v>0.78272727272726361</v>
      </c>
      <c r="K1347" s="56">
        <v>2.2400000000000002</v>
      </c>
      <c r="L1347" s="15">
        <f t="shared" si="137"/>
        <v>0</v>
      </c>
      <c r="M1347" s="16">
        <f t="shared" si="138"/>
        <v>202.90390400000004</v>
      </c>
      <c r="N1347" s="17">
        <f t="shared" si="139"/>
        <v>2.2400000000000002</v>
      </c>
      <c r="O1347" s="17">
        <f t="shared" si="140"/>
        <v>2464.0000000000005</v>
      </c>
      <c r="P1347" s="18">
        <f t="shared" si="141"/>
        <v>223194.29440000004</v>
      </c>
    </row>
    <row r="1348" spans="2:16" ht="12.75">
      <c r="B1348" s="10">
        <v>46078</v>
      </c>
      <c r="C1348" s="11">
        <f>VLOOKUP(B:B,'Курс валют'!A:D,4,0)</f>
        <v>90.582099999999997</v>
      </c>
      <c r="D1348" s="57" t="s">
        <v>1563</v>
      </c>
      <c r="E1348" s="50" t="s">
        <v>15</v>
      </c>
      <c r="F1348" s="58">
        <v>1100</v>
      </c>
      <c r="G1348" s="13">
        <v>1108.6099999999999</v>
      </c>
      <c r="H1348" s="56">
        <v>0</v>
      </c>
      <c r="I1348" s="13">
        <f t="shared" si="142"/>
        <v>8.6099999999999</v>
      </c>
      <c r="J1348" s="14">
        <f t="shared" si="136"/>
        <v>0.78272727272726361</v>
      </c>
      <c r="K1348" s="56">
        <v>2.2400000000000002</v>
      </c>
      <c r="L1348" s="15">
        <f t="shared" si="137"/>
        <v>0</v>
      </c>
      <c r="M1348" s="16">
        <f t="shared" si="138"/>
        <v>202.90390400000004</v>
      </c>
      <c r="N1348" s="17">
        <f t="shared" si="139"/>
        <v>2.2400000000000002</v>
      </c>
      <c r="O1348" s="17">
        <f t="shared" si="140"/>
        <v>2464.0000000000005</v>
      </c>
      <c r="P1348" s="18">
        <f t="shared" si="141"/>
        <v>223194.29440000004</v>
      </c>
    </row>
    <row r="1349" spans="2:16" ht="12.75">
      <c r="B1349" s="10">
        <v>46078</v>
      </c>
      <c r="C1349" s="11">
        <f>VLOOKUP(B:B,'Курс валют'!A:D,4,0)</f>
        <v>90.582099999999997</v>
      </c>
      <c r="D1349" s="57" t="s">
        <v>1564</v>
      </c>
      <c r="E1349" s="50" t="s">
        <v>15</v>
      </c>
      <c r="F1349" s="58">
        <v>1100</v>
      </c>
      <c r="G1349" s="13">
        <v>1108.6099999999999</v>
      </c>
      <c r="H1349" s="56">
        <v>0</v>
      </c>
      <c r="I1349" s="13">
        <f t="shared" si="142"/>
        <v>8.6099999999999</v>
      </c>
      <c r="J1349" s="14">
        <f t="shared" si="136"/>
        <v>0.78272727272726361</v>
      </c>
      <c r="K1349" s="56">
        <v>2.2400000000000002</v>
      </c>
      <c r="L1349" s="15">
        <f t="shared" si="137"/>
        <v>0</v>
      </c>
      <c r="M1349" s="16">
        <f t="shared" si="138"/>
        <v>202.90390400000004</v>
      </c>
      <c r="N1349" s="17">
        <f t="shared" si="139"/>
        <v>2.2400000000000002</v>
      </c>
      <c r="O1349" s="17">
        <f t="shared" si="140"/>
        <v>2464.0000000000005</v>
      </c>
      <c r="P1349" s="18">
        <f t="shared" si="141"/>
        <v>223194.29440000004</v>
      </c>
    </row>
    <row r="1350" spans="2:16" ht="12.75">
      <c r="B1350" s="10">
        <v>46078</v>
      </c>
      <c r="C1350" s="11">
        <f>VLOOKUP(B:B,'Курс валют'!A:D,4,0)</f>
        <v>90.582099999999997</v>
      </c>
      <c r="D1350" s="57" t="s">
        <v>1565</v>
      </c>
      <c r="E1350" s="50" t="s">
        <v>15</v>
      </c>
      <c r="F1350" s="58">
        <v>1100</v>
      </c>
      <c r="G1350" s="13">
        <v>1108.6099999999999</v>
      </c>
      <c r="H1350" s="56">
        <v>0</v>
      </c>
      <c r="I1350" s="13">
        <f t="shared" si="142"/>
        <v>8.6099999999999</v>
      </c>
      <c r="J1350" s="14">
        <f t="shared" si="136"/>
        <v>0.78272727272726361</v>
      </c>
      <c r="K1350" s="56">
        <v>2.2400000000000002</v>
      </c>
      <c r="L1350" s="15">
        <f t="shared" si="137"/>
        <v>0</v>
      </c>
      <c r="M1350" s="16">
        <f t="shared" si="138"/>
        <v>202.90390400000004</v>
      </c>
      <c r="N1350" s="17">
        <f t="shared" si="139"/>
        <v>2.2400000000000002</v>
      </c>
      <c r="O1350" s="17">
        <f t="shared" si="140"/>
        <v>2464.0000000000005</v>
      </c>
      <c r="P1350" s="18">
        <f t="shared" si="141"/>
        <v>223194.29440000004</v>
      </c>
    </row>
    <row r="1351" spans="2:16" ht="12.75">
      <c r="B1351" s="10">
        <v>46078</v>
      </c>
      <c r="C1351" s="11">
        <f>VLOOKUP(B:B,'Курс валют'!A:D,4,0)</f>
        <v>90.582099999999997</v>
      </c>
      <c r="D1351" s="57" t="s">
        <v>1566</v>
      </c>
      <c r="E1351" s="50" t="s">
        <v>15</v>
      </c>
      <c r="F1351" s="58">
        <v>1100</v>
      </c>
      <c r="G1351" s="13">
        <v>1108.6099999999999</v>
      </c>
      <c r="H1351" s="56">
        <v>0</v>
      </c>
      <c r="I1351" s="13">
        <f t="shared" si="142"/>
        <v>8.6099999999999</v>
      </c>
      <c r="J1351" s="14">
        <f t="shared" si="136"/>
        <v>0.78272727272726361</v>
      </c>
      <c r="K1351" s="56">
        <v>2.2400000000000002</v>
      </c>
      <c r="L1351" s="15">
        <f t="shared" si="137"/>
        <v>0</v>
      </c>
      <c r="M1351" s="16">
        <f t="shared" si="138"/>
        <v>202.90390400000004</v>
      </c>
      <c r="N1351" s="17">
        <f t="shared" si="139"/>
        <v>2.2400000000000002</v>
      </c>
      <c r="O1351" s="17">
        <f t="shared" si="140"/>
        <v>2464.0000000000005</v>
      </c>
      <c r="P1351" s="18">
        <f t="shared" si="141"/>
        <v>223194.29440000004</v>
      </c>
    </row>
    <row r="1352" spans="2:16" ht="12.75">
      <c r="B1352" s="10">
        <v>46078</v>
      </c>
      <c r="C1352" s="11">
        <f>VLOOKUP(B:B,'Курс валют'!A:D,4,0)</f>
        <v>90.582099999999997</v>
      </c>
      <c r="D1352" s="57" t="s">
        <v>1567</v>
      </c>
      <c r="E1352" s="50" t="s">
        <v>15</v>
      </c>
      <c r="F1352" s="58">
        <v>1100</v>
      </c>
      <c r="G1352" s="13">
        <v>1108.6099999999999</v>
      </c>
      <c r="H1352" s="56">
        <v>0</v>
      </c>
      <c r="I1352" s="13">
        <f t="shared" si="142"/>
        <v>8.6099999999999</v>
      </c>
      <c r="J1352" s="14">
        <f t="shared" si="136"/>
        <v>0.78272727272726361</v>
      </c>
      <c r="K1352" s="56">
        <v>2.2400000000000002</v>
      </c>
      <c r="L1352" s="15">
        <f t="shared" si="137"/>
        <v>0</v>
      </c>
      <c r="M1352" s="16">
        <f t="shared" si="138"/>
        <v>202.90390400000004</v>
      </c>
      <c r="N1352" s="17">
        <f t="shared" si="139"/>
        <v>2.2400000000000002</v>
      </c>
      <c r="O1352" s="17">
        <f t="shared" si="140"/>
        <v>2464.0000000000005</v>
      </c>
      <c r="P1352" s="18">
        <f t="shared" si="141"/>
        <v>223194.29440000004</v>
      </c>
    </row>
    <row r="1353" spans="2:16" ht="12.75">
      <c r="B1353" s="10">
        <v>46079</v>
      </c>
      <c r="C1353" s="11">
        <f>VLOOKUP(B:B,'Курс валют'!A:D,4,0)</f>
        <v>90.321100000000001</v>
      </c>
      <c r="D1353" s="57" t="s">
        <v>1568</v>
      </c>
      <c r="E1353" s="50" t="s">
        <v>15</v>
      </c>
      <c r="F1353" s="58">
        <v>1100</v>
      </c>
      <c r="G1353" s="13">
        <v>1109.0999999999999</v>
      </c>
      <c r="H1353" s="56">
        <v>0</v>
      </c>
      <c r="I1353" s="13">
        <f t="shared" si="142"/>
        <v>9.0999999999999091</v>
      </c>
      <c r="J1353" s="14">
        <f t="shared" si="136"/>
        <v>0.82727272727271906</v>
      </c>
      <c r="K1353" s="56">
        <v>2.2400000000000002</v>
      </c>
      <c r="L1353" s="15">
        <f t="shared" si="137"/>
        <v>0</v>
      </c>
      <c r="M1353" s="16">
        <f t="shared" si="138"/>
        <v>202.31926400000003</v>
      </c>
      <c r="N1353" s="17">
        <f t="shared" si="139"/>
        <v>2.2400000000000002</v>
      </c>
      <c r="O1353" s="17">
        <f t="shared" si="140"/>
        <v>2464.0000000000005</v>
      </c>
      <c r="P1353" s="18">
        <f t="shared" si="141"/>
        <v>222551.19040000005</v>
      </c>
    </row>
    <row r="1354" spans="2:16" ht="12.75">
      <c r="B1354" s="10">
        <v>46079</v>
      </c>
      <c r="C1354" s="11">
        <f>VLOOKUP(B:B,'Курс валют'!A:D,4,0)</f>
        <v>90.321100000000001</v>
      </c>
      <c r="D1354" s="57" t="s">
        <v>1569</v>
      </c>
      <c r="E1354" s="50" t="s">
        <v>15</v>
      </c>
      <c r="F1354" s="58">
        <v>1100</v>
      </c>
      <c r="G1354" s="13">
        <v>1109.0999999999999</v>
      </c>
      <c r="H1354" s="56">
        <v>0</v>
      </c>
      <c r="I1354" s="13">
        <f t="shared" si="142"/>
        <v>9.0999999999999091</v>
      </c>
      <c r="J1354" s="14">
        <f t="shared" si="136"/>
        <v>0.82727272727271906</v>
      </c>
      <c r="K1354" s="56">
        <v>2.2400000000000002</v>
      </c>
      <c r="L1354" s="15">
        <f t="shared" si="137"/>
        <v>0</v>
      </c>
      <c r="M1354" s="16">
        <f t="shared" si="138"/>
        <v>202.31926400000003</v>
      </c>
      <c r="N1354" s="17">
        <f t="shared" si="139"/>
        <v>2.2400000000000002</v>
      </c>
      <c r="O1354" s="17">
        <f t="shared" si="140"/>
        <v>2464.0000000000005</v>
      </c>
      <c r="P1354" s="18">
        <f t="shared" si="141"/>
        <v>222551.19040000005</v>
      </c>
    </row>
    <row r="1355" spans="2:16" ht="12.75">
      <c r="B1355" s="10">
        <v>46079</v>
      </c>
      <c r="C1355" s="11">
        <f>VLOOKUP(B:B,'Курс валют'!A:D,4,0)</f>
        <v>90.321100000000001</v>
      </c>
      <c r="D1355" s="57" t="s">
        <v>1570</v>
      </c>
      <c r="E1355" s="50" t="s">
        <v>15</v>
      </c>
      <c r="F1355" s="58">
        <v>1100</v>
      </c>
      <c r="G1355" s="13">
        <v>1109.0999999999999</v>
      </c>
      <c r="H1355" s="56">
        <v>0</v>
      </c>
      <c r="I1355" s="13">
        <f t="shared" si="142"/>
        <v>9.0999999999999091</v>
      </c>
      <c r="J1355" s="14">
        <f t="shared" si="136"/>
        <v>0.82727272727271906</v>
      </c>
      <c r="K1355" s="56">
        <v>2.2400000000000002</v>
      </c>
      <c r="L1355" s="15">
        <f t="shared" si="137"/>
        <v>0</v>
      </c>
      <c r="M1355" s="16">
        <f t="shared" si="138"/>
        <v>202.31926400000003</v>
      </c>
      <c r="N1355" s="17">
        <f t="shared" si="139"/>
        <v>2.2400000000000002</v>
      </c>
      <c r="O1355" s="17">
        <f t="shared" si="140"/>
        <v>2464.0000000000005</v>
      </c>
      <c r="P1355" s="18">
        <f t="shared" si="141"/>
        <v>222551.19040000005</v>
      </c>
    </row>
    <row r="1356" spans="2:16" ht="12.75">
      <c r="B1356" s="10">
        <v>46079</v>
      </c>
      <c r="C1356" s="11">
        <f>VLOOKUP(B:B,'Курс валют'!A:D,4,0)</f>
        <v>90.321100000000001</v>
      </c>
      <c r="D1356" s="57" t="s">
        <v>1571</v>
      </c>
      <c r="E1356" s="50" t="s">
        <v>15</v>
      </c>
      <c r="F1356" s="58">
        <v>1100</v>
      </c>
      <c r="G1356" s="13">
        <v>1109.0999999999999</v>
      </c>
      <c r="H1356" s="56">
        <v>0</v>
      </c>
      <c r="I1356" s="13">
        <f t="shared" si="142"/>
        <v>9.0999999999999091</v>
      </c>
      <c r="J1356" s="14">
        <f t="shared" si="136"/>
        <v>0.82727272727271906</v>
      </c>
      <c r="K1356" s="56">
        <v>2.2400000000000002</v>
      </c>
      <c r="L1356" s="15">
        <f t="shared" si="137"/>
        <v>0</v>
      </c>
      <c r="M1356" s="16">
        <f t="shared" si="138"/>
        <v>202.31926400000003</v>
      </c>
      <c r="N1356" s="17">
        <f t="shared" si="139"/>
        <v>2.2400000000000002</v>
      </c>
      <c r="O1356" s="17">
        <f t="shared" si="140"/>
        <v>2464.0000000000005</v>
      </c>
      <c r="P1356" s="18">
        <f t="shared" si="141"/>
        <v>222551.19040000005</v>
      </c>
    </row>
    <row r="1357" spans="2:16" ht="12.75">
      <c r="B1357" s="10">
        <v>46079</v>
      </c>
      <c r="C1357" s="11">
        <f>VLOOKUP(B:B,'Курс валют'!A:D,4,0)</f>
        <v>90.321100000000001</v>
      </c>
      <c r="D1357" s="57" t="s">
        <v>1572</v>
      </c>
      <c r="E1357" s="50" t="s">
        <v>15</v>
      </c>
      <c r="F1357" s="58">
        <v>1100</v>
      </c>
      <c r="G1357" s="13">
        <v>1109.0999999999999</v>
      </c>
      <c r="H1357" s="56">
        <v>0</v>
      </c>
      <c r="I1357" s="13">
        <f t="shared" si="142"/>
        <v>9.0999999999999091</v>
      </c>
      <c r="J1357" s="14">
        <f t="shared" si="136"/>
        <v>0.82727272727271906</v>
      </c>
      <c r="K1357" s="56">
        <v>2.2400000000000002</v>
      </c>
      <c r="L1357" s="15">
        <f t="shared" si="137"/>
        <v>0</v>
      </c>
      <c r="M1357" s="16">
        <f t="shared" si="138"/>
        <v>202.31926400000003</v>
      </c>
      <c r="N1357" s="17">
        <f t="shared" si="139"/>
        <v>2.2400000000000002</v>
      </c>
      <c r="O1357" s="17">
        <f t="shared" si="140"/>
        <v>2464.0000000000005</v>
      </c>
      <c r="P1357" s="18">
        <f t="shared" si="141"/>
        <v>222551.19040000005</v>
      </c>
    </row>
    <row r="1358" spans="2:16" ht="12.75">
      <c r="B1358" s="10">
        <v>46079</v>
      </c>
      <c r="C1358" s="11">
        <f>VLOOKUP(B:B,'Курс валют'!A:D,4,0)</f>
        <v>90.321100000000001</v>
      </c>
      <c r="D1358" s="57" t="s">
        <v>1573</v>
      </c>
      <c r="E1358" s="50" t="s">
        <v>15</v>
      </c>
      <c r="F1358" s="58">
        <v>1100</v>
      </c>
      <c r="G1358" s="13">
        <v>1109.0999999999999</v>
      </c>
      <c r="H1358" s="56">
        <v>0</v>
      </c>
      <c r="I1358" s="13">
        <f t="shared" si="142"/>
        <v>9.0999999999999091</v>
      </c>
      <c r="J1358" s="14">
        <f t="shared" si="136"/>
        <v>0.82727272727271906</v>
      </c>
      <c r="K1358" s="56">
        <v>2.2400000000000002</v>
      </c>
      <c r="L1358" s="15">
        <f t="shared" si="137"/>
        <v>0</v>
      </c>
      <c r="M1358" s="16">
        <f t="shared" si="138"/>
        <v>202.31926400000003</v>
      </c>
      <c r="N1358" s="17">
        <f t="shared" si="139"/>
        <v>2.2400000000000002</v>
      </c>
      <c r="O1358" s="17">
        <f t="shared" si="140"/>
        <v>2464.0000000000005</v>
      </c>
      <c r="P1358" s="18">
        <f t="shared" si="141"/>
        <v>222551.19040000005</v>
      </c>
    </row>
    <row r="1359" spans="2:16" ht="12.75">
      <c r="B1359" s="10">
        <v>46079</v>
      </c>
      <c r="C1359" s="11">
        <f>VLOOKUP(B:B,'Курс валют'!A:D,4,0)</f>
        <v>90.321100000000001</v>
      </c>
      <c r="D1359" s="57" t="s">
        <v>1574</v>
      </c>
      <c r="E1359" s="50" t="s">
        <v>15</v>
      </c>
      <c r="F1359" s="58">
        <v>1100</v>
      </c>
      <c r="G1359" s="13">
        <v>1109.0999999999999</v>
      </c>
      <c r="H1359" s="56">
        <v>0</v>
      </c>
      <c r="I1359" s="13">
        <f t="shared" si="142"/>
        <v>9.0999999999999091</v>
      </c>
      <c r="J1359" s="14">
        <f t="shared" si="136"/>
        <v>0.82727272727271906</v>
      </c>
      <c r="K1359" s="56">
        <v>2.2400000000000002</v>
      </c>
      <c r="L1359" s="15">
        <f t="shared" si="137"/>
        <v>0</v>
      </c>
      <c r="M1359" s="16">
        <f t="shared" si="138"/>
        <v>202.31926400000003</v>
      </c>
      <c r="N1359" s="17">
        <f t="shared" si="139"/>
        <v>2.2400000000000002</v>
      </c>
      <c r="O1359" s="17">
        <f t="shared" si="140"/>
        <v>2464.0000000000005</v>
      </c>
      <c r="P1359" s="18">
        <f t="shared" si="141"/>
        <v>222551.19040000005</v>
      </c>
    </row>
    <row r="1360" spans="2:16" ht="12.75">
      <c r="B1360" s="10">
        <v>46079</v>
      </c>
      <c r="C1360" s="11">
        <f>VLOOKUP(B:B,'Курс валют'!A:D,4,0)</f>
        <v>90.321100000000001</v>
      </c>
      <c r="D1360" s="57" t="s">
        <v>1575</v>
      </c>
      <c r="E1360" s="50" t="s">
        <v>15</v>
      </c>
      <c r="F1360" s="58">
        <v>1100</v>
      </c>
      <c r="G1360" s="13">
        <v>1109.0999999999999</v>
      </c>
      <c r="H1360" s="56">
        <v>0</v>
      </c>
      <c r="I1360" s="13">
        <f t="shared" si="142"/>
        <v>9.0999999999999091</v>
      </c>
      <c r="J1360" s="14">
        <f t="shared" si="136"/>
        <v>0.82727272727271906</v>
      </c>
      <c r="K1360" s="56">
        <v>2.2400000000000002</v>
      </c>
      <c r="L1360" s="15">
        <f t="shared" si="137"/>
        <v>0</v>
      </c>
      <c r="M1360" s="16">
        <f t="shared" si="138"/>
        <v>202.31926400000003</v>
      </c>
      <c r="N1360" s="17">
        <f t="shared" si="139"/>
        <v>2.2400000000000002</v>
      </c>
      <c r="O1360" s="17">
        <f t="shared" si="140"/>
        <v>2464.0000000000005</v>
      </c>
      <c r="P1360" s="18">
        <f t="shared" si="141"/>
        <v>222551.19040000005</v>
      </c>
    </row>
    <row r="1361" spans="2:18" ht="12.75">
      <c r="B1361" s="10">
        <v>46079</v>
      </c>
      <c r="C1361" s="11">
        <f>VLOOKUP(B:B,'Курс валют'!A:D,4,0)</f>
        <v>90.321100000000001</v>
      </c>
      <c r="D1361" s="57" t="s">
        <v>1576</v>
      </c>
      <c r="E1361" s="50" t="s">
        <v>207</v>
      </c>
      <c r="F1361" s="58">
        <v>200</v>
      </c>
      <c r="G1361" s="58">
        <v>200</v>
      </c>
      <c r="H1361" s="56">
        <v>0</v>
      </c>
      <c r="I1361" s="58">
        <f t="shared" si="142"/>
        <v>0</v>
      </c>
      <c r="J1361" s="14">
        <f t="shared" si="136"/>
        <v>0</v>
      </c>
      <c r="K1361" s="56">
        <v>2.78</v>
      </c>
      <c r="L1361" s="15">
        <f t="shared" si="137"/>
        <v>0</v>
      </c>
      <c r="M1361" s="16">
        <f t="shared" si="138"/>
        <v>251.092658</v>
      </c>
      <c r="N1361" s="17">
        <f t="shared" si="139"/>
        <v>2.78</v>
      </c>
      <c r="O1361" s="17">
        <f t="shared" si="140"/>
        <v>556</v>
      </c>
      <c r="P1361" s="18">
        <f t="shared" si="141"/>
        <v>50218.531600000002</v>
      </c>
      <c r="R1361" s="33" t="s">
        <v>1577</v>
      </c>
    </row>
    <row r="1362" spans="2:18" ht="12.75">
      <c r="B1362" s="10">
        <v>46079</v>
      </c>
      <c r="C1362" s="11">
        <f>VLOOKUP(B:B,'Курс валют'!A:D,4,0)</f>
        <v>90.321100000000001</v>
      </c>
      <c r="D1362" s="57" t="s">
        <v>1578</v>
      </c>
      <c r="E1362" s="50" t="s">
        <v>57</v>
      </c>
      <c r="F1362" s="58">
        <v>1000</v>
      </c>
      <c r="G1362" s="13">
        <v>1031.7</v>
      </c>
      <c r="H1362" s="56">
        <v>0</v>
      </c>
      <c r="I1362" s="13">
        <f t="shared" si="142"/>
        <v>31.700000000000045</v>
      </c>
      <c r="J1362" s="14">
        <f t="shared" si="136"/>
        <v>3.1700000000000048</v>
      </c>
      <c r="K1362" s="56">
        <v>2.44</v>
      </c>
      <c r="L1362" s="15">
        <f t="shared" si="137"/>
        <v>0</v>
      </c>
      <c r="M1362" s="16">
        <f t="shared" si="138"/>
        <v>220.38348400000001</v>
      </c>
      <c r="N1362" s="17">
        <f t="shared" si="139"/>
        <v>2.44</v>
      </c>
      <c r="O1362" s="17">
        <f t="shared" si="140"/>
        <v>2440</v>
      </c>
      <c r="P1362" s="18">
        <f t="shared" si="141"/>
        <v>220383.484</v>
      </c>
    </row>
    <row r="1363" spans="2:18" ht="12.75">
      <c r="B1363" s="10">
        <v>46080</v>
      </c>
      <c r="C1363" s="11">
        <f>VLOOKUP(B:B,'Курс валют'!A:D,4,0)</f>
        <v>91.028099999999995</v>
      </c>
      <c r="D1363" s="57" t="s">
        <v>1579</v>
      </c>
      <c r="E1363" s="50" t="s">
        <v>204</v>
      </c>
      <c r="F1363" s="58">
        <v>440</v>
      </c>
      <c r="G1363" s="58">
        <v>440</v>
      </c>
      <c r="H1363" s="56"/>
      <c r="I1363" s="58">
        <f t="shared" si="142"/>
        <v>0</v>
      </c>
      <c r="J1363" s="14">
        <f t="shared" si="136"/>
        <v>0</v>
      </c>
      <c r="K1363" s="56"/>
      <c r="L1363" s="15">
        <f t="shared" si="137"/>
        <v>0</v>
      </c>
      <c r="M1363" s="16">
        <f t="shared" si="138"/>
        <v>0</v>
      </c>
      <c r="N1363" s="17">
        <f t="shared" si="139"/>
        <v>0</v>
      </c>
      <c r="O1363" s="17">
        <f t="shared" si="140"/>
        <v>0</v>
      </c>
      <c r="P1363" s="18">
        <f t="shared" si="141"/>
        <v>0</v>
      </c>
      <c r="R1363" s="33" t="s">
        <v>1580</v>
      </c>
    </row>
    <row r="1364" spans="2:18" ht="12.75">
      <c r="B1364" s="10">
        <v>46080</v>
      </c>
      <c r="C1364" s="11">
        <f>VLOOKUP(B:B,'Курс валют'!A:D,4,0)</f>
        <v>91.028099999999995</v>
      </c>
      <c r="D1364" s="57" t="s">
        <v>1581</v>
      </c>
      <c r="E1364" s="50" t="s">
        <v>1582</v>
      </c>
      <c r="F1364" s="58">
        <v>200</v>
      </c>
      <c r="G1364" s="58">
        <v>200</v>
      </c>
      <c r="H1364" s="56">
        <v>0</v>
      </c>
      <c r="I1364" s="58">
        <f t="shared" si="142"/>
        <v>0</v>
      </c>
      <c r="J1364" s="14">
        <f t="shared" si="136"/>
        <v>0</v>
      </c>
      <c r="K1364" s="56">
        <v>2.91</v>
      </c>
      <c r="L1364" s="15">
        <f t="shared" si="137"/>
        <v>0</v>
      </c>
      <c r="M1364" s="16">
        <f t="shared" si="138"/>
        <v>264.89177099999995</v>
      </c>
      <c r="N1364" s="17">
        <f t="shared" si="139"/>
        <v>2.91</v>
      </c>
      <c r="O1364" s="17">
        <f t="shared" si="140"/>
        <v>582</v>
      </c>
      <c r="P1364" s="18">
        <f t="shared" si="141"/>
        <v>52978.354199999994</v>
      </c>
      <c r="R1364" s="33" t="s">
        <v>1583</v>
      </c>
    </row>
    <row r="1365" spans="2:18" ht="12.75">
      <c r="B1365" s="10">
        <v>46080</v>
      </c>
      <c r="C1365" s="11">
        <f>VLOOKUP(B:B,'Курс валют'!A:D,4,0)</f>
        <v>91.028099999999995</v>
      </c>
      <c r="D1365" s="57" t="s">
        <v>1584</v>
      </c>
      <c r="E1365" s="50" t="s">
        <v>61</v>
      </c>
      <c r="F1365" s="58">
        <v>2000</v>
      </c>
      <c r="G1365" s="13">
        <v>2053.52</v>
      </c>
      <c r="H1365" s="56">
        <v>0</v>
      </c>
      <c r="I1365" s="13">
        <f t="shared" si="142"/>
        <v>53.519999999999982</v>
      </c>
      <c r="J1365" s="14">
        <f t="shared" si="136"/>
        <v>2.6759999999999993</v>
      </c>
      <c r="K1365" s="56">
        <v>2.48</v>
      </c>
      <c r="L1365" s="15">
        <f t="shared" si="137"/>
        <v>0</v>
      </c>
      <c r="M1365" s="16">
        <f t="shared" si="138"/>
        <v>225.74968799999999</v>
      </c>
      <c r="N1365" s="17">
        <f t="shared" si="139"/>
        <v>2.48</v>
      </c>
      <c r="O1365" s="17">
        <f t="shared" si="140"/>
        <v>4960</v>
      </c>
      <c r="P1365" s="18">
        <f t="shared" si="141"/>
        <v>451499.37599999999</v>
      </c>
    </row>
    <row r="1366" spans="2:18" ht="12.75">
      <c r="B1366" s="10">
        <v>46080</v>
      </c>
      <c r="C1366" s="11">
        <f>VLOOKUP(B:B,'Курс валют'!A:D,4,0)</f>
        <v>91.028099999999995</v>
      </c>
      <c r="D1366" s="57" t="s">
        <v>1585</v>
      </c>
      <c r="E1366" s="50" t="s">
        <v>15</v>
      </c>
      <c r="F1366" s="58">
        <v>1100</v>
      </c>
      <c r="G1366" s="13">
        <v>1109.0999999999999</v>
      </c>
      <c r="H1366" s="56">
        <v>0</v>
      </c>
      <c r="I1366" s="13">
        <f t="shared" si="142"/>
        <v>9.0999999999999091</v>
      </c>
      <c r="J1366" s="14">
        <f t="shared" si="136"/>
        <v>0.82727272727271906</v>
      </c>
      <c r="K1366" s="56">
        <v>2.21</v>
      </c>
      <c r="L1366" s="15">
        <f t="shared" si="137"/>
        <v>0</v>
      </c>
      <c r="M1366" s="16">
        <f t="shared" si="138"/>
        <v>201.172101</v>
      </c>
      <c r="N1366" s="17">
        <f t="shared" si="139"/>
        <v>2.21</v>
      </c>
      <c r="O1366" s="17">
        <f t="shared" si="140"/>
        <v>2431</v>
      </c>
      <c r="P1366" s="18">
        <f t="shared" si="141"/>
        <v>221289.31109999999</v>
      </c>
    </row>
    <row r="1367" spans="2:18" ht="12.75">
      <c r="B1367" s="10">
        <v>46080</v>
      </c>
      <c r="C1367" s="11">
        <f>VLOOKUP(B:B,'Курс валют'!A:D,4,0)</f>
        <v>91.028099999999995</v>
      </c>
      <c r="D1367" s="57" t="s">
        <v>1586</v>
      </c>
      <c r="E1367" s="26" t="s">
        <v>15</v>
      </c>
      <c r="F1367" s="58">
        <v>1100</v>
      </c>
      <c r="G1367" s="13">
        <v>1109.0999999999999</v>
      </c>
      <c r="H1367" s="56">
        <v>0</v>
      </c>
      <c r="I1367" s="13">
        <f t="shared" si="142"/>
        <v>9.0999999999999091</v>
      </c>
      <c r="J1367" s="14">
        <f t="shared" si="136"/>
        <v>0.82727272727271906</v>
      </c>
      <c r="K1367" s="56">
        <v>2.2000000000000002</v>
      </c>
      <c r="L1367" s="15">
        <f t="shared" si="137"/>
        <v>0</v>
      </c>
      <c r="M1367" s="16">
        <f t="shared" si="138"/>
        <v>200.26181999999997</v>
      </c>
      <c r="N1367" s="17">
        <f t="shared" si="139"/>
        <v>2.2000000000000002</v>
      </c>
      <c r="O1367" s="17">
        <f t="shared" si="140"/>
        <v>2420</v>
      </c>
      <c r="P1367" s="18">
        <f t="shared" si="141"/>
        <v>220288.00199999998</v>
      </c>
    </row>
    <row r="1368" spans="2:18" ht="12.75">
      <c r="B1368" s="10">
        <v>46080</v>
      </c>
      <c r="C1368" s="11">
        <f>VLOOKUP(B:B,'Курс валют'!A:D,4,0)</f>
        <v>91.028099999999995</v>
      </c>
      <c r="D1368" s="57" t="s">
        <v>1587</v>
      </c>
      <c r="E1368" s="26" t="s">
        <v>15</v>
      </c>
      <c r="F1368" s="58">
        <v>1100</v>
      </c>
      <c r="G1368" s="13">
        <v>1109.0999999999999</v>
      </c>
      <c r="H1368" s="56">
        <v>0</v>
      </c>
      <c r="I1368" s="13">
        <f t="shared" si="142"/>
        <v>9.0999999999999091</v>
      </c>
      <c r="J1368" s="14">
        <f t="shared" si="136"/>
        <v>0.82727272727271906</v>
      </c>
      <c r="K1368" s="56">
        <v>2.2000000000000002</v>
      </c>
      <c r="L1368" s="15">
        <f t="shared" si="137"/>
        <v>0</v>
      </c>
      <c r="M1368" s="16">
        <f t="shared" si="138"/>
        <v>200.26181999999997</v>
      </c>
      <c r="N1368" s="17">
        <f t="shared" si="139"/>
        <v>2.2000000000000002</v>
      </c>
      <c r="O1368" s="17">
        <f t="shared" si="140"/>
        <v>2420</v>
      </c>
      <c r="P1368" s="18">
        <f t="shared" si="141"/>
        <v>220288.00199999998</v>
      </c>
    </row>
    <row r="1369" spans="2:18" ht="12.75">
      <c r="B1369" s="10">
        <v>46080</v>
      </c>
      <c r="C1369" s="11">
        <f>VLOOKUP(B:B,'Курс валют'!A:D,4,0)</f>
        <v>91.028099999999995</v>
      </c>
      <c r="D1369" s="57" t="s">
        <v>1587</v>
      </c>
      <c r="E1369" s="26" t="s">
        <v>15</v>
      </c>
      <c r="F1369" s="58">
        <v>1100</v>
      </c>
      <c r="G1369" s="13">
        <v>1109.0999999999999</v>
      </c>
      <c r="H1369" s="56">
        <v>0</v>
      </c>
      <c r="I1369" s="13">
        <f t="shared" si="142"/>
        <v>9.0999999999999091</v>
      </c>
      <c r="J1369" s="14">
        <f t="shared" si="136"/>
        <v>0.82727272727271906</v>
      </c>
      <c r="K1369" s="56">
        <v>2.1800000000000002</v>
      </c>
      <c r="L1369" s="15">
        <f t="shared" si="137"/>
        <v>0</v>
      </c>
      <c r="M1369" s="16">
        <f t="shared" si="138"/>
        <v>198.44125799999998</v>
      </c>
      <c r="N1369" s="17">
        <f t="shared" si="139"/>
        <v>2.1800000000000002</v>
      </c>
      <c r="O1369" s="17">
        <f t="shared" si="140"/>
        <v>2398</v>
      </c>
      <c r="P1369" s="18">
        <f t="shared" si="141"/>
        <v>218285.38379999998</v>
      </c>
    </row>
    <row r="1370" spans="2:18" ht="12.75">
      <c r="B1370" s="10">
        <v>46081</v>
      </c>
      <c r="C1370" s="11">
        <f>VLOOKUP(B:B,'Курс валют'!A:D,4,0)</f>
        <v>91.296499999999995</v>
      </c>
      <c r="D1370" s="57" t="s">
        <v>1588</v>
      </c>
      <c r="E1370" s="50" t="s">
        <v>61</v>
      </c>
      <c r="F1370" s="58">
        <v>2200</v>
      </c>
      <c r="G1370" s="13">
        <v>2239.62</v>
      </c>
      <c r="H1370" s="56">
        <v>0</v>
      </c>
      <c r="I1370" s="13">
        <f t="shared" si="142"/>
        <v>39.619999999999891</v>
      </c>
      <c r="J1370" s="14">
        <f t="shared" si="136"/>
        <v>1.8009090909090859</v>
      </c>
      <c r="K1370" s="56">
        <v>2.4500000000000002</v>
      </c>
      <c r="L1370" s="15">
        <f t="shared" si="137"/>
        <v>0</v>
      </c>
      <c r="M1370" s="16">
        <f t="shared" si="138"/>
        <v>223.67642499999997</v>
      </c>
      <c r="N1370" s="17">
        <f t="shared" si="139"/>
        <v>2.4500000000000002</v>
      </c>
      <c r="O1370" s="17">
        <f t="shared" si="140"/>
        <v>5390</v>
      </c>
      <c r="P1370" s="18">
        <f t="shared" si="141"/>
        <v>492088.13499999995</v>
      </c>
    </row>
    <row r="1371" spans="2:18" ht="12.75">
      <c r="B1371" s="10">
        <v>46081</v>
      </c>
      <c r="C1371" s="11">
        <f>VLOOKUP(B:B,'Курс валют'!A:D,4,0)</f>
        <v>91.296499999999995</v>
      </c>
      <c r="D1371" s="57" t="s">
        <v>1589</v>
      </c>
      <c r="E1371" s="50" t="s">
        <v>113</v>
      </c>
      <c r="F1371" s="58">
        <v>40</v>
      </c>
      <c r="G1371" s="58">
        <v>42.99</v>
      </c>
      <c r="H1371" s="56">
        <v>0</v>
      </c>
      <c r="I1371" s="58">
        <f t="shared" si="142"/>
        <v>2.990000000000002</v>
      </c>
      <c r="J1371" s="14">
        <f t="shared" si="136"/>
        <v>7.475000000000005</v>
      </c>
      <c r="K1371" s="56">
        <v>2.56</v>
      </c>
      <c r="L1371" s="15">
        <f t="shared" si="137"/>
        <v>0</v>
      </c>
      <c r="M1371" s="16">
        <f t="shared" si="138"/>
        <v>233.71904000000001</v>
      </c>
      <c r="N1371" s="17">
        <f t="shared" si="139"/>
        <v>2.56</v>
      </c>
      <c r="O1371" s="17">
        <f t="shared" si="140"/>
        <v>102.4</v>
      </c>
      <c r="P1371" s="18">
        <f t="shared" si="141"/>
        <v>9348.7615999999998</v>
      </c>
    </row>
    <row r="1372" spans="2:18" ht="12.75">
      <c r="B1372" s="10">
        <v>46081</v>
      </c>
      <c r="C1372" s="11">
        <f>VLOOKUP(B:B,'Курс валют'!A:D,4,0)</f>
        <v>91.296499999999995</v>
      </c>
      <c r="D1372" s="57" t="s">
        <v>1590</v>
      </c>
      <c r="E1372" s="26" t="s">
        <v>15</v>
      </c>
      <c r="F1372" s="58">
        <v>1100</v>
      </c>
      <c r="G1372" s="13">
        <v>1109.0999999999999</v>
      </c>
      <c r="H1372" s="56">
        <v>0</v>
      </c>
      <c r="I1372" s="13">
        <f t="shared" si="142"/>
        <v>9.0999999999999091</v>
      </c>
      <c r="J1372" s="14">
        <f t="shared" si="136"/>
        <v>0.82727272727271906</v>
      </c>
      <c r="K1372" s="56">
        <v>2.2000000000000002</v>
      </c>
      <c r="L1372" s="15">
        <f t="shared" si="137"/>
        <v>0</v>
      </c>
      <c r="M1372" s="16">
        <f t="shared" si="138"/>
        <v>200.85229999999999</v>
      </c>
      <c r="N1372" s="17">
        <f t="shared" si="139"/>
        <v>2.2000000000000002</v>
      </c>
      <c r="O1372" s="17">
        <f t="shared" si="140"/>
        <v>2420</v>
      </c>
      <c r="P1372" s="18">
        <f t="shared" si="141"/>
        <v>220937.53</v>
      </c>
    </row>
    <row r="1373" spans="2:18" ht="12.75">
      <c r="B1373" s="10">
        <v>46081</v>
      </c>
      <c r="C1373" s="11">
        <f>VLOOKUP(B:B,'Курс валют'!A:D,4,0)</f>
        <v>91.296499999999995</v>
      </c>
      <c r="D1373" s="57" t="s">
        <v>1591</v>
      </c>
      <c r="E1373" s="26" t="s">
        <v>15</v>
      </c>
      <c r="F1373" s="58">
        <v>1100</v>
      </c>
      <c r="G1373" s="13">
        <v>1109.0999999999999</v>
      </c>
      <c r="H1373" s="56">
        <v>0</v>
      </c>
      <c r="I1373" s="13">
        <f t="shared" si="142"/>
        <v>9.0999999999999091</v>
      </c>
      <c r="J1373" s="14">
        <f t="shared" si="136"/>
        <v>0.82727272727271906</v>
      </c>
      <c r="K1373" s="56">
        <v>2.2000000000000002</v>
      </c>
      <c r="L1373" s="15">
        <f t="shared" si="137"/>
        <v>0</v>
      </c>
      <c r="M1373" s="16">
        <f t="shared" si="138"/>
        <v>200.85229999999999</v>
      </c>
      <c r="N1373" s="17">
        <f t="shared" si="139"/>
        <v>2.2000000000000002</v>
      </c>
      <c r="O1373" s="17">
        <f t="shared" si="140"/>
        <v>2420</v>
      </c>
      <c r="P1373" s="18">
        <f t="shared" si="141"/>
        <v>220937.53</v>
      </c>
    </row>
    <row r="1374" spans="2:18" ht="12.75">
      <c r="B1374" s="10">
        <v>46081</v>
      </c>
      <c r="C1374" s="11">
        <f>VLOOKUP(B:B,'Курс валют'!A:D,4,0)</f>
        <v>91.296499999999995</v>
      </c>
      <c r="D1374" s="57" t="s">
        <v>1592</v>
      </c>
      <c r="E1374" s="26" t="s">
        <v>15</v>
      </c>
      <c r="F1374" s="58">
        <v>1100</v>
      </c>
      <c r="G1374" s="13">
        <v>1109.0999999999999</v>
      </c>
      <c r="H1374" s="56">
        <v>0</v>
      </c>
      <c r="I1374" s="13">
        <f t="shared" si="142"/>
        <v>9.0999999999999091</v>
      </c>
      <c r="J1374" s="14">
        <f t="shared" si="136"/>
        <v>0.82727272727271906</v>
      </c>
      <c r="K1374" s="56">
        <v>2.2000000000000002</v>
      </c>
      <c r="L1374" s="15">
        <f t="shared" si="137"/>
        <v>0</v>
      </c>
      <c r="M1374" s="16">
        <f t="shared" si="138"/>
        <v>200.85229999999999</v>
      </c>
      <c r="N1374" s="17">
        <f t="shared" si="139"/>
        <v>2.2000000000000002</v>
      </c>
      <c r="O1374" s="17">
        <f t="shared" si="140"/>
        <v>2420</v>
      </c>
      <c r="P1374" s="18">
        <f t="shared" si="141"/>
        <v>220937.53</v>
      </c>
    </row>
    <row r="1375" spans="2:18" ht="12.75">
      <c r="B1375" s="10">
        <v>46081</v>
      </c>
      <c r="C1375" s="11">
        <f>VLOOKUP(B:B,'Курс валют'!A:D,4,0)</f>
        <v>91.296499999999995</v>
      </c>
      <c r="D1375" s="57" t="s">
        <v>1593</v>
      </c>
      <c r="E1375" s="26" t="s">
        <v>15</v>
      </c>
      <c r="F1375" s="58">
        <v>1100</v>
      </c>
      <c r="G1375" s="13">
        <v>1109.0999999999999</v>
      </c>
      <c r="H1375" s="56">
        <v>0</v>
      </c>
      <c r="I1375" s="13">
        <f t="shared" si="142"/>
        <v>9.0999999999999091</v>
      </c>
      <c r="J1375" s="14">
        <f t="shared" si="136"/>
        <v>0.82727272727271906</v>
      </c>
      <c r="K1375" s="56">
        <v>2.21</v>
      </c>
      <c r="L1375" s="15">
        <f t="shared" si="137"/>
        <v>0</v>
      </c>
      <c r="M1375" s="16">
        <f t="shared" si="138"/>
        <v>201.765265</v>
      </c>
      <c r="N1375" s="17">
        <f t="shared" si="139"/>
        <v>2.21</v>
      </c>
      <c r="O1375" s="17">
        <f t="shared" si="140"/>
        <v>2431</v>
      </c>
      <c r="P1375" s="18">
        <f t="shared" si="141"/>
        <v>221941.79149999999</v>
      </c>
    </row>
    <row r="1376" spans="2:18" ht="12.75">
      <c r="B1376" s="10">
        <v>46081</v>
      </c>
      <c r="C1376" s="11">
        <f>VLOOKUP(B:B,'Курс валют'!A:D,4,0)</f>
        <v>91.296499999999995</v>
      </c>
      <c r="D1376" s="57" t="s">
        <v>1594</v>
      </c>
      <c r="E1376" s="26" t="s">
        <v>15</v>
      </c>
      <c r="F1376" s="58">
        <v>1100</v>
      </c>
      <c r="G1376" s="13">
        <v>1109.0999999999999</v>
      </c>
      <c r="H1376" s="56">
        <v>0</v>
      </c>
      <c r="I1376" s="13">
        <f t="shared" si="142"/>
        <v>9.0999999999999091</v>
      </c>
      <c r="J1376" s="14">
        <f t="shared" si="136"/>
        <v>0.82727272727271906</v>
      </c>
      <c r="K1376" s="56">
        <v>2.2000000000000002</v>
      </c>
      <c r="L1376" s="15">
        <f t="shared" si="137"/>
        <v>0</v>
      </c>
      <c r="M1376" s="16">
        <f t="shared" si="138"/>
        <v>200.85229999999999</v>
      </c>
      <c r="N1376" s="17">
        <f t="shared" si="139"/>
        <v>2.2000000000000002</v>
      </c>
      <c r="O1376" s="17">
        <f t="shared" si="140"/>
        <v>2420</v>
      </c>
      <c r="P1376" s="18">
        <f t="shared" si="141"/>
        <v>220937.53</v>
      </c>
    </row>
    <row r="1377" spans="1:27" ht="12.75">
      <c r="B1377" s="10">
        <v>46081</v>
      </c>
      <c r="C1377" s="11">
        <f>VLOOKUP(B:B,'Курс валют'!A:D,4,0)</f>
        <v>91.296499999999995</v>
      </c>
      <c r="D1377" s="57" t="s">
        <v>1595</v>
      </c>
      <c r="E1377" s="26" t="s">
        <v>15</v>
      </c>
      <c r="F1377" s="58">
        <v>1100</v>
      </c>
      <c r="G1377" s="13">
        <v>1109.0999999999999</v>
      </c>
      <c r="H1377" s="56">
        <v>0</v>
      </c>
      <c r="I1377" s="13">
        <f t="shared" si="142"/>
        <v>9.0999999999999091</v>
      </c>
      <c r="J1377" s="14">
        <f t="shared" si="136"/>
        <v>0.82727272727271906</v>
      </c>
      <c r="K1377" s="56">
        <v>2.2000000000000002</v>
      </c>
      <c r="L1377" s="15">
        <f t="shared" si="137"/>
        <v>0</v>
      </c>
      <c r="M1377" s="16">
        <f t="shared" si="138"/>
        <v>200.85229999999999</v>
      </c>
      <c r="N1377" s="17">
        <f t="shared" si="139"/>
        <v>2.2000000000000002</v>
      </c>
      <c r="O1377" s="17">
        <f t="shared" si="140"/>
        <v>2420</v>
      </c>
      <c r="P1377" s="18">
        <f t="shared" si="141"/>
        <v>220937.53</v>
      </c>
    </row>
    <row r="1378" spans="1:27" ht="12.75">
      <c r="B1378" s="10">
        <v>46081</v>
      </c>
      <c r="C1378" s="11">
        <f>VLOOKUP(B:B,'Курс валют'!A:D,4,0)</f>
        <v>91.296499999999995</v>
      </c>
      <c r="D1378" s="57" t="s">
        <v>1596</v>
      </c>
      <c r="E1378" s="26" t="s">
        <v>15</v>
      </c>
      <c r="F1378" s="58">
        <v>1100</v>
      </c>
      <c r="G1378" s="13">
        <v>1109.0999999999999</v>
      </c>
      <c r="H1378" s="56">
        <v>0</v>
      </c>
      <c r="I1378" s="13">
        <f t="shared" si="142"/>
        <v>9.0999999999999091</v>
      </c>
      <c r="J1378" s="14">
        <f t="shared" si="136"/>
        <v>0.82727272727271906</v>
      </c>
      <c r="K1378" s="56">
        <v>2.2000000000000002</v>
      </c>
      <c r="L1378" s="15">
        <f t="shared" si="137"/>
        <v>0</v>
      </c>
      <c r="M1378" s="16">
        <f t="shared" si="138"/>
        <v>200.85229999999999</v>
      </c>
      <c r="N1378" s="17">
        <f t="shared" si="139"/>
        <v>2.2000000000000002</v>
      </c>
      <c r="O1378" s="17">
        <f t="shared" si="140"/>
        <v>2420</v>
      </c>
      <c r="P1378" s="18">
        <f t="shared" si="141"/>
        <v>220937.53</v>
      </c>
    </row>
    <row r="1379" spans="1:27" ht="12.75">
      <c r="B1379" s="10">
        <v>46081</v>
      </c>
      <c r="C1379" s="11">
        <f>VLOOKUP(B:B,'Курс валют'!A:D,4,0)</f>
        <v>91.296499999999995</v>
      </c>
      <c r="D1379" s="57" t="s">
        <v>1597</v>
      </c>
      <c r="E1379" s="26" t="s">
        <v>15</v>
      </c>
      <c r="F1379" s="58">
        <v>1100</v>
      </c>
      <c r="G1379" s="13">
        <v>1109.0999999999999</v>
      </c>
      <c r="H1379" s="56">
        <v>0</v>
      </c>
      <c r="I1379" s="13">
        <f t="shared" si="142"/>
        <v>9.0999999999999091</v>
      </c>
      <c r="J1379" s="14">
        <f t="shared" si="136"/>
        <v>0.82727272727271906</v>
      </c>
      <c r="K1379" s="56">
        <v>2.2000000000000002</v>
      </c>
      <c r="L1379" s="15">
        <f t="shared" si="137"/>
        <v>0</v>
      </c>
      <c r="M1379" s="16">
        <f t="shared" si="138"/>
        <v>200.85229999999999</v>
      </c>
      <c r="N1379" s="17">
        <f t="shared" si="139"/>
        <v>2.2000000000000002</v>
      </c>
      <c r="O1379" s="17">
        <f t="shared" si="140"/>
        <v>2420</v>
      </c>
      <c r="P1379" s="18">
        <f t="shared" si="141"/>
        <v>220937.53</v>
      </c>
    </row>
    <row r="1380" spans="1:27" ht="12.75">
      <c r="A1380" s="10"/>
      <c r="B1380" s="10">
        <v>46082</v>
      </c>
      <c r="C1380" s="11">
        <f>VLOOKUP(B:B,'Курс валют'!A:D,4,0)</f>
        <v>91.296499999999995</v>
      </c>
      <c r="D1380" s="45" t="s">
        <v>1094</v>
      </c>
      <c r="E1380" s="62" t="s">
        <v>61</v>
      </c>
      <c r="F1380" s="11">
        <v>2200</v>
      </c>
      <c r="G1380" s="15">
        <v>2241.62</v>
      </c>
      <c r="H1380" s="56">
        <v>0</v>
      </c>
      <c r="I1380" s="13">
        <f t="shared" ref="I1380:I1402" si="143">G1380-F1380</f>
        <v>41.619999999999891</v>
      </c>
      <c r="J1380" s="14">
        <f t="shared" ref="J1380:J1702" si="144">I1380/F1380*100</f>
        <v>1.8918181818181767</v>
      </c>
      <c r="K1380" s="46">
        <v>2.4500000000000002</v>
      </c>
      <c r="L1380" s="15">
        <f t="shared" ref="L1380:L1702" si="145">H1380/F1380*100</f>
        <v>0</v>
      </c>
      <c r="M1380" s="16">
        <f t="shared" ref="M1380:M1702" si="146">P1380/F1380</f>
        <v>223.67642499999997</v>
      </c>
      <c r="N1380" s="17">
        <f t="shared" ref="N1380:N1702" si="147">(F1380*K1380-H1380*3.04)/F1380</f>
        <v>2.4500000000000002</v>
      </c>
      <c r="O1380" s="17">
        <f t="shared" ref="O1380:O1702" si="148">N1380*F1380</f>
        <v>5390</v>
      </c>
      <c r="P1380" s="18">
        <f t="shared" ref="P1380:P1702" si="149">O1380*C1380</f>
        <v>492088.13499999995</v>
      </c>
      <c r="R1380" s="66"/>
      <c r="S1380" s="19"/>
      <c r="T1380" s="20"/>
      <c r="U1380" s="20"/>
      <c r="V1380" s="20"/>
      <c r="W1380" s="20"/>
      <c r="X1380" s="20"/>
      <c r="Y1380" s="20"/>
      <c r="Z1380" s="20"/>
      <c r="AA1380" s="20"/>
    </row>
    <row r="1381" spans="1:27" ht="12.75">
      <c r="A1381" s="10"/>
      <c r="B1381" s="10">
        <v>46082</v>
      </c>
      <c r="C1381" s="11">
        <f>VLOOKUP(B:B,'Курс валют'!A:D,4,0)</f>
        <v>91.296499999999995</v>
      </c>
      <c r="D1381" s="57" t="s">
        <v>1095</v>
      </c>
      <c r="E1381" s="12" t="s">
        <v>112</v>
      </c>
      <c r="F1381" s="58">
        <v>20</v>
      </c>
      <c r="G1381" s="58">
        <v>23.02</v>
      </c>
      <c r="H1381" s="56">
        <v>0</v>
      </c>
      <c r="I1381" s="58">
        <f t="shared" si="143"/>
        <v>3.0199999999999996</v>
      </c>
      <c r="J1381" s="14">
        <f t="shared" si="144"/>
        <v>15.099999999999996</v>
      </c>
      <c r="K1381" s="56">
        <v>3.16</v>
      </c>
      <c r="L1381" s="15">
        <f t="shared" si="145"/>
        <v>0</v>
      </c>
      <c r="M1381" s="16">
        <f t="shared" si="146"/>
        <v>288.49694</v>
      </c>
      <c r="N1381" s="17">
        <f t="shared" si="147"/>
        <v>3.16</v>
      </c>
      <c r="O1381" s="17">
        <f t="shared" si="148"/>
        <v>63.2</v>
      </c>
      <c r="P1381" s="18">
        <f t="shared" si="149"/>
        <v>5769.9387999999999</v>
      </c>
      <c r="R1381" s="66"/>
      <c r="S1381" s="19"/>
      <c r="T1381" s="20"/>
      <c r="U1381" s="20"/>
      <c r="V1381" s="20"/>
      <c r="W1381" s="20"/>
      <c r="X1381" s="20"/>
      <c r="Y1381" s="20"/>
      <c r="Z1381" s="20"/>
      <c r="AA1381" s="20"/>
    </row>
    <row r="1382" spans="1:27" ht="12.75">
      <c r="A1382" s="10"/>
      <c r="B1382" s="10">
        <v>46082</v>
      </c>
      <c r="C1382" s="11">
        <f>VLOOKUP(B:B,'Курс валют'!A:D,4,0)</f>
        <v>91.296499999999995</v>
      </c>
      <c r="D1382" s="57" t="s">
        <v>1096</v>
      </c>
      <c r="E1382" s="12" t="s">
        <v>15</v>
      </c>
      <c r="F1382" s="58">
        <v>1100</v>
      </c>
      <c r="G1382" s="13">
        <v>1109.0999999999999</v>
      </c>
      <c r="H1382" s="56">
        <v>0</v>
      </c>
      <c r="I1382" s="13">
        <f t="shared" si="143"/>
        <v>9.0999999999999091</v>
      </c>
      <c r="J1382" s="14">
        <f t="shared" si="144"/>
        <v>0.82727272727271906</v>
      </c>
      <c r="K1382" s="56">
        <v>2.2000000000000002</v>
      </c>
      <c r="L1382" s="15">
        <f t="shared" si="145"/>
        <v>0</v>
      </c>
      <c r="M1382" s="16">
        <f t="shared" si="146"/>
        <v>200.85229999999999</v>
      </c>
      <c r="N1382" s="17">
        <f t="shared" si="147"/>
        <v>2.2000000000000002</v>
      </c>
      <c r="O1382" s="17">
        <f t="shared" si="148"/>
        <v>2420</v>
      </c>
      <c r="P1382" s="18">
        <f t="shared" si="149"/>
        <v>220937.53</v>
      </c>
      <c r="R1382" s="66"/>
      <c r="S1382" s="19"/>
      <c r="T1382" s="20"/>
      <c r="U1382" s="20"/>
      <c r="V1382" s="20"/>
      <c r="W1382" s="20"/>
      <c r="X1382" s="20"/>
      <c r="Y1382" s="20"/>
      <c r="Z1382" s="20"/>
      <c r="AA1382" s="20"/>
    </row>
    <row r="1383" spans="1:27" ht="12.75">
      <c r="A1383" s="10"/>
      <c r="B1383" s="10">
        <v>46082</v>
      </c>
      <c r="C1383" s="11">
        <f>VLOOKUP(B:B,'Курс валют'!A:D,4,0)</f>
        <v>91.296499999999995</v>
      </c>
      <c r="D1383" s="57" t="s">
        <v>1097</v>
      </c>
      <c r="E1383" s="12" t="s">
        <v>15</v>
      </c>
      <c r="F1383" s="58">
        <v>1100</v>
      </c>
      <c r="G1383" s="13">
        <v>1109.0999999999999</v>
      </c>
      <c r="H1383" s="56">
        <v>0</v>
      </c>
      <c r="I1383" s="13">
        <f t="shared" si="143"/>
        <v>9.0999999999999091</v>
      </c>
      <c r="J1383" s="14">
        <f t="shared" si="144"/>
        <v>0.82727272727271906</v>
      </c>
      <c r="K1383" s="56">
        <v>2.2000000000000002</v>
      </c>
      <c r="L1383" s="15">
        <f t="shared" si="145"/>
        <v>0</v>
      </c>
      <c r="M1383" s="16">
        <f t="shared" si="146"/>
        <v>200.85229999999999</v>
      </c>
      <c r="N1383" s="17">
        <f t="shared" si="147"/>
        <v>2.2000000000000002</v>
      </c>
      <c r="O1383" s="17">
        <f t="shared" si="148"/>
        <v>2420</v>
      </c>
      <c r="P1383" s="18">
        <f t="shared" si="149"/>
        <v>220937.53</v>
      </c>
      <c r="R1383" s="66"/>
      <c r="S1383" s="19"/>
      <c r="T1383" s="20"/>
      <c r="U1383" s="20"/>
      <c r="V1383" s="20"/>
      <c r="W1383" s="20"/>
      <c r="X1383" s="20"/>
      <c r="Y1383" s="20"/>
      <c r="Z1383" s="20"/>
      <c r="AA1383" s="20"/>
    </row>
    <row r="1384" spans="1:27" ht="12.75">
      <c r="A1384" s="10"/>
      <c r="B1384" s="10">
        <v>46082</v>
      </c>
      <c r="C1384" s="11">
        <f>VLOOKUP(B:B,'Курс валют'!A:D,4,0)</f>
        <v>91.296499999999995</v>
      </c>
      <c r="D1384" s="57" t="s">
        <v>1098</v>
      </c>
      <c r="E1384" s="12" t="s">
        <v>15</v>
      </c>
      <c r="F1384" s="58">
        <v>1100</v>
      </c>
      <c r="G1384" s="13">
        <v>1109.0999999999999</v>
      </c>
      <c r="H1384" s="56">
        <v>0</v>
      </c>
      <c r="I1384" s="13">
        <f t="shared" si="143"/>
        <v>9.0999999999999091</v>
      </c>
      <c r="J1384" s="14">
        <f t="shared" si="144"/>
        <v>0.82727272727271906</v>
      </c>
      <c r="K1384" s="56">
        <v>2.2000000000000002</v>
      </c>
      <c r="L1384" s="15">
        <f t="shared" si="145"/>
        <v>0</v>
      </c>
      <c r="M1384" s="16">
        <f t="shared" si="146"/>
        <v>200.85229999999999</v>
      </c>
      <c r="N1384" s="17">
        <f t="shared" si="147"/>
        <v>2.2000000000000002</v>
      </c>
      <c r="O1384" s="17">
        <f t="shared" si="148"/>
        <v>2420</v>
      </c>
      <c r="P1384" s="18">
        <f t="shared" si="149"/>
        <v>220937.53</v>
      </c>
      <c r="R1384" s="66"/>
      <c r="S1384" s="19"/>
      <c r="T1384" s="20"/>
      <c r="U1384" s="20"/>
      <c r="V1384" s="20"/>
      <c r="W1384" s="20"/>
      <c r="X1384" s="20"/>
      <c r="Y1384" s="20"/>
      <c r="Z1384" s="20"/>
      <c r="AA1384" s="20"/>
    </row>
    <row r="1385" spans="1:27" ht="12.75">
      <c r="A1385" s="10"/>
      <c r="B1385" s="10">
        <v>46082</v>
      </c>
      <c r="C1385" s="11">
        <f>VLOOKUP(B:B,'Курс валют'!A:D,4,0)</f>
        <v>91.296499999999995</v>
      </c>
      <c r="D1385" s="57" t="s">
        <v>1099</v>
      </c>
      <c r="E1385" s="12" t="s">
        <v>15</v>
      </c>
      <c r="F1385" s="58">
        <v>1100</v>
      </c>
      <c r="G1385" s="13">
        <v>1109.0999999999999</v>
      </c>
      <c r="H1385" s="56">
        <v>0</v>
      </c>
      <c r="I1385" s="13">
        <f t="shared" si="143"/>
        <v>9.0999999999999091</v>
      </c>
      <c r="J1385" s="14">
        <f t="shared" si="144"/>
        <v>0.82727272727271906</v>
      </c>
      <c r="K1385" s="56">
        <v>2.2000000000000002</v>
      </c>
      <c r="L1385" s="15">
        <f t="shared" si="145"/>
        <v>0</v>
      </c>
      <c r="M1385" s="16">
        <f t="shared" si="146"/>
        <v>200.85229999999999</v>
      </c>
      <c r="N1385" s="17">
        <f t="shared" si="147"/>
        <v>2.2000000000000002</v>
      </c>
      <c r="O1385" s="17">
        <f t="shared" si="148"/>
        <v>2420</v>
      </c>
      <c r="P1385" s="18">
        <f t="shared" si="149"/>
        <v>220937.53</v>
      </c>
      <c r="R1385" s="66"/>
      <c r="S1385" s="19"/>
      <c r="T1385" s="20"/>
      <c r="U1385" s="20"/>
      <c r="V1385" s="20"/>
      <c r="W1385" s="20"/>
      <c r="X1385" s="20"/>
      <c r="Y1385" s="20"/>
      <c r="Z1385" s="20"/>
      <c r="AA1385" s="20"/>
    </row>
    <row r="1386" spans="1:27" ht="12.75">
      <c r="A1386" s="10"/>
      <c r="B1386" s="10">
        <v>46082</v>
      </c>
      <c r="C1386" s="11">
        <f>VLOOKUP(B:B,'Курс валют'!A:D,4,0)</f>
        <v>91.296499999999995</v>
      </c>
      <c r="D1386" s="57" t="s">
        <v>1100</v>
      </c>
      <c r="E1386" s="12" t="s">
        <v>15</v>
      </c>
      <c r="F1386" s="58">
        <v>1100</v>
      </c>
      <c r="G1386" s="13">
        <v>1109.0999999999999</v>
      </c>
      <c r="H1386" s="56">
        <v>0</v>
      </c>
      <c r="I1386" s="13">
        <f t="shared" si="143"/>
        <v>9.0999999999999091</v>
      </c>
      <c r="J1386" s="14">
        <f t="shared" si="144"/>
        <v>0.82727272727271906</v>
      </c>
      <c r="K1386" s="56">
        <v>2.2000000000000002</v>
      </c>
      <c r="L1386" s="15">
        <f t="shared" si="145"/>
        <v>0</v>
      </c>
      <c r="M1386" s="16">
        <f t="shared" si="146"/>
        <v>200.85229999999999</v>
      </c>
      <c r="N1386" s="17">
        <f t="shared" si="147"/>
        <v>2.2000000000000002</v>
      </c>
      <c r="O1386" s="17">
        <f t="shared" si="148"/>
        <v>2420</v>
      </c>
      <c r="P1386" s="18">
        <f t="shared" si="149"/>
        <v>220937.53</v>
      </c>
      <c r="R1386" s="66"/>
      <c r="S1386" s="19"/>
      <c r="T1386" s="20"/>
      <c r="U1386" s="20"/>
      <c r="V1386" s="20"/>
      <c r="W1386" s="20"/>
      <c r="X1386" s="20"/>
      <c r="Y1386" s="20"/>
      <c r="Z1386" s="20"/>
      <c r="AA1386" s="20"/>
    </row>
    <row r="1387" spans="1:27" ht="12.75">
      <c r="A1387" s="10"/>
      <c r="B1387" s="10">
        <v>46082</v>
      </c>
      <c r="C1387" s="11">
        <f>VLOOKUP(B:B,'Курс валют'!A:D,4,0)</f>
        <v>91.296499999999995</v>
      </c>
      <c r="D1387" s="57" t="s">
        <v>1101</v>
      </c>
      <c r="E1387" s="12" t="s">
        <v>15</v>
      </c>
      <c r="F1387" s="58">
        <v>1100</v>
      </c>
      <c r="G1387" s="13">
        <v>1109.0999999999999</v>
      </c>
      <c r="H1387" s="56">
        <v>206.62</v>
      </c>
      <c r="I1387" s="13">
        <f t="shared" si="143"/>
        <v>9.0999999999999091</v>
      </c>
      <c r="J1387" s="14">
        <f t="shared" si="144"/>
        <v>0.82727272727271906</v>
      </c>
      <c r="K1387" s="56">
        <v>2.77</v>
      </c>
      <c r="L1387" s="15">
        <f t="shared" si="145"/>
        <v>18.783636363636365</v>
      </c>
      <c r="M1387" s="16">
        <f t="shared" si="146"/>
        <v>200.75894517890907</v>
      </c>
      <c r="N1387" s="17">
        <f t="shared" si="147"/>
        <v>2.1989774545454543</v>
      </c>
      <c r="O1387" s="17">
        <f t="shared" si="148"/>
        <v>2418.8751999999999</v>
      </c>
      <c r="P1387" s="18">
        <f t="shared" si="149"/>
        <v>220834.83969679999</v>
      </c>
      <c r="R1387" s="66"/>
      <c r="S1387" s="19"/>
      <c r="T1387" s="20"/>
      <c r="U1387" s="20"/>
      <c r="V1387" s="20"/>
      <c r="W1387" s="20"/>
      <c r="X1387" s="20"/>
      <c r="Y1387" s="20"/>
      <c r="Z1387" s="20"/>
      <c r="AA1387" s="20"/>
    </row>
    <row r="1388" spans="1:27" ht="12.75">
      <c r="A1388" s="10"/>
      <c r="B1388" s="10">
        <v>46082</v>
      </c>
      <c r="C1388" s="11">
        <f>VLOOKUP(B:B,'Курс валют'!A:D,4,0)</f>
        <v>91.296499999999995</v>
      </c>
      <c r="D1388" s="57" t="s">
        <v>1102</v>
      </c>
      <c r="E1388" s="12" t="s">
        <v>15</v>
      </c>
      <c r="F1388" s="58">
        <v>1100</v>
      </c>
      <c r="G1388" s="13">
        <v>1109.0999999999999</v>
      </c>
      <c r="H1388" s="56">
        <v>483.9</v>
      </c>
      <c r="I1388" s="13">
        <f t="shared" si="143"/>
        <v>9.0999999999999091</v>
      </c>
      <c r="J1388" s="14">
        <f t="shared" si="144"/>
        <v>0.82727272727271906</v>
      </c>
      <c r="K1388" s="56">
        <v>3.53</v>
      </c>
      <c r="L1388" s="15">
        <f t="shared" si="145"/>
        <v>43.990909090909085</v>
      </c>
      <c r="M1388" s="16">
        <f t="shared" si="146"/>
        <v>200.18367763272724</v>
      </c>
      <c r="N1388" s="17">
        <f t="shared" si="147"/>
        <v>2.1926763636363638</v>
      </c>
      <c r="O1388" s="17">
        <f t="shared" si="148"/>
        <v>2411.944</v>
      </c>
      <c r="P1388" s="18">
        <f t="shared" si="149"/>
        <v>220202.04539599997</v>
      </c>
      <c r="R1388" s="66"/>
      <c r="S1388" s="19"/>
      <c r="T1388" s="20"/>
      <c r="U1388" s="20"/>
      <c r="V1388" s="20"/>
      <c r="W1388" s="20"/>
      <c r="X1388" s="20"/>
      <c r="Y1388" s="20"/>
      <c r="Z1388" s="20"/>
      <c r="AA1388" s="20"/>
    </row>
    <row r="1389" spans="1:27" ht="12.75">
      <c r="A1389" s="10"/>
      <c r="B1389" s="10">
        <v>46082</v>
      </c>
      <c r="C1389" s="11">
        <f>VLOOKUP(B:B,'Курс валют'!A:D,4,0)</f>
        <v>91.296499999999995</v>
      </c>
      <c r="D1389" s="57" t="s">
        <v>1103</v>
      </c>
      <c r="E1389" s="12" t="s">
        <v>15</v>
      </c>
      <c r="F1389" s="58">
        <v>1100</v>
      </c>
      <c r="G1389" s="13">
        <v>1109.0999999999999</v>
      </c>
      <c r="H1389" s="56">
        <v>483.9</v>
      </c>
      <c r="I1389" s="13">
        <f t="shared" si="143"/>
        <v>9.0999999999999091</v>
      </c>
      <c r="J1389" s="14">
        <f t="shared" si="144"/>
        <v>0.82727272727271906</v>
      </c>
      <c r="K1389" s="56">
        <v>3.53</v>
      </c>
      <c r="L1389" s="15">
        <f t="shared" si="145"/>
        <v>43.990909090909085</v>
      </c>
      <c r="M1389" s="16">
        <f t="shared" si="146"/>
        <v>200.18367763272724</v>
      </c>
      <c r="N1389" s="17">
        <f t="shared" si="147"/>
        <v>2.1926763636363638</v>
      </c>
      <c r="O1389" s="17">
        <f t="shared" si="148"/>
        <v>2411.944</v>
      </c>
      <c r="P1389" s="18">
        <f t="shared" si="149"/>
        <v>220202.04539599997</v>
      </c>
      <c r="R1389" s="66"/>
      <c r="S1389" s="19"/>
      <c r="T1389" s="20"/>
      <c r="U1389" s="20"/>
      <c r="V1389" s="20"/>
      <c r="W1389" s="20"/>
      <c r="X1389" s="20"/>
      <c r="Y1389" s="20"/>
      <c r="Z1389" s="20"/>
      <c r="AA1389" s="20"/>
    </row>
    <row r="1390" spans="1:27" ht="12.75">
      <c r="A1390" s="10"/>
      <c r="B1390" s="10">
        <v>46083</v>
      </c>
      <c r="C1390" s="11">
        <f>VLOOKUP(B:B,'Курс валют'!A:D,4,0)</f>
        <v>91.296499999999995</v>
      </c>
      <c r="D1390" s="57" t="s">
        <v>1104</v>
      </c>
      <c r="E1390" s="12" t="s">
        <v>58</v>
      </c>
      <c r="F1390" s="58">
        <v>1100</v>
      </c>
      <c r="G1390" s="13">
        <v>1105.46</v>
      </c>
      <c r="H1390" s="22">
        <v>438.5</v>
      </c>
      <c r="I1390" s="13">
        <f t="shared" si="143"/>
        <v>5.4600000000000364</v>
      </c>
      <c r="J1390" s="14">
        <f t="shared" si="144"/>
        <v>0.49636363636363967</v>
      </c>
      <c r="K1390" s="56">
        <v>3.49</v>
      </c>
      <c r="L1390" s="15">
        <f t="shared" si="145"/>
        <v>39.86363636363636</v>
      </c>
      <c r="M1390" s="16">
        <f t="shared" si="146"/>
        <v>207.98670649090911</v>
      </c>
      <c r="N1390" s="17">
        <f t="shared" si="147"/>
        <v>2.2781454545454549</v>
      </c>
      <c r="O1390" s="17">
        <f t="shared" si="148"/>
        <v>2505.9600000000005</v>
      </c>
      <c r="P1390" s="18">
        <f t="shared" si="149"/>
        <v>228785.37714000003</v>
      </c>
      <c r="R1390" s="66"/>
      <c r="S1390" s="19"/>
      <c r="T1390" s="20"/>
      <c r="U1390" s="20"/>
      <c r="V1390" s="20"/>
      <c r="W1390" s="20"/>
      <c r="X1390" s="20"/>
      <c r="Y1390" s="20"/>
      <c r="Z1390" s="20"/>
      <c r="AA1390" s="20"/>
    </row>
    <row r="1391" spans="1:27" ht="12.75">
      <c r="A1391" s="10"/>
      <c r="B1391" s="10">
        <v>46083</v>
      </c>
      <c r="C1391" s="11">
        <f>VLOOKUP(B:B,'Курс валют'!A:D,4,0)</f>
        <v>91.296499999999995</v>
      </c>
      <c r="D1391" s="57" t="s">
        <v>1105</v>
      </c>
      <c r="E1391" s="12" t="s">
        <v>58</v>
      </c>
      <c r="F1391" s="58">
        <v>1100</v>
      </c>
      <c r="G1391" s="13">
        <v>1105.46</v>
      </c>
      <c r="H1391" s="22">
        <v>438.5</v>
      </c>
      <c r="I1391" s="13">
        <f t="shared" si="143"/>
        <v>5.4600000000000364</v>
      </c>
      <c r="J1391" s="14">
        <f t="shared" si="144"/>
        <v>0.49636363636363967</v>
      </c>
      <c r="K1391" s="56">
        <v>3.49</v>
      </c>
      <c r="L1391" s="15">
        <f t="shared" si="145"/>
        <v>39.86363636363636</v>
      </c>
      <c r="M1391" s="16">
        <f t="shared" si="146"/>
        <v>207.98670649090911</v>
      </c>
      <c r="N1391" s="23">
        <f t="shared" si="147"/>
        <v>2.2781454545454549</v>
      </c>
      <c r="O1391" s="17">
        <f t="shared" si="148"/>
        <v>2505.9600000000005</v>
      </c>
      <c r="P1391" s="18">
        <f t="shared" si="149"/>
        <v>228785.37714000003</v>
      </c>
      <c r="R1391" s="66"/>
      <c r="S1391" s="19"/>
      <c r="T1391" s="20"/>
      <c r="U1391" s="20"/>
      <c r="V1391" s="20"/>
      <c r="W1391" s="20"/>
      <c r="X1391" s="20"/>
      <c r="Y1391" s="20"/>
      <c r="Z1391" s="20"/>
      <c r="AA1391" s="20"/>
    </row>
    <row r="1392" spans="1:27" ht="12.75">
      <c r="A1392" s="10"/>
      <c r="B1392" s="10">
        <v>46083</v>
      </c>
      <c r="C1392" s="11">
        <f>VLOOKUP(B:B,'Курс валют'!A:D,4,0)</f>
        <v>91.296499999999995</v>
      </c>
      <c r="D1392" s="57" t="s">
        <v>1106</v>
      </c>
      <c r="E1392" s="12" t="s">
        <v>58</v>
      </c>
      <c r="F1392" s="58">
        <v>1100</v>
      </c>
      <c r="G1392" s="13">
        <v>1105.46</v>
      </c>
      <c r="H1392" s="22">
        <v>438.5</v>
      </c>
      <c r="I1392" s="13">
        <f t="shared" si="143"/>
        <v>5.4600000000000364</v>
      </c>
      <c r="J1392" s="14">
        <f t="shared" si="144"/>
        <v>0.49636363636363967</v>
      </c>
      <c r="K1392" s="56">
        <v>3.49</v>
      </c>
      <c r="L1392" s="15">
        <f t="shared" si="145"/>
        <v>39.86363636363636</v>
      </c>
      <c r="M1392" s="16">
        <f t="shared" si="146"/>
        <v>207.98670649090911</v>
      </c>
      <c r="N1392" s="17">
        <f t="shared" si="147"/>
        <v>2.2781454545454549</v>
      </c>
      <c r="O1392" s="17">
        <f t="shared" si="148"/>
        <v>2505.9600000000005</v>
      </c>
      <c r="P1392" s="18">
        <f t="shared" si="149"/>
        <v>228785.37714000003</v>
      </c>
      <c r="R1392" s="66"/>
      <c r="S1392" s="19"/>
      <c r="T1392" s="20"/>
      <c r="U1392" s="20"/>
      <c r="V1392" s="20"/>
      <c r="W1392" s="20"/>
      <c r="X1392" s="20"/>
      <c r="Y1392" s="20"/>
      <c r="Z1392" s="20"/>
      <c r="AA1392" s="20"/>
    </row>
    <row r="1393" spans="1:27" ht="12.75">
      <c r="A1393" s="10"/>
      <c r="B1393" s="10">
        <v>46083</v>
      </c>
      <c r="C1393" s="11">
        <f>VLOOKUP(B:B,'Курс валют'!A:D,4,0)</f>
        <v>91.296499999999995</v>
      </c>
      <c r="D1393" s="57" t="s">
        <v>1107</v>
      </c>
      <c r="E1393" s="12" t="s">
        <v>58</v>
      </c>
      <c r="F1393" s="58">
        <v>1100</v>
      </c>
      <c r="G1393" s="13">
        <v>1105.46</v>
      </c>
      <c r="H1393" s="22">
        <v>438.5</v>
      </c>
      <c r="I1393" s="13">
        <f t="shared" si="143"/>
        <v>5.4600000000000364</v>
      </c>
      <c r="J1393" s="14">
        <f t="shared" si="144"/>
        <v>0.49636363636363967</v>
      </c>
      <c r="K1393" s="56">
        <v>3.49</v>
      </c>
      <c r="L1393" s="15">
        <f t="shared" si="145"/>
        <v>39.86363636363636</v>
      </c>
      <c r="M1393" s="16">
        <f t="shared" si="146"/>
        <v>207.98670649090911</v>
      </c>
      <c r="N1393" s="17">
        <f t="shared" si="147"/>
        <v>2.2781454545454549</v>
      </c>
      <c r="O1393" s="17">
        <f t="shared" si="148"/>
        <v>2505.9600000000005</v>
      </c>
      <c r="P1393" s="18">
        <f t="shared" si="149"/>
        <v>228785.37714000003</v>
      </c>
      <c r="R1393" s="66"/>
      <c r="S1393" s="19"/>
      <c r="T1393" s="20"/>
      <c r="U1393" s="20"/>
      <c r="V1393" s="20"/>
      <c r="W1393" s="20"/>
      <c r="X1393" s="20"/>
      <c r="Y1393" s="20"/>
      <c r="Z1393" s="20"/>
      <c r="AA1393" s="20"/>
    </row>
    <row r="1394" spans="1:27" ht="12.75">
      <c r="A1394" s="10"/>
      <c r="B1394" s="10">
        <v>46083</v>
      </c>
      <c r="C1394" s="11">
        <f>VLOOKUP(B:B,'Курс валют'!A:D,4,0)</f>
        <v>91.296499999999995</v>
      </c>
      <c r="D1394" s="57" t="s">
        <v>1108</v>
      </c>
      <c r="E1394" s="12" t="s">
        <v>58</v>
      </c>
      <c r="F1394" s="58">
        <v>1100</v>
      </c>
      <c r="G1394" s="13">
        <v>1105.46</v>
      </c>
      <c r="H1394" s="22">
        <v>438.5</v>
      </c>
      <c r="I1394" s="13">
        <f t="shared" si="143"/>
        <v>5.4600000000000364</v>
      </c>
      <c r="J1394" s="14">
        <f t="shared" si="144"/>
        <v>0.49636363636363967</v>
      </c>
      <c r="K1394" s="56">
        <v>3.49</v>
      </c>
      <c r="L1394" s="15">
        <f t="shared" si="145"/>
        <v>39.86363636363636</v>
      </c>
      <c r="M1394" s="16">
        <f t="shared" si="146"/>
        <v>207.98670649090911</v>
      </c>
      <c r="N1394" s="23">
        <f t="shared" si="147"/>
        <v>2.2781454545454549</v>
      </c>
      <c r="O1394" s="17">
        <f t="shared" si="148"/>
        <v>2505.9600000000005</v>
      </c>
      <c r="P1394" s="18">
        <f t="shared" si="149"/>
        <v>228785.37714000003</v>
      </c>
      <c r="R1394" s="66"/>
      <c r="S1394" s="19"/>
      <c r="T1394" s="20"/>
      <c r="U1394" s="20"/>
      <c r="V1394" s="20"/>
      <c r="W1394" s="20"/>
      <c r="X1394" s="20"/>
      <c r="Y1394" s="20"/>
      <c r="Z1394" s="20"/>
      <c r="AA1394" s="20"/>
    </row>
    <row r="1395" spans="1:27" ht="12.75">
      <c r="A1395" s="10"/>
      <c r="B1395" s="10">
        <v>46083</v>
      </c>
      <c r="C1395" s="11">
        <f>VLOOKUP(B:B,'Курс валют'!A:D,4,0)</f>
        <v>91.296499999999995</v>
      </c>
      <c r="D1395" s="57" t="s">
        <v>1109</v>
      </c>
      <c r="E1395" s="12" t="s">
        <v>58</v>
      </c>
      <c r="F1395" s="58">
        <v>1100</v>
      </c>
      <c r="G1395" s="13">
        <v>1105.46</v>
      </c>
      <c r="H1395" s="22">
        <v>438.5</v>
      </c>
      <c r="I1395" s="13">
        <f t="shared" si="143"/>
        <v>5.4600000000000364</v>
      </c>
      <c r="J1395" s="14">
        <f t="shared" si="144"/>
        <v>0.49636363636363967</v>
      </c>
      <c r="K1395" s="56">
        <v>3.49</v>
      </c>
      <c r="L1395" s="15">
        <f t="shared" si="145"/>
        <v>39.86363636363636</v>
      </c>
      <c r="M1395" s="16">
        <f t="shared" si="146"/>
        <v>207.98670649090911</v>
      </c>
      <c r="N1395" s="23">
        <f t="shared" si="147"/>
        <v>2.2781454545454549</v>
      </c>
      <c r="O1395" s="17">
        <f t="shared" si="148"/>
        <v>2505.9600000000005</v>
      </c>
      <c r="P1395" s="18">
        <f t="shared" si="149"/>
        <v>228785.37714000003</v>
      </c>
      <c r="R1395" s="66"/>
      <c r="S1395" s="19"/>
      <c r="T1395" s="20"/>
      <c r="U1395" s="20"/>
      <c r="V1395" s="20"/>
      <c r="W1395" s="20"/>
      <c r="X1395" s="20"/>
      <c r="Y1395" s="20"/>
      <c r="Z1395" s="20"/>
      <c r="AA1395" s="20"/>
    </row>
    <row r="1396" spans="1:27" ht="12.75">
      <c r="A1396" s="54"/>
      <c r="B1396" s="10">
        <v>46083</v>
      </c>
      <c r="C1396" s="11">
        <f>VLOOKUP(B:B,'Курс валют'!A:D,4,0)</f>
        <v>91.296499999999995</v>
      </c>
      <c r="D1396" s="57" t="s">
        <v>1110</v>
      </c>
      <c r="E1396" s="12" t="s">
        <v>58</v>
      </c>
      <c r="F1396" s="58">
        <v>1100</v>
      </c>
      <c r="G1396" s="13">
        <v>1105.46</v>
      </c>
      <c r="H1396" s="22">
        <v>438.5</v>
      </c>
      <c r="I1396" s="13">
        <f t="shared" si="143"/>
        <v>5.4600000000000364</v>
      </c>
      <c r="J1396" s="14">
        <f t="shared" si="144"/>
        <v>0.49636363636363967</v>
      </c>
      <c r="K1396" s="56">
        <v>3.49</v>
      </c>
      <c r="L1396" s="15">
        <f t="shared" si="145"/>
        <v>39.86363636363636</v>
      </c>
      <c r="M1396" s="16">
        <f t="shared" si="146"/>
        <v>207.98670649090911</v>
      </c>
      <c r="N1396" s="17">
        <f t="shared" si="147"/>
        <v>2.2781454545454549</v>
      </c>
      <c r="O1396" s="17">
        <f t="shared" si="148"/>
        <v>2505.9600000000005</v>
      </c>
      <c r="P1396" s="18">
        <f t="shared" si="149"/>
        <v>228785.37714000003</v>
      </c>
      <c r="R1396" s="65"/>
      <c r="S1396" s="19"/>
      <c r="T1396" s="24"/>
      <c r="U1396" s="24"/>
      <c r="V1396" s="24"/>
      <c r="W1396" s="24"/>
      <c r="X1396" s="24"/>
      <c r="Y1396" s="24"/>
      <c r="Z1396" s="24"/>
      <c r="AA1396" s="24"/>
    </row>
    <row r="1397" spans="1:27" ht="12.75">
      <c r="A1397" s="54"/>
      <c r="B1397" s="10">
        <v>46083</v>
      </c>
      <c r="C1397" s="11">
        <f>VLOOKUP(B:B,'Курс валют'!A:D,4,0)</f>
        <v>91.296499999999995</v>
      </c>
      <c r="D1397" s="57" t="s">
        <v>1111</v>
      </c>
      <c r="E1397" s="12" t="s">
        <v>58</v>
      </c>
      <c r="F1397" s="58">
        <v>1100</v>
      </c>
      <c r="G1397" s="13">
        <v>1105.46</v>
      </c>
      <c r="H1397" s="22">
        <v>438.5</v>
      </c>
      <c r="I1397" s="13">
        <f t="shared" si="143"/>
        <v>5.4600000000000364</v>
      </c>
      <c r="J1397" s="14">
        <f t="shared" si="144"/>
        <v>0.49636363636363967</v>
      </c>
      <c r="K1397" s="56">
        <v>3.49</v>
      </c>
      <c r="L1397" s="15">
        <f t="shared" si="145"/>
        <v>39.86363636363636</v>
      </c>
      <c r="M1397" s="16">
        <f t="shared" si="146"/>
        <v>207.98670649090911</v>
      </c>
      <c r="N1397" s="17">
        <f t="shared" si="147"/>
        <v>2.2781454545454549</v>
      </c>
      <c r="O1397" s="17">
        <f t="shared" si="148"/>
        <v>2505.9600000000005</v>
      </c>
      <c r="P1397" s="18">
        <f t="shared" si="149"/>
        <v>228785.37714000003</v>
      </c>
      <c r="R1397" s="65"/>
      <c r="S1397" s="19"/>
      <c r="T1397" s="20"/>
      <c r="U1397" s="20"/>
      <c r="V1397" s="20"/>
      <c r="W1397" s="20"/>
      <c r="X1397" s="20"/>
      <c r="Y1397" s="20"/>
      <c r="Z1397" s="20"/>
      <c r="AA1397" s="20"/>
    </row>
    <row r="1398" spans="1:27" ht="12.75">
      <c r="A1398" s="54"/>
      <c r="B1398" s="10">
        <v>46083</v>
      </c>
      <c r="C1398" s="11">
        <f>VLOOKUP(B:B,'Курс валют'!A:D,4,0)</f>
        <v>91.296499999999995</v>
      </c>
      <c r="D1398" s="57" t="s">
        <v>1112</v>
      </c>
      <c r="E1398" s="12" t="s">
        <v>58</v>
      </c>
      <c r="F1398" s="58">
        <v>1100</v>
      </c>
      <c r="G1398" s="13">
        <v>1105.46</v>
      </c>
      <c r="H1398" s="22">
        <v>438.5</v>
      </c>
      <c r="I1398" s="13">
        <f t="shared" si="143"/>
        <v>5.4600000000000364</v>
      </c>
      <c r="J1398" s="14">
        <f t="shared" si="144"/>
        <v>0.49636363636363967</v>
      </c>
      <c r="K1398" s="56">
        <v>3.49</v>
      </c>
      <c r="L1398" s="15">
        <f t="shared" si="145"/>
        <v>39.86363636363636</v>
      </c>
      <c r="M1398" s="16">
        <f t="shared" si="146"/>
        <v>207.98670649090911</v>
      </c>
      <c r="N1398" s="17">
        <f t="shared" si="147"/>
        <v>2.2781454545454549</v>
      </c>
      <c r="O1398" s="17">
        <f t="shared" si="148"/>
        <v>2505.9600000000005</v>
      </c>
      <c r="P1398" s="18">
        <f t="shared" si="149"/>
        <v>228785.37714000003</v>
      </c>
      <c r="R1398" s="65"/>
      <c r="S1398" s="19"/>
      <c r="T1398" s="20"/>
      <c r="U1398" s="20"/>
      <c r="V1398" s="20"/>
      <c r="W1398" s="20"/>
      <c r="X1398" s="20"/>
      <c r="Y1398" s="20"/>
      <c r="Z1398" s="20"/>
      <c r="AA1398" s="20"/>
    </row>
    <row r="1399" spans="1:27" ht="12.75">
      <c r="A1399" s="54"/>
      <c r="B1399" s="10">
        <v>46083</v>
      </c>
      <c r="C1399" s="11">
        <f>VLOOKUP(B:B,'Курс валют'!A:D,4,0)</f>
        <v>91.296499999999995</v>
      </c>
      <c r="D1399" s="57" t="s">
        <v>1113</v>
      </c>
      <c r="E1399" s="21" t="s">
        <v>61</v>
      </c>
      <c r="F1399" s="58">
        <v>1800</v>
      </c>
      <c r="G1399" s="13">
        <v>1834.7</v>
      </c>
      <c r="H1399" s="22">
        <v>0</v>
      </c>
      <c r="I1399" s="13">
        <f t="shared" si="143"/>
        <v>34.700000000000045</v>
      </c>
      <c r="J1399" s="14">
        <f t="shared" si="144"/>
        <v>1.9277777777777803</v>
      </c>
      <c r="K1399" s="56">
        <v>2.4500000000000002</v>
      </c>
      <c r="L1399" s="15">
        <f t="shared" si="145"/>
        <v>0</v>
      </c>
      <c r="M1399" s="16">
        <f t="shared" si="146"/>
        <v>223.67642499999999</v>
      </c>
      <c r="N1399" s="17">
        <f t="shared" si="147"/>
        <v>2.4500000000000002</v>
      </c>
      <c r="O1399" s="17">
        <f t="shared" si="148"/>
        <v>4410</v>
      </c>
      <c r="P1399" s="18">
        <f t="shared" si="149"/>
        <v>402617.565</v>
      </c>
      <c r="R1399" s="66"/>
      <c r="S1399" s="19"/>
      <c r="T1399" s="24"/>
      <c r="U1399" s="24"/>
      <c r="V1399" s="24"/>
      <c r="W1399" s="24"/>
      <c r="X1399" s="24"/>
      <c r="Y1399" s="24"/>
      <c r="Z1399" s="24"/>
      <c r="AA1399" s="24"/>
    </row>
    <row r="1400" spans="1:27" ht="12.75">
      <c r="A1400" s="54"/>
      <c r="B1400" s="10">
        <v>46084</v>
      </c>
      <c r="C1400" s="11">
        <f>VLOOKUP(B:B,'Курс валют'!A:D,4,0)</f>
        <v>90.730699999999999</v>
      </c>
      <c r="D1400" s="57" t="s">
        <v>1114</v>
      </c>
      <c r="E1400" s="21" t="s">
        <v>15</v>
      </c>
      <c r="F1400" s="58">
        <v>1100</v>
      </c>
      <c r="G1400" s="13">
        <v>1104.0999999999999</v>
      </c>
      <c r="H1400" s="22">
        <v>483.9</v>
      </c>
      <c r="I1400" s="13">
        <f t="shared" si="143"/>
        <v>4.0999999999999091</v>
      </c>
      <c r="J1400" s="14">
        <f t="shared" si="144"/>
        <v>0.37272727272726447</v>
      </c>
      <c r="K1400" s="56">
        <v>3.52</v>
      </c>
      <c r="L1400" s="15">
        <f t="shared" si="145"/>
        <v>43.990909090909085</v>
      </c>
      <c r="M1400" s="16">
        <f t="shared" si="146"/>
        <v>198.03575434618182</v>
      </c>
      <c r="N1400" s="17">
        <f t="shared" si="147"/>
        <v>2.1826763636363635</v>
      </c>
      <c r="O1400" s="17">
        <f t="shared" si="148"/>
        <v>2400.944</v>
      </c>
      <c r="P1400" s="18">
        <f t="shared" si="149"/>
        <v>217839.32978080001</v>
      </c>
      <c r="R1400" s="65"/>
      <c r="S1400" s="19"/>
      <c r="T1400" s="24"/>
      <c r="U1400" s="24"/>
      <c r="V1400" s="24"/>
      <c r="W1400" s="24"/>
      <c r="X1400" s="24"/>
      <c r="Y1400" s="24"/>
      <c r="Z1400" s="24"/>
      <c r="AA1400" s="24"/>
    </row>
    <row r="1401" spans="1:27" ht="12.75">
      <c r="A1401" s="54"/>
      <c r="B1401" s="10">
        <v>46084</v>
      </c>
      <c r="C1401" s="11">
        <f>VLOOKUP(B:B,'Курс валют'!A:D,4,0)</f>
        <v>90.730699999999999</v>
      </c>
      <c r="D1401" s="57" t="s">
        <v>1115</v>
      </c>
      <c r="E1401" s="21" t="s">
        <v>15</v>
      </c>
      <c r="F1401" s="58">
        <v>1100</v>
      </c>
      <c r="G1401" s="13">
        <v>1104.0999999999999</v>
      </c>
      <c r="H1401" s="22">
        <v>483.9</v>
      </c>
      <c r="I1401" s="13">
        <f t="shared" si="143"/>
        <v>4.0999999999999091</v>
      </c>
      <c r="J1401" s="14">
        <f t="shared" si="144"/>
        <v>0.37272727272726447</v>
      </c>
      <c r="K1401" s="56">
        <v>3.52</v>
      </c>
      <c r="L1401" s="15">
        <f t="shared" si="145"/>
        <v>43.990909090909085</v>
      </c>
      <c r="M1401" s="16">
        <f t="shared" si="146"/>
        <v>198.03575434618182</v>
      </c>
      <c r="N1401" s="17">
        <f t="shared" si="147"/>
        <v>2.1826763636363635</v>
      </c>
      <c r="O1401" s="17">
        <f t="shared" si="148"/>
        <v>2400.944</v>
      </c>
      <c r="P1401" s="18">
        <f t="shared" si="149"/>
        <v>217839.32978080001</v>
      </c>
      <c r="R1401" s="66"/>
      <c r="S1401" s="19"/>
      <c r="T1401" s="24"/>
      <c r="U1401" s="24"/>
      <c r="V1401" s="24"/>
      <c r="W1401" s="24"/>
      <c r="X1401" s="24"/>
      <c r="Y1401" s="24"/>
      <c r="Z1401" s="24"/>
      <c r="AA1401" s="24"/>
    </row>
    <row r="1402" spans="1:27" ht="12.75">
      <c r="A1402" s="54"/>
      <c r="B1402" s="10">
        <v>46084</v>
      </c>
      <c r="C1402" s="11">
        <f>VLOOKUP(B:B,'Курс валют'!A:D,4,0)</f>
        <v>90.730699999999999</v>
      </c>
      <c r="D1402" s="57" t="s">
        <v>1116</v>
      </c>
      <c r="E1402" s="21" t="s">
        <v>15</v>
      </c>
      <c r="F1402" s="58">
        <v>1100</v>
      </c>
      <c r="G1402" s="13">
        <v>1104.0999999999999</v>
      </c>
      <c r="H1402" s="22">
        <v>483.9</v>
      </c>
      <c r="I1402" s="13">
        <f t="shared" si="143"/>
        <v>4.0999999999999091</v>
      </c>
      <c r="J1402" s="14">
        <f t="shared" si="144"/>
        <v>0.37272727272726447</v>
      </c>
      <c r="K1402" s="56">
        <v>3.52</v>
      </c>
      <c r="L1402" s="15">
        <f t="shared" si="145"/>
        <v>43.990909090909085</v>
      </c>
      <c r="M1402" s="16">
        <f t="shared" si="146"/>
        <v>198.03575434618182</v>
      </c>
      <c r="N1402" s="17">
        <f t="shared" si="147"/>
        <v>2.1826763636363635</v>
      </c>
      <c r="O1402" s="17">
        <f t="shared" si="148"/>
        <v>2400.944</v>
      </c>
      <c r="P1402" s="18">
        <f t="shared" si="149"/>
        <v>217839.32978080001</v>
      </c>
      <c r="R1402" s="66"/>
      <c r="S1402" s="19"/>
      <c r="T1402" s="20"/>
      <c r="U1402" s="20"/>
      <c r="V1402" s="20"/>
      <c r="W1402" s="20"/>
      <c r="X1402" s="20"/>
      <c r="Y1402" s="20"/>
      <c r="Z1402" s="20"/>
      <c r="AA1402" s="20"/>
    </row>
    <row r="1403" spans="1:27" ht="12.75">
      <c r="A1403" s="54"/>
      <c r="B1403" s="10">
        <v>46084</v>
      </c>
      <c r="C1403" s="11">
        <f>VLOOKUP(B:B,'Курс валют'!A:D,4,0)</f>
        <v>90.730699999999999</v>
      </c>
      <c r="D1403" s="57" t="s">
        <v>1117</v>
      </c>
      <c r="E1403" s="21" t="s">
        <v>15</v>
      </c>
      <c r="F1403" s="58">
        <v>1100</v>
      </c>
      <c r="G1403" s="13">
        <v>1104.0999999999999</v>
      </c>
      <c r="H1403" s="22">
        <v>483.9</v>
      </c>
      <c r="I1403" s="58">
        <v>2.5</v>
      </c>
      <c r="J1403" s="14">
        <f t="shared" si="144"/>
        <v>0.22727272727272727</v>
      </c>
      <c r="K1403" s="56">
        <v>3.52</v>
      </c>
      <c r="L1403" s="15">
        <f t="shared" si="145"/>
        <v>43.990909090909085</v>
      </c>
      <c r="M1403" s="16">
        <f t="shared" si="146"/>
        <v>198.03575434618182</v>
      </c>
      <c r="N1403" s="17">
        <f t="shared" si="147"/>
        <v>2.1826763636363635</v>
      </c>
      <c r="O1403" s="17">
        <f t="shared" si="148"/>
        <v>2400.944</v>
      </c>
      <c r="P1403" s="18">
        <f t="shared" si="149"/>
        <v>217839.32978080001</v>
      </c>
      <c r="R1403" s="66"/>
      <c r="S1403" s="19"/>
      <c r="T1403" s="20"/>
      <c r="U1403" s="20"/>
      <c r="V1403" s="20"/>
      <c r="W1403" s="20"/>
      <c r="X1403" s="20"/>
      <c r="Y1403" s="20"/>
      <c r="Z1403" s="20"/>
      <c r="AA1403" s="20"/>
    </row>
    <row r="1404" spans="1:27" ht="12.75">
      <c r="A1404" s="54"/>
      <c r="B1404" s="10">
        <v>46084</v>
      </c>
      <c r="C1404" s="11">
        <f>VLOOKUP(B:B,'Курс валют'!A:D,4,0)</f>
        <v>90.730699999999999</v>
      </c>
      <c r="D1404" s="57" t="s">
        <v>1118</v>
      </c>
      <c r="E1404" s="21" t="s">
        <v>15</v>
      </c>
      <c r="F1404" s="58">
        <v>1100</v>
      </c>
      <c r="G1404" s="13">
        <v>1104.0999999999999</v>
      </c>
      <c r="H1404" s="56">
        <v>483.9</v>
      </c>
      <c r="I1404" s="13">
        <f t="shared" ref="I1404:I1702" si="150">G1404-F1404</f>
        <v>4.0999999999999091</v>
      </c>
      <c r="J1404" s="14">
        <f t="shared" si="144"/>
        <v>0.37272727272726447</v>
      </c>
      <c r="K1404" s="56">
        <v>3.52</v>
      </c>
      <c r="L1404" s="15">
        <f t="shared" si="145"/>
        <v>43.990909090909085</v>
      </c>
      <c r="M1404" s="16">
        <f t="shared" si="146"/>
        <v>198.03575434618182</v>
      </c>
      <c r="N1404" s="17">
        <f t="shared" si="147"/>
        <v>2.1826763636363635</v>
      </c>
      <c r="O1404" s="17">
        <f t="shared" si="148"/>
        <v>2400.944</v>
      </c>
      <c r="P1404" s="18">
        <f t="shared" si="149"/>
        <v>217839.32978080001</v>
      </c>
      <c r="R1404" s="66"/>
      <c r="S1404" s="19"/>
      <c r="T1404" s="20"/>
      <c r="U1404" s="20"/>
      <c r="V1404" s="20"/>
      <c r="W1404" s="20"/>
      <c r="X1404" s="20"/>
      <c r="Y1404" s="20"/>
      <c r="Z1404" s="20"/>
      <c r="AA1404" s="20"/>
    </row>
    <row r="1405" spans="1:27" ht="12.75">
      <c r="A1405" s="54"/>
      <c r="B1405" s="10">
        <v>46084</v>
      </c>
      <c r="C1405" s="11">
        <f>VLOOKUP(B:B,'Курс валют'!A:D,4,0)</f>
        <v>90.730699999999999</v>
      </c>
      <c r="D1405" s="57" t="s">
        <v>1119</v>
      </c>
      <c r="E1405" s="21" t="s">
        <v>15</v>
      </c>
      <c r="F1405" s="58">
        <v>1100</v>
      </c>
      <c r="G1405" s="13">
        <v>1104.0999999999999</v>
      </c>
      <c r="H1405" s="56">
        <v>483.9</v>
      </c>
      <c r="I1405" s="13">
        <f t="shared" si="150"/>
        <v>4.0999999999999091</v>
      </c>
      <c r="J1405" s="14">
        <f t="shared" si="144"/>
        <v>0.37272727272726447</v>
      </c>
      <c r="K1405" s="56">
        <v>3.52</v>
      </c>
      <c r="L1405" s="15">
        <f t="shared" si="145"/>
        <v>43.990909090909085</v>
      </c>
      <c r="M1405" s="16">
        <f t="shared" si="146"/>
        <v>198.03575434618182</v>
      </c>
      <c r="N1405" s="17">
        <f t="shared" si="147"/>
        <v>2.1826763636363635</v>
      </c>
      <c r="O1405" s="17">
        <f t="shared" si="148"/>
        <v>2400.944</v>
      </c>
      <c r="P1405" s="18">
        <f t="shared" si="149"/>
        <v>217839.32978080001</v>
      </c>
      <c r="R1405" s="66"/>
      <c r="S1405" s="20"/>
      <c r="T1405" s="20"/>
      <c r="U1405" s="20"/>
      <c r="V1405" s="20"/>
      <c r="W1405" s="20"/>
      <c r="X1405" s="20"/>
      <c r="Y1405" s="20"/>
      <c r="Z1405" s="20"/>
      <c r="AA1405" s="20"/>
    </row>
    <row r="1406" spans="1:27" ht="15" customHeight="1">
      <c r="A1406" s="54"/>
      <c r="B1406" s="10">
        <v>46084</v>
      </c>
      <c r="C1406" s="11">
        <f>VLOOKUP(B:B,'Курс валют'!A:D,4,0)</f>
        <v>90.730699999999999</v>
      </c>
      <c r="D1406" s="57" t="s">
        <v>1120</v>
      </c>
      <c r="E1406" s="21" t="s">
        <v>15</v>
      </c>
      <c r="F1406" s="58">
        <v>1100</v>
      </c>
      <c r="G1406" s="13">
        <v>1104.0999999999999</v>
      </c>
      <c r="H1406" s="56">
        <v>483.9</v>
      </c>
      <c r="I1406" s="13">
        <f t="shared" si="150"/>
        <v>4.0999999999999091</v>
      </c>
      <c r="J1406" s="14">
        <f t="shared" si="144"/>
        <v>0.37272727272726447</v>
      </c>
      <c r="K1406" s="56">
        <v>3.52</v>
      </c>
      <c r="L1406" s="15">
        <f t="shared" si="145"/>
        <v>43.990909090909085</v>
      </c>
      <c r="M1406" s="16">
        <f t="shared" si="146"/>
        <v>198.03575434618182</v>
      </c>
      <c r="N1406" s="17">
        <f t="shared" si="147"/>
        <v>2.1826763636363635</v>
      </c>
      <c r="O1406" s="17">
        <f t="shared" si="148"/>
        <v>2400.944</v>
      </c>
      <c r="P1406" s="18">
        <f t="shared" si="149"/>
        <v>217839.32978080001</v>
      </c>
      <c r="R1406" s="66"/>
      <c r="S1406" s="20"/>
      <c r="T1406" s="20"/>
      <c r="U1406" s="20"/>
      <c r="V1406" s="20"/>
      <c r="W1406" s="20"/>
      <c r="X1406" s="20"/>
      <c r="Y1406" s="20"/>
      <c r="Z1406" s="20"/>
      <c r="AA1406" s="20"/>
    </row>
    <row r="1407" spans="1:27" ht="12.75">
      <c r="A1407" s="54"/>
      <c r="B1407" s="10">
        <v>46084</v>
      </c>
      <c r="C1407" s="11">
        <f>VLOOKUP(B:B,'Курс валют'!A:D,4,0)</f>
        <v>90.730699999999999</v>
      </c>
      <c r="D1407" s="57" t="s">
        <v>1121</v>
      </c>
      <c r="E1407" s="21" t="s">
        <v>15</v>
      </c>
      <c r="F1407" s="58">
        <v>1100</v>
      </c>
      <c r="G1407" s="13">
        <v>1104.0999999999999</v>
      </c>
      <c r="H1407" s="56">
        <v>483.9</v>
      </c>
      <c r="I1407" s="13">
        <f t="shared" si="150"/>
        <v>4.0999999999999091</v>
      </c>
      <c r="J1407" s="14">
        <f t="shared" si="144"/>
        <v>0.37272727272726447</v>
      </c>
      <c r="K1407" s="56">
        <v>3.52</v>
      </c>
      <c r="L1407" s="15">
        <f t="shared" si="145"/>
        <v>43.990909090909085</v>
      </c>
      <c r="M1407" s="16">
        <f t="shared" si="146"/>
        <v>198.03575434618182</v>
      </c>
      <c r="N1407" s="17">
        <f t="shared" si="147"/>
        <v>2.1826763636363635</v>
      </c>
      <c r="O1407" s="17">
        <f t="shared" si="148"/>
        <v>2400.944</v>
      </c>
      <c r="P1407" s="18">
        <f t="shared" si="149"/>
        <v>217839.32978080001</v>
      </c>
      <c r="R1407" s="66"/>
      <c r="S1407" s="20"/>
      <c r="T1407" s="20"/>
      <c r="U1407" s="20"/>
      <c r="V1407" s="20"/>
      <c r="W1407" s="20"/>
      <c r="X1407" s="20"/>
      <c r="Y1407" s="20"/>
      <c r="Z1407" s="20"/>
      <c r="AA1407" s="20"/>
    </row>
    <row r="1408" spans="1:27" ht="12.75">
      <c r="A1408" s="54"/>
      <c r="B1408" s="10">
        <v>46084</v>
      </c>
      <c r="C1408" s="11">
        <f>VLOOKUP(B:B,'Курс валют'!A:D,4,0)</f>
        <v>90.730699999999999</v>
      </c>
      <c r="D1408" s="57" t="s">
        <v>1122</v>
      </c>
      <c r="E1408" s="21" t="s">
        <v>15</v>
      </c>
      <c r="F1408" s="58">
        <v>1100</v>
      </c>
      <c r="G1408" s="13">
        <v>1104.0999999999999</v>
      </c>
      <c r="H1408" s="56">
        <v>483.9</v>
      </c>
      <c r="I1408" s="13">
        <f t="shared" si="150"/>
        <v>4.0999999999999091</v>
      </c>
      <c r="J1408" s="14">
        <f t="shared" si="144"/>
        <v>0.37272727272726447</v>
      </c>
      <c r="K1408" s="56">
        <v>3.52</v>
      </c>
      <c r="L1408" s="15">
        <f t="shared" si="145"/>
        <v>43.990909090909085</v>
      </c>
      <c r="M1408" s="16">
        <f t="shared" si="146"/>
        <v>198.03575434618182</v>
      </c>
      <c r="N1408" s="17">
        <f t="shared" si="147"/>
        <v>2.1826763636363635</v>
      </c>
      <c r="O1408" s="17">
        <f t="shared" si="148"/>
        <v>2400.944</v>
      </c>
      <c r="P1408" s="18">
        <f t="shared" si="149"/>
        <v>217839.32978080001</v>
      </c>
      <c r="R1408" s="66"/>
      <c r="S1408" s="48"/>
      <c r="T1408" s="20"/>
      <c r="U1408" s="20"/>
      <c r="V1408" s="20"/>
      <c r="W1408" s="20"/>
      <c r="X1408" s="20"/>
      <c r="Y1408" s="20"/>
      <c r="Z1408" s="20"/>
      <c r="AA1408" s="20"/>
    </row>
    <row r="1409" spans="1:27" ht="12.75">
      <c r="A1409" s="54"/>
      <c r="B1409" s="10">
        <v>46084</v>
      </c>
      <c r="C1409" s="11">
        <f>VLOOKUP(B:B,'Курс валют'!A:D,4,0)</f>
        <v>90.730699999999999</v>
      </c>
      <c r="D1409" s="57" t="s">
        <v>1123</v>
      </c>
      <c r="E1409" s="21" t="s">
        <v>15</v>
      </c>
      <c r="F1409" s="58">
        <v>880</v>
      </c>
      <c r="G1409" s="13">
        <v>883.28</v>
      </c>
      <c r="H1409" s="49">
        <v>387.12</v>
      </c>
      <c r="I1409" s="13">
        <f t="shared" si="150"/>
        <v>3.2799999999999727</v>
      </c>
      <c r="J1409" s="14">
        <f t="shared" si="144"/>
        <v>0.37272727272726963</v>
      </c>
      <c r="K1409" s="49">
        <v>3.54</v>
      </c>
      <c r="L1409" s="15">
        <f t="shared" si="145"/>
        <v>43.990909090909092</v>
      </c>
      <c r="M1409" s="16">
        <f t="shared" si="146"/>
        <v>199.85036834618182</v>
      </c>
      <c r="N1409" s="17">
        <f t="shared" si="147"/>
        <v>2.2026763636363635</v>
      </c>
      <c r="O1409" s="17">
        <f t="shared" si="148"/>
        <v>1938.3552</v>
      </c>
      <c r="P1409" s="18">
        <f t="shared" si="149"/>
        <v>175868.32414464001</v>
      </c>
      <c r="R1409" s="66"/>
      <c r="S1409" s="48"/>
      <c r="T1409" s="20"/>
      <c r="U1409" s="20"/>
      <c r="V1409" s="20"/>
      <c r="W1409" s="20"/>
      <c r="X1409" s="20"/>
      <c r="Y1409" s="20"/>
      <c r="Z1409" s="20"/>
      <c r="AA1409" s="20"/>
    </row>
    <row r="1410" spans="1:27" ht="12.75">
      <c r="A1410" s="54"/>
      <c r="B1410" s="10">
        <v>46084</v>
      </c>
      <c r="C1410" s="11">
        <f>VLOOKUP(B:B,'Курс валют'!A:D,4,0)</f>
        <v>90.730699999999999</v>
      </c>
      <c r="D1410" s="57" t="s">
        <v>1123</v>
      </c>
      <c r="E1410" s="50" t="s">
        <v>204</v>
      </c>
      <c r="F1410" s="58">
        <v>220</v>
      </c>
      <c r="G1410" s="58">
        <v>220.82</v>
      </c>
      <c r="H1410" s="56">
        <v>96.78</v>
      </c>
      <c r="I1410" s="58">
        <f t="shared" si="150"/>
        <v>0.81999999999999318</v>
      </c>
      <c r="J1410" s="14">
        <f t="shared" si="144"/>
        <v>0.37272727272726963</v>
      </c>
      <c r="K1410" s="49">
        <v>3.54</v>
      </c>
      <c r="L1410" s="15">
        <f t="shared" si="145"/>
        <v>43.990909090909092</v>
      </c>
      <c r="M1410" s="16">
        <f t="shared" si="146"/>
        <v>199.85036834618182</v>
      </c>
      <c r="N1410" s="17">
        <f t="shared" si="147"/>
        <v>2.2026763636363635</v>
      </c>
      <c r="O1410" s="17">
        <f t="shared" si="148"/>
        <v>484.58879999999999</v>
      </c>
      <c r="P1410" s="18">
        <f t="shared" si="149"/>
        <v>43967.081036160002</v>
      </c>
      <c r="R1410" s="66"/>
      <c r="S1410" s="48"/>
      <c r="T1410" s="20"/>
      <c r="U1410" s="20"/>
      <c r="V1410" s="20"/>
      <c r="W1410" s="20"/>
      <c r="X1410" s="20"/>
      <c r="Y1410" s="20"/>
      <c r="Z1410" s="20"/>
      <c r="AA1410" s="20"/>
    </row>
    <row r="1411" spans="1:27" ht="12.75">
      <c r="A1411" s="54"/>
      <c r="B1411" s="10">
        <v>46085</v>
      </c>
      <c r="C1411" s="11">
        <f>VLOOKUP(B:B,'Курс валют'!A:D,4,0)</f>
        <v>90.309799999999996</v>
      </c>
      <c r="D1411" s="57" t="s">
        <v>1124</v>
      </c>
      <c r="E1411" s="50" t="s">
        <v>15</v>
      </c>
      <c r="F1411" s="58">
        <v>1100</v>
      </c>
      <c r="G1411" s="63">
        <v>1104.7</v>
      </c>
      <c r="H1411" s="56">
        <v>483.9</v>
      </c>
      <c r="I1411" s="58">
        <f t="shared" si="150"/>
        <v>4.7000000000000455</v>
      </c>
      <c r="J1411" s="14">
        <f t="shared" si="144"/>
        <v>0.42727272727273141</v>
      </c>
      <c r="K1411" s="49">
        <v>3.54</v>
      </c>
      <c r="L1411" s="15">
        <f t="shared" si="145"/>
        <v>43.990909090909085</v>
      </c>
      <c r="M1411" s="16">
        <f t="shared" si="146"/>
        <v>198.92326186472727</v>
      </c>
      <c r="N1411" s="17">
        <f t="shared" si="147"/>
        <v>2.2026763636363635</v>
      </c>
      <c r="O1411" s="17">
        <f t="shared" si="148"/>
        <v>2422.944</v>
      </c>
      <c r="P1411" s="18">
        <f t="shared" si="149"/>
        <v>218815.5880512</v>
      </c>
      <c r="R1411" s="66"/>
      <c r="S1411" s="48"/>
      <c r="T1411" s="20"/>
      <c r="U1411" s="20"/>
      <c r="V1411" s="20"/>
      <c r="W1411" s="20"/>
      <c r="X1411" s="20"/>
      <c r="Y1411" s="20"/>
      <c r="Z1411" s="20"/>
      <c r="AA1411" s="20"/>
    </row>
    <row r="1412" spans="1:27" ht="12.75">
      <c r="A1412" s="54"/>
      <c r="B1412" s="10">
        <v>46085</v>
      </c>
      <c r="C1412" s="11">
        <f>VLOOKUP(B:B,'Курс валют'!A:D,4,0)</f>
        <v>90.309799999999996</v>
      </c>
      <c r="D1412" s="57" t="s">
        <v>1125</v>
      </c>
      <c r="E1412" s="50" t="s">
        <v>15</v>
      </c>
      <c r="F1412" s="58">
        <v>1100</v>
      </c>
      <c r="G1412" s="13">
        <v>1104.7</v>
      </c>
      <c r="H1412" s="56">
        <v>483.9</v>
      </c>
      <c r="I1412" s="13">
        <f t="shared" si="150"/>
        <v>4.7000000000000455</v>
      </c>
      <c r="J1412" s="14">
        <f t="shared" si="144"/>
        <v>0.42727272727273141</v>
      </c>
      <c r="K1412" s="49">
        <v>3.74</v>
      </c>
      <c r="L1412" s="15">
        <f t="shared" si="145"/>
        <v>43.990909090909085</v>
      </c>
      <c r="M1412" s="16">
        <f t="shared" si="146"/>
        <v>216.98522186472727</v>
      </c>
      <c r="N1412" s="17">
        <f t="shared" si="147"/>
        <v>2.4026763636363637</v>
      </c>
      <c r="O1412" s="17">
        <f t="shared" si="148"/>
        <v>2642.944</v>
      </c>
      <c r="P1412" s="18">
        <f t="shared" si="149"/>
        <v>238683.74405119999</v>
      </c>
      <c r="R1412" s="66"/>
      <c r="S1412" s="48"/>
      <c r="T1412" s="20"/>
      <c r="U1412" s="20"/>
      <c r="V1412" s="20"/>
      <c r="W1412" s="20"/>
      <c r="X1412" s="20"/>
      <c r="Y1412" s="20"/>
      <c r="Z1412" s="20"/>
      <c r="AA1412" s="20"/>
    </row>
    <row r="1413" spans="1:27" ht="12.75">
      <c r="A1413" s="54"/>
      <c r="B1413" s="10">
        <v>46085</v>
      </c>
      <c r="C1413" s="11">
        <f>VLOOKUP(B:B,'Курс валют'!A:D,4,0)</f>
        <v>90.309799999999996</v>
      </c>
      <c r="D1413" s="57" t="s">
        <v>1126</v>
      </c>
      <c r="E1413" s="50" t="s">
        <v>15</v>
      </c>
      <c r="F1413" s="58">
        <v>1100</v>
      </c>
      <c r="G1413" s="13">
        <v>1104.7</v>
      </c>
      <c r="H1413" s="56">
        <v>483.9</v>
      </c>
      <c r="I1413" s="13">
        <f t="shared" si="150"/>
        <v>4.7000000000000455</v>
      </c>
      <c r="J1413" s="14">
        <f t="shared" si="144"/>
        <v>0.42727272727273141</v>
      </c>
      <c r="K1413" s="49">
        <v>3.74</v>
      </c>
      <c r="L1413" s="15">
        <f t="shared" si="145"/>
        <v>43.990909090909085</v>
      </c>
      <c r="M1413" s="16">
        <f t="shared" si="146"/>
        <v>216.98522186472727</v>
      </c>
      <c r="N1413" s="17">
        <f t="shared" si="147"/>
        <v>2.4026763636363637</v>
      </c>
      <c r="O1413" s="17">
        <f t="shared" si="148"/>
        <v>2642.944</v>
      </c>
      <c r="P1413" s="18">
        <f t="shared" si="149"/>
        <v>238683.74405119999</v>
      </c>
      <c r="R1413" s="66"/>
      <c r="S1413" s="48"/>
      <c r="T1413" s="20"/>
      <c r="U1413" s="20"/>
      <c r="V1413" s="20"/>
      <c r="W1413" s="20"/>
      <c r="X1413" s="20"/>
      <c r="Y1413" s="20"/>
      <c r="Z1413" s="20"/>
      <c r="AA1413" s="20"/>
    </row>
    <row r="1414" spans="1:27" ht="12.75">
      <c r="A1414" s="54"/>
      <c r="B1414" s="10">
        <v>46085</v>
      </c>
      <c r="C1414" s="11">
        <f>VLOOKUP(B:B,'Курс валют'!A:D,4,0)</f>
        <v>90.309799999999996</v>
      </c>
      <c r="D1414" s="57" t="s">
        <v>1127</v>
      </c>
      <c r="E1414" s="50" t="s">
        <v>15</v>
      </c>
      <c r="F1414" s="58">
        <v>1100</v>
      </c>
      <c r="G1414" s="13">
        <v>1104.7</v>
      </c>
      <c r="H1414" s="56">
        <v>483.9</v>
      </c>
      <c r="I1414" s="13">
        <f t="shared" si="150"/>
        <v>4.7000000000000455</v>
      </c>
      <c r="J1414" s="14">
        <f t="shared" si="144"/>
        <v>0.42727272727273141</v>
      </c>
      <c r="K1414" s="49">
        <v>3.7</v>
      </c>
      <c r="L1414" s="15">
        <f t="shared" si="145"/>
        <v>43.990909090909085</v>
      </c>
      <c r="M1414" s="16">
        <f t="shared" si="146"/>
        <v>213.37282986472727</v>
      </c>
      <c r="N1414" s="17">
        <f t="shared" si="147"/>
        <v>2.3626763636363637</v>
      </c>
      <c r="O1414" s="17">
        <f t="shared" si="148"/>
        <v>2598.944</v>
      </c>
      <c r="P1414" s="18">
        <f t="shared" si="149"/>
        <v>234710.11285119999</v>
      </c>
      <c r="R1414" s="66"/>
      <c r="S1414" s="20"/>
      <c r="T1414" s="20"/>
      <c r="U1414" s="20"/>
      <c r="V1414" s="20"/>
      <c r="W1414" s="20"/>
      <c r="X1414" s="20"/>
      <c r="Y1414" s="20"/>
      <c r="Z1414" s="20"/>
      <c r="AA1414" s="20"/>
    </row>
    <row r="1415" spans="1:27" ht="12.75">
      <c r="A1415" s="54"/>
      <c r="B1415" s="10">
        <v>46085</v>
      </c>
      <c r="C1415" s="11">
        <f>VLOOKUP(B:B,'Курс валют'!A:D,4,0)</f>
        <v>90.309799999999996</v>
      </c>
      <c r="D1415" s="57" t="s">
        <v>1128</v>
      </c>
      <c r="E1415" s="50" t="s">
        <v>15</v>
      </c>
      <c r="F1415" s="58">
        <v>1100</v>
      </c>
      <c r="G1415" s="51">
        <v>1104.3</v>
      </c>
      <c r="H1415" s="56">
        <v>484</v>
      </c>
      <c r="I1415" s="13">
        <f t="shared" si="150"/>
        <v>4.2999999999999545</v>
      </c>
      <c r="J1415" s="14">
        <f t="shared" si="144"/>
        <v>0.39090909090908682</v>
      </c>
      <c r="K1415" s="49">
        <v>3.52</v>
      </c>
      <c r="L1415" s="15">
        <f t="shared" si="145"/>
        <v>44</v>
      </c>
      <c r="M1415" s="16">
        <f t="shared" si="146"/>
        <v>197.09210751999998</v>
      </c>
      <c r="N1415" s="17">
        <f t="shared" si="147"/>
        <v>2.1823999999999999</v>
      </c>
      <c r="O1415" s="17">
        <f t="shared" si="148"/>
        <v>2400.64</v>
      </c>
      <c r="P1415" s="18">
        <f t="shared" si="149"/>
        <v>216801.31827199997</v>
      </c>
      <c r="R1415" s="66"/>
      <c r="S1415" s="20"/>
      <c r="T1415" s="20"/>
      <c r="U1415" s="20"/>
      <c r="V1415" s="20"/>
      <c r="W1415" s="20"/>
      <c r="X1415" s="20"/>
      <c r="Y1415" s="20"/>
      <c r="Z1415" s="20"/>
      <c r="AA1415" s="20"/>
    </row>
    <row r="1416" spans="1:27" ht="12.75">
      <c r="A1416" s="54"/>
      <c r="B1416" s="10">
        <v>46085</v>
      </c>
      <c r="C1416" s="11">
        <f>VLOOKUP(B:B,'Курс валют'!A:D,4,0)</f>
        <v>90.309799999999996</v>
      </c>
      <c r="D1416" s="57" t="s">
        <v>1129</v>
      </c>
      <c r="E1416" s="50" t="s">
        <v>15</v>
      </c>
      <c r="F1416" s="58">
        <v>1100</v>
      </c>
      <c r="G1416" s="13">
        <v>1104.3</v>
      </c>
      <c r="H1416" s="56">
        <v>484</v>
      </c>
      <c r="I1416" s="13">
        <f t="shared" si="150"/>
        <v>4.2999999999999545</v>
      </c>
      <c r="J1416" s="14">
        <f t="shared" si="144"/>
        <v>0.39090909090908682</v>
      </c>
      <c r="K1416" s="49">
        <v>3.52</v>
      </c>
      <c r="L1416" s="15">
        <f t="shared" si="145"/>
        <v>44</v>
      </c>
      <c r="M1416" s="16">
        <f t="shared" si="146"/>
        <v>197.09210751999998</v>
      </c>
      <c r="N1416" s="17">
        <f t="shared" si="147"/>
        <v>2.1823999999999999</v>
      </c>
      <c r="O1416" s="17">
        <f t="shared" si="148"/>
        <v>2400.64</v>
      </c>
      <c r="P1416" s="18">
        <f t="shared" si="149"/>
        <v>216801.31827199997</v>
      </c>
      <c r="R1416" s="66"/>
      <c r="S1416" s="19"/>
      <c r="T1416" s="20"/>
      <c r="U1416" s="20"/>
      <c r="V1416" s="20"/>
      <c r="W1416" s="20"/>
      <c r="X1416" s="20"/>
      <c r="Y1416" s="20"/>
      <c r="Z1416" s="20"/>
      <c r="AA1416" s="20"/>
    </row>
    <row r="1417" spans="1:27" ht="12.75">
      <c r="A1417" s="54"/>
      <c r="B1417" s="10">
        <v>46085</v>
      </c>
      <c r="C1417" s="11">
        <f>VLOOKUP(B:B,'Курс валют'!A:D,4,0)</f>
        <v>90.309799999999996</v>
      </c>
      <c r="D1417" s="57" t="s">
        <v>1130</v>
      </c>
      <c r="E1417" s="50" t="s">
        <v>15</v>
      </c>
      <c r="F1417" s="58">
        <v>1100</v>
      </c>
      <c r="G1417" s="51">
        <v>1104.3</v>
      </c>
      <c r="H1417" s="56">
        <v>484</v>
      </c>
      <c r="I1417" s="13">
        <f t="shared" si="150"/>
        <v>4.2999999999999545</v>
      </c>
      <c r="J1417" s="14">
        <f t="shared" si="144"/>
        <v>0.39090909090908682</v>
      </c>
      <c r="K1417" s="49">
        <v>3.52</v>
      </c>
      <c r="L1417" s="15">
        <f t="shared" si="145"/>
        <v>44</v>
      </c>
      <c r="M1417" s="16">
        <f t="shared" si="146"/>
        <v>197.09210751999998</v>
      </c>
      <c r="N1417" s="17">
        <f t="shared" si="147"/>
        <v>2.1823999999999999</v>
      </c>
      <c r="O1417" s="17">
        <f t="shared" si="148"/>
        <v>2400.64</v>
      </c>
      <c r="P1417" s="18">
        <f t="shared" si="149"/>
        <v>216801.31827199997</v>
      </c>
      <c r="R1417" s="66"/>
      <c r="S1417" s="19"/>
      <c r="T1417" s="20"/>
      <c r="U1417" s="20"/>
      <c r="V1417" s="20"/>
      <c r="W1417" s="20"/>
      <c r="X1417" s="20"/>
      <c r="Y1417" s="20"/>
      <c r="Z1417" s="20"/>
      <c r="AA1417" s="20"/>
    </row>
    <row r="1418" spans="1:27" ht="12.75">
      <c r="A1418" s="54"/>
      <c r="B1418" s="10">
        <v>46085</v>
      </c>
      <c r="C1418" s="11">
        <f>VLOOKUP(B:B,'Курс валют'!A:D,4,0)</f>
        <v>90.309799999999996</v>
      </c>
      <c r="D1418" s="57" t="s">
        <v>1131</v>
      </c>
      <c r="E1418" s="50" t="s">
        <v>15</v>
      </c>
      <c r="F1418" s="58">
        <v>1100</v>
      </c>
      <c r="G1418" s="51">
        <v>1104.3</v>
      </c>
      <c r="H1418" s="56">
        <v>484</v>
      </c>
      <c r="I1418" s="13">
        <f t="shared" si="150"/>
        <v>4.2999999999999545</v>
      </c>
      <c r="J1418" s="14">
        <f t="shared" si="144"/>
        <v>0.39090909090908682</v>
      </c>
      <c r="K1418" s="56">
        <v>3.52</v>
      </c>
      <c r="L1418" s="15">
        <f t="shared" si="145"/>
        <v>44</v>
      </c>
      <c r="M1418" s="16">
        <f t="shared" si="146"/>
        <v>197.09210751999998</v>
      </c>
      <c r="N1418" s="17">
        <f t="shared" si="147"/>
        <v>2.1823999999999999</v>
      </c>
      <c r="O1418" s="17">
        <f t="shared" si="148"/>
        <v>2400.64</v>
      </c>
      <c r="P1418" s="18">
        <f t="shared" si="149"/>
        <v>216801.31827199997</v>
      </c>
      <c r="R1418" s="66"/>
      <c r="S1418" s="19"/>
      <c r="T1418" s="20"/>
      <c r="U1418" s="20"/>
      <c r="V1418" s="20"/>
      <c r="W1418" s="20"/>
      <c r="X1418" s="20"/>
      <c r="Y1418" s="20"/>
      <c r="Z1418" s="20"/>
      <c r="AA1418" s="20"/>
    </row>
    <row r="1419" spans="1:27" ht="12.75">
      <c r="A1419" s="54"/>
      <c r="B1419" s="54">
        <v>46085</v>
      </c>
      <c r="C1419" s="11">
        <f>VLOOKUP(B:B,'Курс валют'!A:D,4,0)</f>
        <v>90.309799999999996</v>
      </c>
      <c r="D1419" s="57" t="s">
        <v>1132</v>
      </c>
      <c r="E1419" s="50" t="s">
        <v>15</v>
      </c>
      <c r="F1419" s="58">
        <v>1100</v>
      </c>
      <c r="G1419" s="51">
        <v>1104.3</v>
      </c>
      <c r="H1419" s="49">
        <v>484</v>
      </c>
      <c r="I1419" s="13">
        <f t="shared" si="150"/>
        <v>4.2999999999999545</v>
      </c>
      <c r="J1419" s="14">
        <f t="shared" si="144"/>
        <v>0.39090909090908682</v>
      </c>
      <c r="K1419" s="56">
        <v>3.52</v>
      </c>
      <c r="L1419" s="15">
        <f t="shared" si="145"/>
        <v>44</v>
      </c>
      <c r="M1419" s="16">
        <f t="shared" si="146"/>
        <v>197.09210751999998</v>
      </c>
      <c r="N1419" s="17">
        <f t="shared" si="147"/>
        <v>2.1823999999999999</v>
      </c>
      <c r="O1419" s="17">
        <f t="shared" si="148"/>
        <v>2400.64</v>
      </c>
      <c r="P1419" s="18">
        <f t="shared" si="149"/>
        <v>216801.31827199997</v>
      </c>
      <c r="R1419" s="66"/>
      <c r="S1419" s="19"/>
      <c r="T1419" s="20"/>
      <c r="U1419" s="20"/>
      <c r="V1419" s="20"/>
      <c r="W1419" s="20"/>
      <c r="X1419" s="20"/>
      <c r="Y1419" s="20"/>
      <c r="Z1419" s="20"/>
      <c r="AA1419" s="20"/>
    </row>
    <row r="1420" spans="1:27" ht="12.75">
      <c r="A1420" s="54"/>
      <c r="B1420" s="10">
        <v>46085</v>
      </c>
      <c r="C1420" s="11">
        <f>VLOOKUP(B:B,'Курс валют'!A:D,4,0)</f>
        <v>90.309799999999996</v>
      </c>
      <c r="D1420" s="57" t="s">
        <v>1133</v>
      </c>
      <c r="E1420" s="50" t="s">
        <v>15</v>
      </c>
      <c r="F1420" s="58">
        <v>1100</v>
      </c>
      <c r="G1420" s="51">
        <v>1104.3</v>
      </c>
      <c r="H1420" s="49">
        <v>484</v>
      </c>
      <c r="I1420" s="13">
        <f t="shared" si="150"/>
        <v>4.2999999999999545</v>
      </c>
      <c r="J1420" s="14">
        <f t="shared" si="144"/>
        <v>0.39090909090908682</v>
      </c>
      <c r="K1420" s="56">
        <v>3.52</v>
      </c>
      <c r="L1420" s="15">
        <f t="shared" si="145"/>
        <v>44</v>
      </c>
      <c r="M1420" s="16">
        <f t="shared" si="146"/>
        <v>197.09210751999998</v>
      </c>
      <c r="N1420" s="17">
        <f t="shared" si="147"/>
        <v>2.1823999999999999</v>
      </c>
      <c r="O1420" s="17">
        <f t="shared" si="148"/>
        <v>2400.64</v>
      </c>
      <c r="P1420" s="18">
        <f t="shared" si="149"/>
        <v>216801.31827199997</v>
      </c>
      <c r="R1420" s="66"/>
      <c r="S1420" s="19"/>
      <c r="T1420" s="20"/>
      <c r="U1420" s="20"/>
      <c r="V1420" s="20"/>
      <c r="W1420" s="20"/>
      <c r="X1420" s="20"/>
      <c r="Y1420" s="20"/>
      <c r="Z1420" s="20"/>
      <c r="AA1420" s="20"/>
    </row>
    <row r="1421" spans="1:27" ht="12.75">
      <c r="A1421" s="54"/>
      <c r="B1421" s="10">
        <v>46086</v>
      </c>
      <c r="C1421" s="11">
        <f>VLOOKUP(B:B,'Курс валют'!A:D,4,0)</f>
        <v>90.745800000000003</v>
      </c>
      <c r="D1421" s="57" t="s">
        <v>1134</v>
      </c>
      <c r="E1421" s="50" t="s">
        <v>15</v>
      </c>
      <c r="F1421" s="58">
        <v>1100</v>
      </c>
      <c r="G1421" s="52">
        <v>1104.8</v>
      </c>
      <c r="H1421" s="49">
        <v>484.5</v>
      </c>
      <c r="I1421" s="13">
        <f t="shared" si="150"/>
        <v>4.7999999999999545</v>
      </c>
      <c r="J1421" s="14">
        <f t="shared" si="144"/>
        <v>0.43636363636363223</v>
      </c>
      <c r="K1421" s="56">
        <v>3.53</v>
      </c>
      <c r="L1421" s="15">
        <f t="shared" si="145"/>
        <v>44.045454545454547</v>
      </c>
      <c r="M1421" s="16">
        <f t="shared" si="146"/>
        <v>198.82569772363635</v>
      </c>
      <c r="N1421" s="17">
        <f t="shared" si="147"/>
        <v>2.1910181818181815</v>
      </c>
      <c r="O1421" s="17">
        <f t="shared" si="148"/>
        <v>2410.12</v>
      </c>
      <c r="P1421" s="18">
        <f t="shared" si="149"/>
        <v>218708.26749599999</v>
      </c>
      <c r="R1421" s="66"/>
      <c r="S1421" s="19"/>
      <c r="T1421" s="20"/>
      <c r="U1421" s="20"/>
      <c r="V1421" s="20"/>
      <c r="W1421" s="20"/>
      <c r="X1421" s="20"/>
      <c r="Y1421" s="20"/>
      <c r="Z1421" s="20"/>
      <c r="AA1421" s="20"/>
    </row>
    <row r="1422" spans="1:27" ht="12.75">
      <c r="A1422" s="54"/>
      <c r="B1422" s="10">
        <v>46086</v>
      </c>
      <c r="C1422" s="11">
        <f>VLOOKUP(B:B,'Курс валют'!A:D,4,0)</f>
        <v>90.745800000000003</v>
      </c>
      <c r="D1422" s="57" t="s">
        <v>1135</v>
      </c>
      <c r="E1422" s="50" t="s">
        <v>15</v>
      </c>
      <c r="F1422" s="58">
        <v>1100</v>
      </c>
      <c r="G1422" s="52">
        <v>1104.8</v>
      </c>
      <c r="H1422" s="49">
        <v>484.5</v>
      </c>
      <c r="I1422" s="13">
        <f t="shared" si="150"/>
        <v>4.7999999999999545</v>
      </c>
      <c r="J1422" s="14">
        <f t="shared" si="144"/>
        <v>0.43636363636363223</v>
      </c>
      <c r="K1422" s="56">
        <v>3.53</v>
      </c>
      <c r="L1422" s="15">
        <f t="shared" si="145"/>
        <v>44.045454545454547</v>
      </c>
      <c r="M1422" s="16">
        <f t="shared" si="146"/>
        <v>198.82569772363635</v>
      </c>
      <c r="N1422" s="17">
        <f t="shared" si="147"/>
        <v>2.1910181818181815</v>
      </c>
      <c r="O1422" s="17">
        <f t="shared" si="148"/>
        <v>2410.12</v>
      </c>
      <c r="P1422" s="18">
        <f t="shared" si="149"/>
        <v>218708.26749599999</v>
      </c>
      <c r="R1422" s="66"/>
      <c r="S1422" s="19"/>
      <c r="T1422" s="20"/>
      <c r="U1422" s="20"/>
      <c r="V1422" s="20"/>
      <c r="W1422" s="20"/>
      <c r="X1422" s="20"/>
      <c r="Y1422" s="20"/>
      <c r="Z1422" s="20"/>
      <c r="AA1422" s="20"/>
    </row>
    <row r="1423" spans="1:27" ht="12.75">
      <c r="A1423" s="54"/>
      <c r="B1423" s="10">
        <v>46086</v>
      </c>
      <c r="C1423" s="11">
        <f>VLOOKUP(B:B,'Курс валют'!A:D,4,0)</f>
        <v>90.745800000000003</v>
      </c>
      <c r="D1423" s="57" t="s">
        <v>1136</v>
      </c>
      <c r="E1423" s="50" t="s">
        <v>15</v>
      </c>
      <c r="F1423" s="58">
        <v>1100</v>
      </c>
      <c r="G1423" s="52">
        <v>1104.3</v>
      </c>
      <c r="H1423" s="49">
        <v>484.5</v>
      </c>
      <c r="I1423" s="13">
        <f t="shared" si="150"/>
        <v>4.2999999999999545</v>
      </c>
      <c r="J1423" s="14">
        <f t="shared" si="144"/>
        <v>0.39090909090908682</v>
      </c>
      <c r="K1423" s="56">
        <v>3.52</v>
      </c>
      <c r="L1423" s="15">
        <f t="shared" si="145"/>
        <v>44.045454545454547</v>
      </c>
      <c r="M1423" s="16">
        <f t="shared" si="146"/>
        <v>197.91823972363636</v>
      </c>
      <c r="N1423" s="17">
        <f t="shared" si="147"/>
        <v>2.1810181818181817</v>
      </c>
      <c r="O1423" s="17">
        <f t="shared" si="148"/>
        <v>2399.12</v>
      </c>
      <c r="P1423" s="18">
        <f t="shared" si="149"/>
        <v>217710.063696</v>
      </c>
      <c r="R1423" s="66"/>
      <c r="S1423" s="20"/>
      <c r="T1423" s="20"/>
      <c r="U1423" s="20"/>
      <c r="V1423" s="20"/>
      <c r="W1423" s="20"/>
      <c r="X1423" s="20"/>
      <c r="Y1423" s="20"/>
      <c r="Z1423" s="20"/>
      <c r="AA1423" s="20"/>
    </row>
    <row r="1424" spans="1:27" ht="12.75">
      <c r="A1424" s="54"/>
      <c r="B1424" s="10">
        <v>46086</v>
      </c>
      <c r="C1424" s="11">
        <f>VLOOKUP(B:B,'Курс валют'!A:D,4,0)</f>
        <v>90.745800000000003</v>
      </c>
      <c r="D1424" s="57" t="s">
        <v>1137</v>
      </c>
      <c r="E1424" s="50" t="s">
        <v>15</v>
      </c>
      <c r="F1424" s="58">
        <v>1100</v>
      </c>
      <c r="G1424" s="52">
        <v>1104.3</v>
      </c>
      <c r="H1424" s="49">
        <v>484.5</v>
      </c>
      <c r="I1424" s="13">
        <f t="shared" si="150"/>
        <v>4.2999999999999545</v>
      </c>
      <c r="J1424" s="14">
        <f t="shared" si="144"/>
        <v>0.39090909090908682</v>
      </c>
      <c r="K1424" s="56">
        <v>3.53</v>
      </c>
      <c r="L1424" s="15">
        <f t="shared" si="145"/>
        <v>44.045454545454547</v>
      </c>
      <c r="M1424" s="16">
        <f t="shared" si="146"/>
        <v>198.82569772363635</v>
      </c>
      <c r="N1424" s="17">
        <f t="shared" si="147"/>
        <v>2.1910181818181815</v>
      </c>
      <c r="O1424" s="17">
        <f t="shared" si="148"/>
        <v>2410.12</v>
      </c>
      <c r="P1424" s="18">
        <f t="shared" si="149"/>
        <v>218708.26749599999</v>
      </c>
      <c r="R1424" s="66"/>
      <c r="S1424" s="20"/>
      <c r="T1424" s="20"/>
      <c r="U1424" s="20"/>
      <c r="V1424" s="20"/>
      <c r="W1424" s="20"/>
      <c r="X1424" s="20"/>
      <c r="Y1424" s="20"/>
      <c r="Z1424" s="20"/>
      <c r="AA1424" s="20"/>
    </row>
    <row r="1425" spans="1:27" ht="12.75">
      <c r="A1425" s="54"/>
      <c r="B1425" s="10">
        <v>46086</v>
      </c>
      <c r="C1425" s="11">
        <f>VLOOKUP(B:B,'Курс валют'!A:D,4,0)</f>
        <v>90.745800000000003</v>
      </c>
      <c r="D1425" s="57" t="s">
        <v>1138</v>
      </c>
      <c r="E1425" s="50" t="s">
        <v>15</v>
      </c>
      <c r="F1425" s="58">
        <v>1100</v>
      </c>
      <c r="G1425" s="52">
        <v>1104.3</v>
      </c>
      <c r="H1425" s="49">
        <v>484.5</v>
      </c>
      <c r="I1425" s="13">
        <f t="shared" si="150"/>
        <v>4.2999999999999545</v>
      </c>
      <c r="J1425" s="14">
        <f t="shared" si="144"/>
        <v>0.39090909090908682</v>
      </c>
      <c r="K1425" s="56">
        <v>3.52</v>
      </c>
      <c r="L1425" s="15">
        <f t="shared" si="145"/>
        <v>44.045454545454547</v>
      </c>
      <c r="M1425" s="16">
        <f t="shared" si="146"/>
        <v>197.91823972363636</v>
      </c>
      <c r="N1425" s="17">
        <f t="shared" si="147"/>
        <v>2.1810181818181817</v>
      </c>
      <c r="O1425" s="17">
        <f t="shared" si="148"/>
        <v>2399.12</v>
      </c>
      <c r="P1425" s="18">
        <f t="shared" si="149"/>
        <v>217710.063696</v>
      </c>
      <c r="R1425" s="66"/>
      <c r="S1425" s="19"/>
      <c r="T1425" s="20"/>
      <c r="U1425" s="20"/>
      <c r="V1425" s="20"/>
      <c r="W1425" s="20"/>
      <c r="X1425" s="20"/>
      <c r="Y1425" s="20"/>
      <c r="Z1425" s="20"/>
      <c r="AA1425" s="20"/>
    </row>
    <row r="1426" spans="1:27" ht="12.75">
      <c r="A1426" s="54"/>
      <c r="B1426" s="10">
        <v>46086</v>
      </c>
      <c r="C1426" s="11">
        <f>VLOOKUP(B:B,'Курс валют'!A:D,4,0)</f>
        <v>90.745800000000003</v>
      </c>
      <c r="D1426" s="57" t="s">
        <v>1139</v>
      </c>
      <c r="E1426" s="50" t="s">
        <v>15</v>
      </c>
      <c r="F1426" s="58">
        <v>1100</v>
      </c>
      <c r="G1426" s="52">
        <v>1104.3</v>
      </c>
      <c r="H1426" s="49">
        <v>484.5</v>
      </c>
      <c r="I1426" s="13">
        <f t="shared" si="150"/>
        <v>4.2999999999999545</v>
      </c>
      <c r="J1426" s="14">
        <f t="shared" si="144"/>
        <v>0.39090909090908682</v>
      </c>
      <c r="K1426" s="56">
        <v>3.53</v>
      </c>
      <c r="L1426" s="15">
        <f t="shared" si="145"/>
        <v>44.045454545454547</v>
      </c>
      <c r="M1426" s="16">
        <f t="shared" si="146"/>
        <v>198.82569772363635</v>
      </c>
      <c r="N1426" s="17">
        <f t="shared" si="147"/>
        <v>2.1910181818181815</v>
      </c>
      <c r="O1426" s="17">
        <f t="shared" si="148"/>
        <v>2410.12</v>
      </c>
      <c r="P1426" s="18">
        <f t="shared" si="149"/>
        <v>218708.26749599999</v>
      </c>
      <c r="R1426" s="66"/>
      <c r="S1426" s="19"/>
      <c r="T1426" s="20"/>
      <c r="U1426" s="20"/>
      <c r="V1426" s="20"/>
      <c r="W1426" s="20"/>
      <c r="X1426" s="20"/>
      <c r="Y1426" s="20"/>
      <c r="Z1426" s="20"/>
      <c r="AA1426" s="20"/>
    </row>
    <row r="1427" spans="1:27" ht="12.75">
      <c r="A1427" s="54"/>
      <c r="B1427" s="10">
        <v>46086</v>
      </c>
      <c r="C1427" s="11">
        <f>VLOOKUP(B:B,'Курс валют'!A:D,4,0)</f>
        <v>90.745800000000003</v>
      </c>
      <c r="D1427" s="57" t="s">
        <v>1140</v>
      </c>
      <c r="E1427" s="50" t="s">
        <v>204</v>
      </c>
      <c r="F1427" s="58">
        <v>440</v>
      </c>
      <c r="G1427" s="52">
        <v>440</v>
      </c>
      <c r="H1427" s="49"/>
      <c r="I1427" s="13">
        <f t="shared" si="150"/>
        <v>0</v>
      </c>
      <c r="J1427" s="14">
        <f t="shared" si="144"/>
        <v>0</v>
      </c>
      <c r="K1427" s="56"/>
      <c r="L1427" s="15">
        <f t="shared" si="145"/>
        <v>0</v>
      </c>
      <c r="M1427" s="16">
        <f t="shared" si="146"/>
        <v>0</v>
      </c>
      <c r="N1427" s="17">
        <f t="shared" si="147"/>
        <v>0</v>
      </c>
      <c r="O1427" s="17">
        <f t="shared" si="148"/>
        <v>0</v>
      </c>
      <c r="P1427" s="18">
        <f t="shared" si="149"/>
        <v>0</v>
      </c>
      <c r="R1427" s="66" t="s">
        <v>1141</v>
      </c>
      <c r="S1427" s="19"/>
      <c r="T1427" s="20"/>
      <c r="U1427" s="20"/>
      <c r="V1427" s="20"/>
      <c r="W1427" s="20"/>
      <c r="X1427" s="20"/>
      <c r="Y1427" s="20"/>
      <c r="Z1427" s="20"/>
      <c r="AA1427" s="20"/>
    </row>
    <row r="1428" spans="1:27" ht="12.75">
      <c r="A1428" s="54"/>
      <c r="B1428" s="10">
        <v>46086</v>
      </c>
      <c r="C1428" s="11">
        <f>VLOOKUP(B:B,'Курс валют'!A:D,4,0)</f>
        <v>90.745800000000003</v>
      </c>
      <c r="D1428" s="57" t="s">
        <v>1142</v>
      </c>
      <c r="E1428" s="50" t="s">
        <v>15</v>
      </c>
      <c r="F1428" s="58">
        <v>1100</v>
      </c>
      <c r="G1428" s="52">
        <v>1104.3</v>
      </c>
      <c r="H1428" s="49">
        <v>484.5</v>
      </c>
      <c r="I1428" s="13">
        <f t="shared" si="150"/>
        <v>4.2999999999999545</v>
      </c>
      <c r="J1428" s="14">
        <f t="shared" si="144"/>
        <v>0.39090909090908682</v>
      </c>
      <c r="K1428" s="56">
        <v>3.52</v>
      </c>
      <c r="L1428" s="15">
        <f t="shared" si="145"/>
        <v>44.045454545454547</v>
      </c>
      <c r="M1428" s="16">
        <f t="shared" si="146"/>
        <v>197.91823972363636</v>
      </c>
      <c r="N1428" s="17">
        <f t="shared" si="147"/>
        <v>2.1810181818181817</v>
      </c>
      <c r="O1428" s="17">
        <f t="shared" si="148"/>
        <v>2399.12</v>
      </c>
      <c r="P1428" s="18">
        <f t="shared" si="149"/>
        <v>217710.063696</v>
      </c>
      <c r="R1428" s="66"/>
      <c r="S1428" s="19"/>
      <c r="T1428" s="20"/>
      <c r="U1428" s="20"/>
      <c r="V1428" s="20"/>
      <c r="W1428" s="20"/>
      <c r="X1428" s="20"/>
      <c r="Y1428" s="20"/>
      <c r="Z1428" s="20"/>
      <c r="AA1428" s="20"/>
    </row>
    <row r="1429" spans="1:27" ht="12.75">
      <c r="A1429" s="54"/>
      <c r="B1429" s="10">
        <v>46086</v>
      </c>
      <c r="C1429" s="11">
        <f>VLOOKUP(B:B,'Курс валют'!A:D,4,0)</f>
        <v>90.745800000000003</v>
      </c>
      <c r="D1429" s="57" t="s">
        <v>1143</v>
      </c>
      <c r="E1429" s="50" t="s">
        <v>15</v>
      </c>
      <c r="F1429" s="58">
        <v>1100</v>
      </c>
      <c r="G1429" s="52">
        <v>1104.3</v>
      </c>
      <c r="H1429" s="49">
        <v>484.5</v>
      </c>
      <c r="I1429" s="13">
        <f t="shared" si="150"/>
        <v>4.2999999999999545</v>
      </c>
      <c r="J1429" s="14">
        <f t="shared" si="144"/>
        <v>0.39090909090908682</v>
      </c>
      <c r="K1429" s="56">
        <v>3.53</v>
      </c>
      <c r="L1429" s="15">
        <f t="shared" si="145"/>
        <v>44.045454545454547</v>
      </c>
      <c r="M1429" s="16">
        <f t="shared" si="146"/>
        <v>198.82569772363635</v>
      </c>
      <c r="N1429" s="17">
        <f t="shared" si="147"/>
        <v>2.1910181818181815</v>
      </c>
      <c r="O1429" s="17">
        <f t="shared" si="148"/>
        <v>2410.12</v>
      </c>
      <c r="P1429" s="18">
        <f t="shared" si="149"/>
        <v>218708.26749599999</v>
      </c>
      <c r="R1429" s="65"/>
      <c r="S1429" s="19"/>
      <c r="T1429" s="20"/>
      <c r="U1429" s="20"/>
      <c r="V1429" s="20"/>
      <c r="W1429" s="20"/>
      <c r="X1429" s="20"/>
      <c r="Y1429" s="20"/>
      <c r="Z1429" s="20"/>
      <c r="AA1429" s="20"/>
    </row>
    <row r="1430" spans="1:27" ht="12.75">
      <c r="A1430" s="54"/>
      <c r="B1430" s="10">
        <v>46086</v>
      </c>
      <c r="C1430" s="11">
        <f>VLOOKUP(B:B,'Курс валют'!A:D,4,0)</f>
        <v>90.745800000000003</v>
      </c>
      <c r="D1430" s="57" t="s">
        <v>1144</v>
      </c>
      <c r="E1430" s="50" t="s">
        <v>67</v>
      </c>
      <c r="F1430" s="58">
        <v>200</v>
      </c>
      <c r="G1430" s="52">
        <v>200</v>
      </c>
      <c r="H1430" s="49">
        <v>0</v>
      </c>
      <c r="I1430" s="13">
        <f t="shared" si="150"/>
        <v>0</v>
      </c>
      <c r="J1430" s="14">
        <f t="shared" si="144"/>
        <v>0</v>
      </c>
      <c r="K1430" s="56">
        <v>2.21</v>
      </c>
      <c r="L1430" s="15">
        <f t="shared" si="145"/>
        <v>0</v>
      </c>
      <c r="M1430" s="16">
        <f t="shared" si="146"/>
        <v>200.54821800000002</v>
      </c>
      <c r="N1430" s="17">
        <f t="shared" si="147"/>
        <v>2.21</v>
      </c>
      <c r="O1430" s="17">
        <f t="shared" si="148"/>
        <v>442</v>
      </c>
      <c r="P1430" s="18">
        <f t="shared" si="149"/>
        <v>40109.643600000003</v>
      </c>
      <c r="R1430" s="66" t="s">
        <v>1145</v>
      </c>
      <c r="S1430" s="19"/>
      <c r="T1430" s="20"/>
      <c r="U1430" s="20"/>
      <c r="V1430" s="20"/>
      <c r="W1430" s="20"/>
      <c r="X1430" s="20"/>
      <c r="Y1430" s="20"/>
      <c r="Z1430" s="20"/>
      <c r="AA1430" s="20"/>
    </row>
    <row r="1431" spans="1:27" ht="12.75">
      <c r="A1431" s="54"/>
      <c r="B1431" s="10">
        <v>46086</v>
      </c>
      <c r="C1431" s="11">
        <f>VLOOKUP(B:B,'Курс валют'!A:D,4,0)</f>
        <v>90.745800000000003</v>
      </c>
      <c r="D1431" s="57" t="s">
        <v>1146</v>
      </c>
      <c r="E1431" s="50" t="s">
        <v>15</v>
      </c>
      <c r="F1431" s="58">
        <v>1100</v>
      </c>
      <c r="G1431" s="52">
        <v>1104.3</v>
      </c>
      <c r="H1431" s="49">
        <v>484.5</v>
      </c>
      <c r="I1431" s="13">
        <f t="shared" si="150"/>
        <v>4.2999999999999545</v>
      </c>
      <c r="J1431" s="14">
        <f t="shared" si="144"/>
        <v>0.39090909090908682</v>
      </c>
      <c r="K1431" s="53">
        <v>3.52</v>
      </c>
      <c r="L1431" s="15">
        <f t="shared" si="145"/>
        <v>44.045454545454547</v>
      </c>
      <c r="M1431" s="16">
        <f t="shared" si="146"/>
        <v>197.91823972363636</v>
      </c>
      <c r="N1431" s="17">
        <f t="shared" si="147"/>
        <v>2.1810181818181817</v>
      </c>
      <c r="O1431" s="17">
        <f t="shared" si="148"/>
        <v>2399.12</v>
      </c>
      <c r="P1431" s="18">
        <f t="shared" si="149"/>
        <v>217710.063696</v>
      </c>
      <c r="R1431" s="66"/>
      <c r="S1431" s="19"/>
      <c r="T1431" s="20"/>
      <c r="U1431" s="20"/>
      <c r="V1431" s="20"/>
      <c r="W1431" s="20"/>
      <c r="X1431" s="20"/>
      <c r="Y1431" s="20"/>
      <c r="Z1431" s="20"/>
      <c r="AA1431" s="20"/>
    </row>
    <row r="1432" spans="1:27" ht="12.75">
      <c r="A1432" s="54"/>
      <c r="B1432" s="10">
        <v>46086</v>
      </c>
      <c r="C1432" s="11">
        <f>VLOOKUP(B:B,'Курс валют'!A:D,4,0)</f>
        <v>90.745800000000003</v>
      </c>
      <c r="D1432" s="57" t="s">
        <v>1147</v>
      </c>
      <c r="E1432" s="50" t="s">
        <v>15</v>
      </c>
      <c r="F1432" s="58">
        <v>1100</v>
      </c>
      <c r="G1432" s="52">
        <v>1104.3</v>
      </c>
      <c r="H1432" s="56">
        <v>484.5</v>
      </c>
      <c r="I1432" s="13">
        <f t="shared" si="150"/>
        <v>4.2999999999999545</v>
      </c>
      <c r="J1432" s="14">
        <f t="shared" si="144"/>
        <v>0.39090909090908682</v>
      </c>
      <c r="K1432" s="53">
        <v>3.53</v>
      </c>
      <c r="L1432" s="15">
        <f t="shared" si="145"/>
        <v>44.045454545454547</v>
      </c>
      <c r="M1432" s="16">
        <f t="shared" si="146"/>
        <v>198.82569772363635</v>
      </c>
      <c r="N1432" s="17">
        <f t="shared" si="147"/>
        <v>2.1910181818181815</v>
      </c>
      <c r="O1432" s="17">
        <f t="shared" si="148"/>
        <v>2410.12</v>
      </c>
      <c r="P1432" s="18">
        <f t="shared" si="149"/>
        <v>218708.26749599999</v>
      </c>
      <c r="R1432" s="66"/>
      <c r="S1432" s="19"/>
      <c r="T1432" s="20"/>
      <c r="U1432" s="20"/>
      <c r="V1432" s="20"/>
      <c r="W1432" s="20"/>
      <c r="X1432" s="20"/>
      <c r="Y1432" s="20"/>
      <c r="Z1432" s="20"/>
      <c r="AA1432" s="20"/>
    </row>
    <row r="1433" spans="1:27" ht="12.75">
      <c r="A1433" s="54"/>
      <c r="B1433" s="10">
        <v>46087</v>
      </c>
      <c r="C1433" s="11">
        <f>VLOOKUP(B:B,'Курс валют'!A:D,4,0)</f>
        <v>90.792599999999993</v>
      </c>
      <c r="D1433" s="57" t="s">
        <v>1148</v>
      </c>
      <c r="E1433" s="50" t="s">
        <v>67</v>
      </c>
      <c r="F1433" s="58">
        <v>200</v>
      </c>
      <c r="G1433" s="52">
        <v>200</v>
      </c>
      <c r="H1433" s="56">
        <v>0</v>
      </c>
      <c r="I1433" s="13">
        <f t="shared" si="150"/>
        <v>0</v>
      </c>
      <c r="J1433" s="14">
        <f t="shared" si="144"/>
        <v>0</v>
      </c>
      <c r="K1433" s="56">
        <v>2.21</v>
      </c>
      <c r="L1433" s="15">
        <f t="shared" si="145"/>
        <v>0</v>
      </c>
      <c r="M1433" s="16">
        <f t="shared" si="146"/>
        <v>200.651646</v>
      </c>
      <c r="N1433" s="17">
        <f t="shared" si="147"/>
        <v>2.21</v>
      </c>
      <c r="O1433" s="17">
        <f t="shared" si="148"/>
        <v>442</v>
      </c>
      <c r="P1433" s="18">
        <f t="shared" si="149"/>
        <v>40130.3292</v>
      </c>
      <c r="R1433" s="66" t="s">
        <v>1149</v>
      </c>
      <c r="S1433" s="20"/>
      <c r="T1433" s="20"/>
      <c r="U1433" s="20"/>
      <c r="V1433" s="20"/>
      <c r="W1433" s="20"/>
      <c r="X1433" s="20"/>
      <c r="Y1433" s="20"/>
      <c r="Z1433" s="20"/>
      <c r="AA1433" s="20"/>
    </row>
    <row r="1434" spans="1:27" ht="12.75">
      <c r="A1434" s="54"/>
      <c r="B1434" s="10">
        <v>46087</v>
      </c>
      <c r="C1434" s="11">
        <f>VLOOKUP(B:B,'Курс валют'!A:D,4,0)</f>
        <v>90.792599999999993</v>
      </c>
      <c r="D1434" s="57" t="s">
        <v>1150</v>
      </c>
      <c r="E1434" s="50" t="s">
        <v>52</v>
      </c>
      <c r="F1434" s="58">
        <v>1000</v>
      </c>
      <c r="G1434" s="52">
        <v>1012.46</v>
      </c>
      <c r="H1434" s="56">
        <v>0</v>
      </c>
      <c r="I1434" s="13">
        <f t="shared" si="150"/>
        <v>12.460000000000036</v>
      </c>
      <c r="J1434" s="14">
        <f t="shared" si="144"/>
        <v>1.2460000000000038</v>
      </c>
      <c r="K1434" s="56">
        <v>2.72</v>
      </c>
      <c r="L1434" s="15">
        <f t="shared" si="145"/>
        <v>0</v>
      </c>
      <c r="M1434" s="16">
        <f t="shared" si="146"/>
        <v>246.95587199999997</v>
      </c>
      <c r="N1434" s="17">
        <f t="shared" si="147"/>
        <v>2.72</v>
      </c>
      <c r="O1434" s="17">
        <f t="shared" si="148"/>
        <v>2720</v>
      </c>
      <c r="P1434" s="18">
        <f t="shared" si="149"/>
        <v>246955.87199999997</v>
      </c>
      <c r="R1434" s="66"/>
      <c r="S1434" s="20"/>
      <c r="T1434" s="20"/>
      <c r="U1434" s="20"/>
      <c r="V1434" s="20"/>
      <c r="W1434" s="20"/>
      <c r="X1434" s="20"/>
      <c r="Y1434" s="20"/>
      <c r="Z1434" s="20"/>
      <c r="AA1434" s="20"/>
    </row>
    <row r="1435" spans="1:27" ht="12.75">
      <c r="A1435" s="54"/>
      <c r="B1435" s="10">
        <v>46087</v>
      </c>
      <c r="C1435" s="11">
        <f>VLOOKUP(B:B,'Курс валют'!A:D,4,0)</f>
        <v>90.792599999999993</v>
      </c>
      <c r="D1435" s="57" t="s">
        <v>1151</v>
      </c>
      <c r="E1435" s="50" t="s">
        <v>52</v>
      </c>
      <c r="F1435" s="58">
        <v>1000</v>
      </c>
      <c r="G1435" s="52">
        <v>1012.46</v>
      </c>
      <c r="H1435" s="22">
        <v>0</v>
      </c>
      <c r="I1435" s="13">
        <f t="shared" si="150"/>
        <v>12.460000000000036</v>
      </c>
      <c r="J1435" s="14">
        <f t="shared" si="144"/>
        <v>1.2460000000000038</v>
      </c>
      <c r="K1435" s="56">
        <v>2.78</v>
      </c>
      <c r="L1435" s="15">
        <f t="shared" si="145"/>
        <v>0</v>
      </c>
      <c r="M1435" s="16">
        <f t="shared" si="146"/>
        <v>252.40342799999999</v>
      </c>
      <c r="N1435" s="17">
        <f t="shared" si="147"/>
        <v>2.78</v>
      </c>
      <c r="O1435" s="17">
        <f t="shared" si="148"/>
        <v>2780</v>
      </c>
      <c r="P1435" s="18">
        <f t="shared" si="149"/>
        <v>252403.42799999999</v>
      </c>
      <c r="R1435" s="66"/>
      <c r="S1435" s="20"/>
      <c r="T1435" s="20"/>
      <c r="U1435" s="20"/>
      <c r="V1435" s="20"/>
      <c r="W1435" s="20"/>
      <c r="X1435" s="20"/>
      <c r="Y1435" s="20"/>
      <c r="Z1435" s="20"/>
      <c r="AA1435" s="20"/>
    </row>
    <row r="1436" spans="1:27" ht="12.75">
      <c r="A1436" s="54"/>
      <c r="B1436" s="10">
        <v>46087</v>
      </c>
      <c r="C1436" s="11">
        <f>VLOOKUP(B:B,'Курс валют'!A:D,4,0)</f>
        <v>90.792599999999993</v>
      </c>
      <c r="D1436" s="57" t="s">
        <v>1152</v>
      </c>
      <c r="E1436" s="50" t="s">
        <v>101</v>
      </c>
      <c r="F1436" s="58">
        <v>1000</v>
      </c>
      <c r="G1436" s="52">
        <v>1009</v>
      </c>
      <c r="H1436" s="22">
        <v>0</v>
      </c>
      <c r="I1436" s="13">
        <f t="shared" si="150"/>
        <v>9</v>
      </c>
      <c r="J1436" s="14">
        <f t="shared" si="144"/>
        <v>0.89999999999999991</v>
      </c>
      <c r="K1436" s="56">
        <v>2.72</v>
      </c>
      <c r="L1436" s="15">
        <f t="shared" si="145"/>
        <v>0</v>
      </c>
      <c r="M1436" s="16">
        <f t="shared" si="146"/>
        <v>246.95587199999997</v>
      </c>
      <c r="N1436" s="17">
        <f t="shared" si="147"/>
        <v>2.72</v>
      </c>
      <c r="O1436" s="17">
        <f t="shared" si="148"/>
        <v>2720</v>
      </c>
      <c r="P1436" s="18">
        <f t="shared" si="149"/>
        <v>246955.87199999997</v>
      </c>
      <c r="R1436" s="66"/>
      <c r="S1436" s="20"/>
      <c r="T1436" s="20"/>
      <c r="U1436" s="20"/>
      <c r="V1436" s="20"/>
      <c r="W1436" s="20"/>
      <c r="X1436" s="20"/>
      <c r="Y1436" s="20"/>
      <c r="Z1436" s="20"/>
      <c r="AA1436" s="20"/>
    </row>
    <row r="1437" spans="1:27" ht="12.75">
      <c r="A1437" s="54"/>
      <c r="B1437" s="10">
        <v>46087</v>
      </c>
      <c r="C1437" s="11">
        <f>VLOOKUP(B:B,'Курс валют'!A:D,4,0)</f>
        <v>90.792599999999993</v>
      </c>
      <c r="D1437" s="57" t="s">
        <v>1153</v>
      </c>
      <c r="E1437" s="50" t="s">
        <v>101</v>
      </c>
      <c r="F1437" s="58">
        <v>1000</v>
      </c>
      <c r="G1437" s="52">
        <v>1009</v>
      </c>
      <c r="H1437" s="56">
        <v>0</v>
      </c>
      <c r="I1437" s="13">
        <f t="shared" si="150"/>
        <v>9</v>
      </c>
      <c r="J1437" s="14">
        <f t="shared" si="144"/>
        <v>0.89999999999999991</v>
      </c>
      <c r="K1437" s="56">
        <v>2.57</v>
      </c>
      <c r="L1437" s="15">
        <f t="shared" si="145"/>
        <v>0</v>
      </c>
      <c r="M1437" s="16">
        <f t="shared" si="146"/>
        <v>233.33698199999998</v>
      </c>
      <c r="N1437" s="17">
        <f t="shared" si="147"/>
        <v>2.57</v>
      </c>
      <c r="O1437" s="17">
        <f t="shared" si="148"/>
        <v>2570</v>
      </c>
      <c r="P1437" s="18">
        <f t="shared" si="149"/>
        <v>233336.98199999999</v>
      </c>
      <c r="R1437" s="66"/>
      <c r="S1437" s="19"/>
      <c r="T1437" s="20"/>
      <c r="U1437" s="20"/>
      <c r="V1437" s="20"/>
      <c r="W1437" s="20"/>
      <c r="X1437" s="20"/>
      <c r="Y1437" s="20"/>
      <c r="Z1437" s="20"/>
      <c r="AA1437" s="20"/>
    </row>
    <row r="1438" spans="1:27" ht="12.75">
      <c r="A1438" s="54"/>
      <c r="B1438" s="10">
        <v>46087</v>
      </c>
      <c r="C1438" s="11">
        <f>VLOOKUP(B:B,'Курс валют'!A:D,4,0)</f>
        <v>90.792599999999993</v>
      </c>
      <c r="D1438" s="57" t="s">
        <v>1154</v>
      </c>
      <c r="E1438" s="50" t="s">
        <v>101</v>
      </c>
      <c r="F1438" s="58">
        <v>1000</v>
      </c>
      <c r="G1438" s="52">
        <v>1009</v>
      </c>
      <c r="H1438" s="22">
        <v>0</v>
      </c>
      <c r="I1438" s="13">
        <f t="shared" si="150"/>
        <v>9</v>
      </c>
      <c r="J1438" s="14">
        <f t="shared" si="144"/>
        <v>0.89999999999999991</v>
      </c>
      <c r="K1438" s="56">
        <v>2.59</v>
      </c>
      <c r="L1438" s="15">
        <f t="shared" si="145"/>
        <v>0</v>
      </c>
      <c r="M1438" s="16">
        <f t="shared" si="146"/>
        <v>235.15283399999998</v>
      </c>
      <c r="N1438" s="17">
        <f t="shared" si="147"/>
        <v>2.59</v>
      </c>
      <c r="O1438" s="17">
        <f t="shared" si="148"/>
        <v>2590</v>
      </c>
      <c r="P1438" s="18">
        <f t="shared" si="149"/>
        <v>235152.83399999997</v>
      </c>
      <c r="R1438" s="66"/>
      <c r="S1438" s="19"/>
      <c r="T1438" s="20"/>
      <c r="U1438" s="20"/>
      <c r="V1438" s="20"/>
      <c r="W1438" s="20"/>
      <c r="X1438" s="20"/>
      <c r="Y1438" s="20"/>
      <c r="Z1438" s="20"/>
      <c r="AA1438" s="20"/>
    </row>
    <row r="1439" spans="1:27" ht="12.75">
      <c r="A1439" s="54"/>
      <c r="B1439" s="10">
        <v>46087</v>
      </c>
      <c r="C1439" s="11">
        <f>VLOOKUP(B:B,'Курс валют'!A:D,4,0)</f>
        <v>90.792599999999993</v>
      </c>
      <c r="D1439" s="57" t="s">
        <v>1155</v>
      </c>
      <c r="E1439" s="50" t="s">
        <v>101</v>
      </c>
      <c r="F1439" s="58">
        <v>1000</v>
      </c>
      <c r="G1439" s="52">
        <v>1009</v>
      </c>
      <c r="H1439" s="56">
        <v>0</v>
      </c>
      <c r="I1439" s="13">
        <f t="shared" si="150"/>
        <v>9</v>
      </c>
      <c r="J1439" s="14">
        <f t="shared" si="144"/>
        <v>0.89999999999999991</v>
      </c>
      <c r="K1439" s="56">
        <v>2.59</v>
      </c>
      <c r="L1439" s="15">
        <f t="shared" si="145"/>
        <v>0</v>
      </c>
      <c r="M1439" s="16">
        <f t="shared" si="146"/>
        <v>235.15283399999998</v>
      </c>
      <c r="N1439" s="17">
        <f t="shared" si="147"/>
        <v>2.59</v>
      </c>
      <c r="O1439" s="17">
        <f t="shared" si="148"/>
        <v>2590</v>
      </c>
      <c r="P1439" s="18">
        <f t="shared" si="149"/>
        <v>235152.83399999997</v>
      </c>
      <c r="R1439" s="66"/>
      <c r="S1439" s="19"/>
      <c r="T1439" s="20"/>
      <c r="U1439" s="20"/>
      <c r="V1439" s="20"/>
      <c r="W1439" s="20"/>
      <c r="X1439" s="20"/>
      <c r="Y1439" s="20"/>
      <c r="Z1439" s="20"/>
      <c r="AA1439" s="20"/>
    </row>
    <row r="1440" spans="1:27" ht="12.75">
      <c r="A1440" s="54"/>
      <c r="B1440" s="10">
        <v>46088</v>
      </c>
      <c r="C1440" s="11">
        <f>VLOOKUP(B:B,'Курс валют'!A:D,4,0)</f>
        <v>91.839100000000002</v>
      </c>
      <c r="D1440" s="57" t="s">
        <v>1156</v>
      </c>
      <c r="E1440" s="50" t="s">
        <v>101</v>
      </c>
      <c r="F1440" s="58">
        <v>1000</v>
      </c>
      <c r="G1440" s="52">
        <v>1009</v>
      </c>
      <c r="H1440" s="56">
        <v>0</v>
      </c>
      <c r="I1440" s="13">
        <f t="shared" si="150"/>
        <v>9</v>
      </c>
      <c r="J1440" s="14">
        <f t="shared" si="144"/>
        <v>0.89999999999999991</v>
      </c>
      <c r="K1440" s="56">
        <v>2.56</v>
      </c>
      <c r="L1440" s="15">
        <f t="shared" si="145"/>
        <v>0</v>
      </c>
      <c r="M1440" s="16">
        <f t="shared" si="146"/>
        <v>235.10809600000002</v>
      </c>
      <c r="N1440" s="17">
        <f t="shared" si="147"/>
        <v>2.56</v>
      </c>
      <c r="O1440" s="17">
        <f t="shared" si="148"/>
        <v>2560</v>
      </c>
      <c r="P1440" s="18">
        <f t="shared" si="149"/>
        <v>235108.09600000002</v>
      </c>
      <c r="R1440" s="66"/>
      <c r="S1440" s="20"/>
      <c r="T1440" s="20"/>
      <c r="U1440" s="20"/>
      <c r="V1440" s="20"/>
      <c r="W1440" s="20"/>
      <c r="X1440" s="20"/>
      <c r="Y1440" s="20"/>
      <c r="Z1440" s="20"/>
      <c r="AA1440" s="20"/>
    </row>
    <row r="1441" spans="1:27" ht="12.75">
      <c r="A1441" s="54"/>
      <c r="B1441" s="10">
        <v>46088</v>
      </c>
      <c r="C1441" s="11">
        <f>VLOOKUP(B:B,'Курс валют'!A:D,4,0)</f>
        <v>91.839100000000002</v>
      </c>
      <c r="D1441" s="57" t="s">
        <v>1157</v>
      </c>
      <c r="E1441" s="50" t="s">
        <v>101</v>
      </c>
      <c r="F1441" s="58">
        <v>1000</v>
      </c>
      <c r="G1441" s="52">
        <v>1009</v>
      </c>
      <c r="H1441" s="56">
        <v>0</v>
      </c>
      <c r="I1441" s="13">
        <f t="shared" si="150"/>
        <v>9</v>
      </c>
      <c r="J1441" s="14">
        <f t="shared" si="144"/>
        <v>0.89999999999999991</v>
      </c>
      <c r="K1441" s="56">
        <v>2.56</v>
      </c>
      <c r="L1441" s="15">
        <f t="shared" si="145"/>
        <v>0</v>
      </c>
      <c r="M1441" s="16">
        <f t="shared" si="146"/>
        <v>235.10809600000002</v>
      </c>
      <c r="N1441" s="17">
        <f t="shared" si="147"/>
        <v>2.56</v>
      </c>
      <c r="O1441" s="17">
        <f t="shared" si="148"/>
        <v>2560</v>
      </c>
      <c r="P1441" s="18">
        <f t="shared" si="149"/>
        <v>235108.09600000002</v>
      </c>
      <c r="R1441" s="66"/>
      <c r="S1441" s="20"/>
      <c r="T1441" s="20"/>
      <c r="U1441" s="20"/>
      <c r="V1441" s="20"/>
      <c r="W1441" s="20"/>
      <c r="X1441" s="20"/>
      <c r="Y1441" s="20"/>
      <c r="Z1441" s="20"/>
      <c r="AA1441" s="20"/>
    </row>
    <row r="1442" spans="1:27" ht="12.75">
      <c r="A1442" s="54"/>
      <c r="B1442" s="10">
        <v>46091</v>
      </c>
      <c r="C1442" s="11">
        <f>VLOOKUP(B:B,'Курс валют'!A:D,4,0)</f>
        <v>91.839100000000002</v>
      </c>
      <c r="D1442" s="57" t="s">
        <v>1158</v>
      </c>
      <c r="E1442" s="50" t="s">
        <v>51</v>
      </c>
      <c r="F1442" s="58">
        <v>800</v>
      </c>
      <c r="G1442" s="52">
        <v>804.34</v>
      </c>
      <c r="H1442" s="56">
        <v>0</v>
      </c>
      <c r="I1442" s="13">
        <f t="shared" si="150"/>
        <v>4.3400000000000318</v>
      </c>
      <c r="J1442" s="14">
        <f t="shared" si="144"/>
        <v>0.54250000000000398</v>
      </c>
      <c r="K1442" s="56">
        <v>1.98</v>
      </c>
      <c r="L1442" s="15">
        <f t="shared" si="145"/>
        <v>0</v>
      </c>
      <c r="M1442" s="16">
        <f t="shared" si="146"/>
        <v>181.841418</v>
      </c>
      <c r="N1442" s="17">
        <f t="shared" si="147"/>
        <v>1.98</v>
      </c>
      <c r="O1442" s="17">
        <f t="shared" si="148"/>
        <v>1584</v>
      </c>
      <c r="P1442" s="18">
        <f t="shared" si="149"/>
        <v>145473.13440000001</v>
      </c>
      <c r="R1442" s="66"/>
      <c r="S1442" s="20"/>
      <c r="T1442" s="20"/>
      <c r="U1442" s="20"/>
      <c r="V1442" s="20"/>
      <c r="W1442" s="20"/>
      <c r="X1442" s="20"/>
      <c r="Y1442" s="20"/>
      <c r="Z1442" s="20"/>
      <c r="AA1442" s="20"/>
    </row>
    <row r="1443" spans="1:27" ht="12.75">
      <c r="A1443" s="54"/>
      <c r="B1443" s="10">
        <v>46091</v>
      </c>
      <c r="C1443" s="11">
        <f>VLOOKUP(B:B,'Курс валют'!A:D,4,0)</f>
        <v>91.839100000000002</v>
      </c>
      <c r="D1443" s="57" t="s">
        <v>1159</v>
      </c>
      <c r="E1443" s="50" t="s">
        <v>51</v>
      </c>
      <c r="F1443" s="58">
        <v>800</v>
      </c>
      <c r="G1443" s="52">
        <v>804.34</v>
      </c>
      <c r="H1443" s="56">
        <v>0</v>
      </c>
      <c r="I1443" s="13">
        <f t="shared" si="150"/>
        <v>4.3400000000000318</v>
      </c>
      <c r="J1443" s="14">
        <f t="shared" si="144"/>
        <v>0.54250000000000398</v>
      </c>
      <c r="K1443" s="56">
        <v>1.98</v>
      </c>
      <c r="L1443" s="15">
        <f t="shared" si="145"/>
        <v>0</v>
      </c>
      <c r="M1443" s="16">
        <f t="shared" si="146"/>
        <v>181.841418</v>
      </c>
      <c r="N1443" s="17">
        <f t="shared" si="147"/>
        <v>1.98</v>
      </c>
      <c r="O1443" s="17">
        <f t="shared" si="148"/>
        <v>1584</v>
      </c>
      <c r="P1443" s="18">
        <f t="shared" si="149"/>
        <v>145473.13440000001</v>
      </c>
      <c r="R1443" s="66"/>
      <c r="S1443" s="20"/>
      <c r="T1443" s="20"/>
      <c r="U1443" s="20"/>
      <c r="V1443" s="20"/>
      <c r="W1443" s="20"/>
      <c r="X1443" s="20"/>
      <c r="Y1443" s="20"/>
      <c r="Z1443" s="20"/>
      <c r="AA1443" s="20"/>
    </row>
    <row r="1444" spans="1:27" ht="12.75">
      <c r="A1444" s="54"/>
      <c r="B1444" s="10">
        <v>46091</v>
      </c>
      <c r="C1444" s="11">
        <f>VLOOKUP(B:B,'Курс валют'!A:D,4,0)</f>
        <v>91.839100000000002</v>
      </c>
      <c r="D1444" s="57" t="s">
        <v>1160</v>
      </c>
      <c r="E1444" s="50" t="s">
        <v>51</v>
      </c>
      <c r="F1444" s="58">
        <v>800</v>
      </c>
      <c r="G1444" s="52">
        <v>804.34</v>
      </c>
      <c r="H1444" s="56">
        <v>0</v>
      </c>
      <c r="I1444" s="13">
        <f t="shared" si="150"/>
        <v>4.3400000000000318</v>
      </c>
      <c r="J1444" s="14">
        <f t="shared" si="144"/>
        <v>0.54250000000000398</v>
      </c>
      <c r="K1444" s="56">
        <v>1.98</v>
      </c>
      <c r="L1444" s="15">
        <f t="shared" si="145"/>
        <v>0</v>
      </c>
      <c r="M1444" s="16">
        <f t="shared" si="146"/>
        <v>181.841418</v>
      </c>
      <c r="N1444" s="17">
        <f t="shared" si="147"/>
        <v>1.98</v>
      </c>
      <c r="O1444" s="17">
        <f t="shared" si="148"/>
        <v>1584</v>
      </c>
      <c r="P1444" s="18">
        <f t="shared" si="149"/>
        <v>145473.13440000001</v>
      </c>
      <c r="R1444" s="66"/>
      <c r="S1444" s="20"/>
      <c r="T1444" s="20"/>
      <c r="U1444" s="20"/>
      <c r="V1444" s="20"/>
      <c r="W1444" s="20"/>
      <c r="X1444" s="20"/>
      <c r="Y1444" s="20"/>
      <c r="Z1444" s="20"/>
      <c r="AA1444" s="20"/>
    </row>
    <row r="1445" spans="1:27" ht="12.75">
      <c r="A1445" s="54"/>
      <c r="B1445" s="10">
        <v>46091</v>
      </c>
      <c r="C1445" s="11">
        <f>VLOOKUP(B:B,'Курс валют'!A:D,4,0)</f>
        <v>91.839100000000002</v>
      </c>
      <c r="D1445" s="57" t="s">
        <v>1161</v>
      </c>
      <c r="E1445" s="50" t="s">
        <v>51</v>
      </c>
      <c r="F1445" s="58">
        <v>800</v>
      </c>
      <c r="G1445" s="52">
        <v>804.34</v>
      </c>
      <c r="H1445" s="56">
        <v>0</v>
      </c>
      <c r="I1445" s="13">
        <f t="shared" si="150"/>
        <v>4.3400000000000318</v>
      </c>
      <c r="J1445" s="14">
        <f t="shared" si="144"/>
        <v>0.54250000000000398</v>
      </c>
      <c r="K1445" s="56">
        <v>1.98</v>
      </c>
      <c r="L1445" s="15">
        <f t="shared" si="145"/>
        <v>0</v>
      </c>
      <c r="M1445" s="16">
        <f t="shared" si="146"/>
        <v>181.841418</v>
      </c>
      <c r="N1445" s="17">
        <f t="shared" si="147"/>
        <v>1.98</v>
      </c>
      <c r="O1445" s="17">
        <f t="shared" si="148"/>
        <v>1584</v>
      </c>
      <c r="P1445" s="18">
        <f t="shared" si="149"/>
        <v>145473.13440000001</v>
      </c>
      <c r="R1445" s="66"/>
      <c r="S1445" s="20"/>
      <c r="T1445" s="20"/>
      <c r="U1445" s="20"/>
      <c r="V1445" s="20"/>
      <c r="W1445" s="20"/>
      <c r="X1445" s="20"/>
      <c r="Y1445" s="20"/>
      <c r="Z1445" s="20"/>
      <c r="AA1445" s="20"/>
    </row>
    <row r="1446" spans="1:27" ht="12.75">
      <c r="A1446" s="54"/>
      <c r="B1446" s="10">
        <v>46091</v>
      </c>
      <c r="C1446" s="11">
        <f>VLOOKUP(B:B,'Курс валют'!A:D,4,0)</f>
        <v>91.839100000000002</v>
      </c>
      <c r="D1446" s="57" t="s">
        <v>1162</v>
      </c>
      <c r="E1446" s="50" t="s">
        <v>51</v>
      </c>
      <c r="F1446" s="58">
        <v>800</v>
      </c>
      <c r="G1446" s="52">
        <v>804.34</v>
      </c>
      <c r="H1446" s="56">
        <v>0</v>
      </c>
      <c r="I1446" s="13">
        <f t="shared" si="150"/>
        <v>4.3400000000000318</v>
      </c>
      <c r="J1446" s="14">
        <f t="shared" si="144"/>
        <v>0.54250000000000398</v>
      </c>
      <c r="K1446" s="56">
        <v>1.98</v>
      </c>
      <c r="L1446" s="15">
        <f t="shared" si="145"/>
        <v>0</v>
      </c>
      <c r="M1446" s="16">
        <f t="shared" si="146"/>
        <v>181.841418</v>
      </c>
      <c r="N1446" s="17">
        <f t="shared" si="147"/>
        <v>1.98</v>
      </c>
      <c r="O1446" s="17">
        <f t="shared" si="148"/>
        <v>1584</v>
      </c>
      <c r="P1446" s="18">
        <f t="shared" si="149"/>
        <v>145473.13440000001</v>
      </c>
      <c r="R1446" s="66"/>
      <c r="S1446" s="20"/>
      <c r="T1446" s="20"/>
      <c r="U1446" s="20"/>
      <c r="V1446" s="20"/>
      <c r="W1446" s="20"/>
      <c r="X1446" s="20"/>
      <c r="Y1446" s="20"/>
      <c r="Z1446" s="20"/>
      <c r="AA1446" s="20"/>
    </row>
    <row r="1447" spans="1:27" ht="12.75">
      <c r="A1447" s="54"/>
      <c r="B1447" s="10">
        <v>46091</v>
      </c>
      <c r="C1447" s="11">
        <f>VLOOKUP(B:B,'Курс валют'!A:D,4,0)</f>
        <v>91.839100000000002</v>
      </c>
      <c r="D1447" s="57" t="s">
        <v>1163</v>
      </c>
      <c r="E1447" s="50" t="s">
        <v>65</v>
      </c>
      <c r="F1447" s="58">
        <v>800</v>
      </c>
      <c r="G1447" s="52">
        <v>804.99</v>
      </c>
      <c r="H1447" s="56">
        <v>0</v>
      </c>
      <c r="I1447" s="13">
        <f t="shared" si="150"/>
        <v>4.9900000000000091</v>
      </c>
      <c r="J1447" s="14">
        <f t="shared" si="144"/>
        <v>0.62375000000000114</v>
      </c>
      <c r="K1447" s="56">
        <v>2</v>
      </c>
      <c r="L1447" s="15">
        <f t="shared" si="145"/>
        <v>0</v>
      </c>
      <c r="M1447" s="16">
        <f t="shared" si="146"/>
        <v>183.6782</v>
      </c>
      <c r="N1447" s="17">
        <f t="shared" si="147"/>
        <v>2</v>
      </c>
      <c r="O1447" s="17">
        <f t="shared" si="148"/>
        <v>1600</v>
      </c>
      <c r="P1447" s="18">
        <f t="shared" si="149"/>
        <v>146942.56</v>
      </c>
      <c r="R1447" s="66"/>
      <c r="S1447" s="20"/>
      <c r="T1447" s="20"/>
      <c r="U1447" s="20"/>
      <c r="V1447" s="20"/>
      <c r="W1447" s="20"/>
      <c r="X1447" s="20"/>
      <c r="Y1447" s="20"/>
      <c r="Z1447" s="20"/>
      <c r="AA1447" s="20"/>
    </row>
    <row r="1448" spans="1:27" ht="12.75">
      <c r="A1448" s="54"/>
      <c r="B1448" s="10">
        <v>46091</v>
      </c>
      <c r="C1448" s="11">
        <f>VLOOKUP(B:B,'Курс валют'!A:D,4,0)</f>
        <v>91.839100000000002</v>
      </c>
      <c r="D1448" s="57" t="s">
        <v>1164</v>
      </c>
      <c r="E1448" s="50" t="s">
        <v>65</v>
      </c>
      <c r="F1448" s="58">
        <v>800</v>
      </c>
      <c r="G1448" s="52">
        <v>804.99</v>
      </c>
      <c r="H1448" s="56">
        <v>0</v>
      </c>
      <c r="I1448" s="13">
        <f t="shared" si="150"/>
        <v>4.9900000000000091</v>
      </c>
      <c r="J1448" s="14">
        <f t="shared" si="144"/>
        <v>0.62375000000000114</v>
      </c>
      <c r="K1448" s="56">
        <v>1.98</v>
      </c>
      <c r="L1448" s="15">
        <f t="shared" si="145"/>
        <v>0</v>
      </c>
      <c r="M1448" s="16">
        <f t="shared" si="146"/>
        <v>181.841418</v>
      </c>
      <c r="N1448" s="17">
        <f t="shared" si="147"/>
        <v>1.98</v>
      </c>
      <c r="O1448" s="17">
        <f t="shared" si="148"/>
        <v>1584</v>
      </c>
      <c r="P1448" s="18">
        <f t="shared" si="149"/>
        <v>145473.13440000001</v>
      </c>
      <c r="R1448" s="66"/>
      <c r="S1448" s="20"/>
      <c r="T1448" s="20"/>
      <c r="U1448" s="20"/>
      <c r="V1448" s="20"/>
      <c r="W1448" s="20"/>
      <c r="X1448" s="20"/>
      <c r="Y1448" s="20"/>
      <c r="Z1448" s="20"/>
      <c r="AA1448" s="20"/>
    </row>
    <row r="1449" spans="1:27" ht="12.75">
      <c r="A1449" s="54"/>
      <c r="B1449" s="10">
        <v>46091</v>
      </c>
      <c r="C1449" s="11">
        <f>VLOOKUP(B:B,'Курс валют'!A:D,4,0)</f>
        <v>91.839100000000002</v>
      </c>
      <c r="D1449" s="57" t="s">
        <v>1165</v>
      </c>
      <c r="E1449" s="50" t="s">
        <v>51</v>
      </c>
      <c r="F1449" s="58">
        <v>800</v>
      </c>
      <c r="G1449" s="52">
        <v>804.34</v>
      </c>
      <c r="H1449" s="56">
        <v>0</v>
      </c>
      <c r="I1449" s="13">
        <f t="shared" si="150"/>
        <v>4.3400000000000318</v>
      </c>
      <c r="J1449" s="14">
        <f t="shared" si="144"/>
        <v>0.54250000000000398</v>
      </c>
      <c r="K1449" s="56">
        <v>1.98</v>
      </c>
      <c r="L1449" s="15">
        <f t="shared" si="145"/>
        <v>0</v>
      </c>
      <c r="M1449" s="16">
        <f t="shared" si="146"/>
        <v>181.841418</v>
      </c>
      <c r="N1449" s="17">
        <f t="shared" si="147"/>
        <v>1.98</v>
      </c>
      <c r="O1449" s="17">
        <f t="shared" si="148"/>
        <v>1584</v>
      </c>
      <c r="P1449" s="18">
        <f t="shared" si="149"/>
        <v>145473.13440000001</v>
      </c>
      <c r="R1449" s="66"/>
      <c r="S1449" s="20"/>
      <c r="T1449" s="20"/>
      <c r="U1449" s="20"/>
      <c r="V1449" s="20"/>
      <c r="W1449" s="20"/>
      <c r="X1449" s="20"/>
      <c r="Y1449" s="20"/>
      <c r="Z1449" s="20"/>
      <c r="AA1449" s="20"/>
    </row>
    <row r="1450" spans="1:27" ht="12.75">
      <c r="A1450" s="54"/>
      <c r="B1450" s="10">
        <v>46091</v>
      </c>
      <c r="C1450" s="11">
        <f>VLOOKUP(B:B,'Курс валют'!A:D,4,0)</f>
        <v>91.839100000000002</v>
      </c>
      <c r="D1450" s="57" t="s">
        <v>1166</v>
      </c>
      <c r="E1450" s="50" t="s">
        <v>51</v>
      </c>
      <c r="F1450" s="58">
        <v>800</v>
      </c>
      <c r="G1450" s="52">
        <v>804.34</v>
      </c>
      <c r="H1450" s="56">
        <v>0</v>
      </c>
      <c r="I1450" s="13">
        <f t="shared" si="150"/>
        <v>4.3400000000000318</v>
      </c>
      <c r="J1450" s="14">
        <f t="shared" si="144"/>
        <v>0.54250000000000398</v>
      </c>
      <c r="K1450" s="56">
        <v>1.98</v>
      </c>
      <c r="L1450" s="15">
        <f t="shared" si="145"/>
        <v>0</v>
      </c>
      <c r="M1450" s="16">
        <f t="shared" si="146"/>
        <v>181.841418</v>
      </c>
      <c r="N1450" s="17">
        <f t="shared" si="147"/>
        <v>1.98</v>
      </c>
      <c r="O1450" s="17">
        <f t="shared" si="148"/>
        <v>1584</v>
      </c>
      <c r="P1450" s="18">
        <f t="shared" si="149"/>
        <v>145473.13440000001</v>
      </c>
      <c r="R1450" s="66"/>
      <c r="S1450" s="20"/>
      <c r="T1450" s="20"/>
      <c r="U1450" s="20"/>
      <c r="V1450" s="20"/>
      <c r="W1450" s="20"/>
      <c r="X1450" s="20"/>
      <c r="Y1450" s="20"/>
      <c r="Z1450" s="20"/>
      <c r="AA1450" s="20"/>
    </row>
    <row r="1451" spans="1:27" ht="12.75">
      <c r="A1451" s="54"/>
      <c r="B1451" s="10">
        <v>46091</v>
      </c>
      <c r="C1451" s="11">
        <f>VLOOKUP(B:B,'Курс валют'!A:D,4,0)</f>
        <v>91.839100000000002</v>
      </c>
      <c r="D1451" s="57" t="s">
        <v>1167</v>
      </c>
      <c r="E1451" s="55" t="s">
        <v>65</v>
      </c>
      <c r="F1451" s="58">
        <v>800</v>
      </c>
      <c r="G1451" s="52">
        <v>804.99</v>
      </c>
      <c r="H1451" s="56">
        <v>0</v>
      </c>
      <c r="I1451" s="13">
        <f t="shared" si="150"/>
        <v>4.9900000000000091</v>
      </c>
      <c r="J1451" s="14">
        <f t="shared" si="144"/>
        <v>0.62375000000000114</v>
      </c>
      <c r="K1451" s="56">
        <v>2</v>
      </c>
      <c r="L1451" s="15">
        <f t="shared" si="145"/>
        <v>0</v>
      </c>
      <c r="M1451" s="16">
        <f t="shared" si="146"/>
        <v>183.6782</v>
      </c>
      <c r="N1451" s="17">
        <f t="shared" si="147"/>
        <v>2</v>
      </c>
      <c r="O1451" s="17">
        <f t="shared" si="148"/>
        <v>1600</v>
      </c>
      <c r="P1451" s="18">
        <f t="shared" si="149"/>
        <v>146942.56</v>
      </c>
      <c r="R1451" s="66"/>
      <c r="S1451" s="20"/>
      <c r="T1451" s="20"/>
      <c r="U1451" s="20"/>
      <c r="V1451" s="20"/>
      <c r="W1451" s="20"/>
      <c r="X1451" s="20"/>
      <c r="Y1451" s="20"/>
      <c r="Z1451" s="20"/>
      <c r="AA1451" s="20"/>
    </row>
    <row r="1452" spans="1:27" ht="12.75">
      <c r="A1452" s="54"/>
      <c r="B1452" s="10">
        <v>46091</v>
      </c>
      <c r="C1452" s="11">
        <f>VLOOKUP(B:B,'Курс валют'!A:D,4,0)</f>
        <v>91.839100000000002</v>
      </c>
      <c r="D1452" s="57" t="s">
        <v>1168</v>
      </c>
      <c r="E1452" s="55" t="s">
        <v>51</v>
      </c>
      <c r="F1452" s="58">
        <v>800</v>
      </c>
      <c r="G1452" s="13">
        <v>804.34</v>
      </c>
      <c r="H1452" s="56">
        <v>0</v>
      </c>
      <c r="I1452" s="13">
        <f t="shared" si="150"/>
        <v>4.3400000000000318</v>
      </c>
      <c r="J1452" s="14">
        <f t="shared" si="144"/>
        <v>0.54250000000000398</v>
      </c>
      <c r="K1452" s="56">
        <v>1.98</v>
      </c>
      <c r="L1452" s="15">
        <f t="shared" si="145"/>
        <v>0</v>
      </c>
      <c r="M1452" s="16">
        <f t="shared" si="146"/>
        <v>181.841418</v>
      </c>
      <c r="N1452" s="17">
        <f t="shared" si="147"/>
        <v>1.98</v>
      </c>
      <c r="O1452" s="17">
        <f t="shared" si="148"/>
        <v>1584</v>
      </c>
      <c r="P1452" s="18">
        <f t="shared" si="149"/>
        <v>145473.13440000001</v>
      </c>
      <c r="R1452" s="66"/>
      <c r="S1452" s="20"/>
      <c r="T1452" s="20"/>
      <c r="U1452" s="20"/>
      <c r="V1452" s="20"/>
      <c r="W1452" s="20"/>
      <c r="X1452" s="20"/>
      <c r="Y1452" s="20"/>
      <c r="Z1452" s="20"/>
      <c r="AA1452" s="20"/>
    </row>
    <row r="1453" spans="1:27" ht="12.75">
      <c r="A1453" s="54"/>
      <c r="B1453" s="10">
        <v>46091</v>
      </c>
      <c r="C1453" s="11">
        <f>VLOOKUP(B:B,'Курс валют'!A:D,4,0)</f>
        <v>91.839100000000002</v>
      </c>
      <c r="D1453" s="57" t="s">
        <v>1169</v>
      </c>
      <c r="E1453" s="55" t="s">
        <v>51</v>
      </c>
      <c r="F1453" s="58">
        <v>800</v>
      </c>
      <c r="G1453" s="13">
        <v>804.34</v>
      </c>
      <c r="H1453" s="56">
        <v>0</v>
      </c>
      <c r="I1453" s="13">
        <f t="shared" si="150"/>
        <v>4.3400000000000318</v>
      </c>
      <c r="J1453" s="14">
        <f t="shared" si="144"/>
        <v>0.54250000000000398</v>
      </c>
      <c r="K1453" s="56">
        <v>1.98</v>
      </c>
      <c r="L1453" s="15">
        <f t="shared" si="145"/>
        <v>0</v>
      </c>
      <c r="M1453" s="16">
        <f t="shared" si="146"/>
        <v>181.841418</v>
      </c>
      <c r="N1453" s="17">
        <f t="shared" si="147"/>
        <v>1.98</v>
      </c>
      <c r="O1453" s="17">
        <f t="shared" si="148"/>
        <v>1584</v>
      </c>
      <c r="P1453" s="18">
        <f t="shared" si="149"/>
        <v>145473.13440000001</v>
      </c>
      <c r="R1453" s="66"/>
      <c r="S1453" s="20"/>
      <c r="T1453" s="20"/>
      <c r="U1453" s="20"/>
      <c r="V1453" s="20"/>
      <c r="W1453" s="20"/>
      <c r="X1453" s="20"/>
      <c r="Y1453" s="20"/>
      <c r="Z1453" s="20"/>
      <c r="AA1453" s="20"/>
    </row>
    <row r="1454" spans="1:27" ht="12.75">
      <c r="A1454" s="54"/>
      <c r="B1454" s="10">
        <v>46091</v>
      </c>
      <c r="C1454" s="11">
        <f>VLOOKUP(B:B,'Курс валют'!A:D,4,0)</f>
        <v>91.839100000000002</v>
      </c>
      <c r="D1454" s="57" t="s">
        <v>1170</v>
      </c>
      <c r="E1454" s="55" t="s">
        <v>65</v>
      </c>
      <c r="F1454" s="58">
        <v>800</v>
      </c>
      <c r="G1454" s="52">
        <v>804.99</v>
      </c>
      <c r="H1454" s="56">
        <v>0</v>
      </c>
      <c r="I1454" s="13">
        <f t="shared" si="150"/>
        <v>4.9900000000000091</v>
      </c>
      <c r="J1454" s="14">
        <f t="shared" si="144"/>
        <v>0.62375000000000114</v>
      </c>
      <c r="K1454" s="56">
        <v>1.99</v>
      </c>
      <c r="L1454" s="15">
        <f t="shared" si="145"/>
        <v>0</v>
      </c>
      <c r="M1454" s="16">
        <f t="shared" si="146"/>
        <v>182.75980899999999</v>
      </c>
      <c r="N1454" s="17">
        <f t="shared" si="147"/>
        <v>1.99</v>
      </c>
      <c r="O1454" s="17">
        <f t="shared" si="148"/>
        <v>1592</v>
      </c>
      <c r="P1454" s="18">
        <f t="shared" si="149"/>
        <v>146207.84719999999</v>
      </c>
      <c r="R1454" s="66"/>
      <c r="S1454" s="20"/>
      <c r="T1454" s="20"/>
      <c r="U1454" s="20"/>
      <c r="V1454" s="20"/>
      <c r="W1454" s="20"/>
      <c r="X1454" s="20"/>
      <c r="Y1454" s="20"/>
      <c r="Z1454" s="20"/>
      <c r="AA1454" s="20"/>
    </row>
    <row r="1455" spans="1:27" ht="12.75">
      <c r="A1455" s="54"/>
      <c r="B1455" s="10">
        <v>46091</v>
      </c>
      <c r="C1455" s="11">
        <f>VLOOKUP(B:B,'Курс валют'!A:D,4,0)</f>
        <v>91.839100000000002</v>
      </c>
      <c r="D1455" s="57" t="s">
        <v>1171</v>
      </c>
      <c r="E1455" s="55" t="s">
        <v>51</v>
      </c>
      <c r="F1455" s="58">
        <v>800</v>
      </c>
      <c r="G1455" s="13">
        <v>804.34</v>
      </c>
      <c r="H1455" s="56">
        <v>0</v>
      </c>
      <c r="I1455" s="13">
        <f t="shared" si="150"/>
        <v>4.3400000000000318</v>
      </c>
      <c r="J1455" s="14">
        <f t="shared" si="144"/>
        <v>0.54250000000000398</v>
      </c>
      <c r="K1455" s="56">
        <v>1.98</v>
      </c>
      <c r="L1455" s="15">
        <f t="shared" si="145"/>
        <v>0</v>
      </c>
      <c r="M1455" s="16">
        <f t="shared" si="146"/>
        <v>181.841418</v>
      </c>
      <c r="N1455" s="17">
        <f t="shared" si="147"/>
        <v>1.98</v>
      </c>
      <c r="O1455" s="17">
        <f t="shared" si="148"/>
        <v>1584</v>
      </c>
      <c r="P1455" s="18">
        <f t="shared" si="149"/>
        <v>145473.13440000001</v>
      </c>
      <c r="R1455" s="66"/>
      <c r="S1455" s="20"/>
      <c r="T1455" s="20"/>
      <c r="U1455" s="20"/>
      <c r="V1455" s="20"/>
      <c r="W1455" s="20"/>
      <c r="X1455" s="20"/>
      <c r="Y1455" s="20"/>
      <c r="Z1455" s="20"/>
      <c r="AA1455" s="20"/>
    </row>
    <row r="1456" spans="1:27" ht="12.75">
      <c r="A1456" s="54"/>
      <c r="B1456" s="10">
        <v>46091</v>
      </c>
      <c r="C1456" s="11">
        <f>VLOOKUP(B:B,'Курс валют'!A:D,4,0)</f>
        <v>91.839100000000002</v>
      </c>
      <c r="D1456" s="57" t="s">
        <v>1172</v>
      </c>
      <c r="E1456" s="55" t="s">
        <v>65</v>
      </c>
      <c r="F1456" s="58">
        <v>800</v>
      </c>
      <c r="G1456" s="13">
        <v>804.99</v>
      </c>
      <c r="H1456" s="56">
        <v>0</v>
      </c>
      <c r="I1456" s="13">
        <f t="shared" si="150"/>
        <v>4.9900000000000091</v>
      </c>
      <c r="J1456" s="14">
        <f t="shared" si="144"/>
        <v>0.62375000000000114</v>
      </c>
      <c r="K1456" s="56">
        <v>1.98</v>
      </c>
      <c r="L1456" s="15">
        <f t="shared" si="145"/>
        <v>0</v>
      </c>
      <c r="M1456" s="16">
        <f t="shared" si="146"/>
        <v>181.841418</v>
      </c>
      <c r="N1456" s="17">
        <f t="shared" si="147"/>
        <v>1.98</v>
      </c>
      <c r="O1456" s="17">
        <f t="shared" si="148"/>
        <v>1584</v>
      </c>
      <c r="P1456" s="18">
        <f t="shared" si="149"/>
        <v>145473.13440000001</v>
      </c>
      <c r="R1456" s="66"/>
      <c r="S1456" s="20"/>
      <c r="T1456" s="20"/>
      <c r="U1456" s="20"/>
      <c r="V1456" s="20"/>
      <c r="W1456" s="20"/>
      <c r="X1456" s="20"/>
      <c r="Y1456" s="20"/>
      <c r="Z1456" s="20"/>
      <c r="AA1456" s="20"/>
    </row>
    <row r="1457" spans="1:27" ht="12.75">
      <c r="A1457" s="54"/>
      <c r="B1457" s="10">
        <v>46091</v>
      </c>
      <c r="C1457" s="11">
        <f>VLOOKUP(B:B,'Курс валют'!A:D,4,0)</f>
        <v>91.839100000000002</v>
      </c>
      <c r="D1457" s="57" t="s">
        <v>1173</v>
      </c>
      <c r="E1457" s="55" t="s">
        <v>65</v>
      </c>
      <c r="F1457" s="58">
        <v>800</v>
      </c>
      <c r="G1457" s="13">
        <v>804.99</v>
      </c>
      <c r="H1457" s="56">
        <v>0</v>
      </c>
      <c r="I1457" s="13">
        <f t="shared" si="150"/>
        <v>4.9900000000000091</v>
      </c>
      <c r="J1457" s="14">
        <f t="shared" si="144"/>
        <v>0.62375000000000114</v>
      </c>
      <c r="K1457" s="56">
        <v>1.98</v>
      </c>
      <c r="L1457" s="15">
        <f t="shared" si="145"/>
        <v>0</v>
      </c>
      <c r="M1457" s="16">
        <f t="shared" si="146"/>
        <v>181.841418</v>
      </c>
      <c r="N1457" s="17">
        <f t="shared" si="147"/>
        <v>1.98</v>
      </c>
      <c r="O1457" s="17">
        <f t="shared" si="148"/>
        <v>1584</v>
      </c>
      <c r="P1457" s="18">
        <f t="shared" si="149"/>
        <v>145473.13440000001</v>
      </c>
      <c r="R1457" s="66"/>
      <c r="S1457" s="20"/>
      <c r="T1457" s="20"/>
      <c r="U1457" s="20"/>
      <c r="V1457" s="20"/>
      <c r="W1457" s="20"/>
      <c r="X1457" s="20"/>
      <c r="Y1457" s="20"/>
      <c r="Z1457" s="20"/>
      <c r="AA1457" s="20"/>
    </row>
    <row r="1458" spans="1:27" ht="12.75">
      <c r="A1458" s="54"/>
      <c r="B1458" s="10">
        <v>46092</v>
      </c>
      <c r="C1458" s="11">
        <f>VLOOKUP(B:B,'Курс валют'!A:D,4,0)</f>
        <v>91.897900000000007</v>
      </c>
      <c r="D1458" s="57" t="s">
        <v>1174</v>
      </c>
      <c r="E1458" s="55" t="s">
        <v>51</v>
      </c>
      <c r="F1458" s="58">
        <v>800</v>
      </c>
      <c r="G1458" s="13">
        <v>804.34</v>
      </c>
      <c r="H1458" s="56">
        <v>0</v>
      </c>
      <c r="I1458" s="13">
        <f t="shared" si="150"/>
        <v>4.3400000000000318</v>
      </c>
      <c r="J1458" s="14">
        <f t="shared" si="144"/>
        <v>0.54250000000000398</v>
      </c>
      <c r="K1458" s="56">
        <v>1.98</v>
      </c>
      <c r="L1458" s="15">
        <f t="shared" si="145"/>
        <v>0</v>
      </c>
      <c r="M1458" s="16">
        <f t="shared" si="146"/>
        <v>181.95784200000003</v>
      </c>
      <c r="N1458" s="17">
        <f t="shared" si="147"/>
        <v>1.98</v>
      </c>
      <c r="O1458" s="17">
        <f t="shared" si="148"/>
        <v>1584</v>
      </c>
      <c r="P1458" s="18">
        <f t="shared" si="149"/>
        <v>145566.27360000001</v>
      </c>
      <c r="R1458" s="66"/>
      <c r="S1458" s="20"/>
      <c r="T1458" s="20"/>
      <c r="U1458" s="20"/>
      <c r="V1458" s="20"/>
      <c r="W1458" s="20"/>
      <c r="X1458" s="20"/>
      <c r="Y1458" s="20"/>
      <c r="Z1458" s="20"/>
      <c r="AA1458" s="20"/>
    </row>
    <row r="1459" spans="1:27" ht="12.75">
      <c r="A1459" s="54"/>
      <c r="B1459" s="10">
        <v>46092</v>
      </c>
      <c r="C1459" s="11">
        <f>VLOOKUP(B:B,'Курс валют'!A:D,4,0)</f>
        <v>91.897900000000007</v>
      </c>
      <c r="D1459" s="57" t="s">
        <v>1175</v>
      </c>
      <c r="E1459" s="55" t="s">
        <v>51</v>
      </c>
      <c r="F1459" s="58">
        <v>800</v>
      </c>
      <c r="G1459" s="13">
        <v>804.34</v>
      </c>
      <c r="H1459" s="56">
        <v>0</v>
      </c>
      <c r="I1459" s="13">
        <f t="shared" si="150"/>
        <v>4.3400000000000318</v>
      </c>
      <c r="J1459" s="14">
        <f t="shared" si="144"/>
        <v>0.54250000000000398</v>
      </c>
      <c r="K1459" s="56">
        <v>1.98</v>
      </c>
      <c r="L1459" s="15">
        <f t="shared" si="145"/>
        <v>0</v>
      </c>
      <c r="M1459" s="16">
        <f t="shared" si="146"/>
        <v>181.95784200000003</v>
      </c>
      <c r="N1459" s="17">
        <f t="shared" si="147"/>
        <v>1.98</v>
      </c>
      <c r="O1459" s="17">
        <f t="shared" si="148"/>
        <v>1584</v>
      </c>
      <c r="P1459" s="18">
        <f t="shared" si="149"/>
        <v>145566.27360000001</v>
      </c>
      <c r="R1459" s="66"/>
      <c r="S1459" s="20"/>
      <c r="T1459" s="20"/>
      <c r="U1459" s="20"/>
      <c r="V1459" s="20"/>
      <c r="W1459" s="20"/>
      <c r="X1459" s="20"/>
      <c r="Y1459" s="20"/>
      <c r="Z1459" s="20"/>
      <c r="AA1459" s="20"/>
    </row>
    <row r="1460" spans="1:27" ht="12.75">
      <c r="A1460" s="54"/>
      <c r="B1460" s="10">
        <v>46092</v>
      </c>
      <c r="C1460" s="11">
        <f>VLOOKUP(B:B,'Курс валют'!A:D,4,0)</f>
        <v>91.897900000000007</v>
      </c>
      <c r="D1460" s="57" t="s">
        <v>1176</v>
      </c>
      <c r="E1460" s="55" t="s">
        <v>51</v>
      </c>
      <c r="F1460" s="58">
        <v>800</v>
      </c>
      <c r="G1460" s="13">
        <v>804.34</v>
      </c>
      <c r="H1460" s="56">
        <v>0</v>
      </c>
      <c r="I1460" s="13">
        <f t="shared" si="150"/>
        <v>4.3400000000000318</v>
      </c>
      <c r="J1460" s="14">
        <f t="shared" si="144"/>
        <v>0.54250000000000398</v>
      </c>
      <c r="K1460" s="56">
        <v>1.98</v>
      </c>
      <c r="L1460" s="15">
        <f t="shared" si="145"/>
        <v>0</v>
      </c>
      <c r="M1460" s="16">
        <f t="shared" si="146"/>
        <v>181.95784200000003</v>
      </c>
      <c r="N1460" s="17">
        <f t="shared" si="147"/>
        <v>1.98</v>
      </c>
      <c r="O1460" s="17">
        <f t="shared" si="148"/>
        <v>1584</v>
      </c>
      <c r="P1460" s="18">
        <f t="shared" si="149"/>
        <v>145566.27360000001</v>
      </c>
      <c r="R1460" s="66"/>
      <c r="S1460" s="20"/>
      <c r="T1460" s="20"/>
      <c r="U1460" s="20"/>
      <c r="V1460" s="20"/>
      <c r="W1460" s="20"/>
      <c r="X1460" s="20"/>
      <c r="Y1460" s="20"/>
      <c r="Z1460" s="20"/>
      <c r="AA1460" s="20"/>
    </row>
    <row r="1461" spans="1:27" ht="12.75">
      <c r="A1461" s="54"/>
      <c r="B1461" s="10">
        <v>46092</v>
      </c>
      <c r="C1461" s="11">
        <f>VLOOKUP(B:B,'Курс валют'!A:D,4,0)</f>
        <v>91.897900000000007</v>
      </c>
      <c r="D1461" s="57" t="s">
        <v>1177</v>
      </c>
      <c r="E1461" s="55" t="s">
        <v>51</v>
      </c>
      <c r="F1461" s="58">
        <v>800</v>
      </c>
      <c r="G1461" s="13">
        <v>804.34</v>
      </c>
      <c r="H1461" s="56">
        <v>0</v>
      </c>
      <c r="I1461" s="13">
        <f t="shared" si="150"/>
        <v>4.3400000000000318</v>
      </c>
      <c r="J1461" s="14">
        <f t="shared" si="144"/>
        <v>0.54250000000000398</v>
      </c>
      <c r="K1461" s="56">
        <v>1.98</v>
      </c>
      <c r="L1461" s="15">
        <f t="shared" si="145"/>
        <v>0</v>
      </c>
      <c r="M1461" s="16">
        <f t="shared" si="146"/>
        <v>181.95784200000003</v>
      </c>
      <c r="N1461" s="17">
        <f t="shared" si="147"/>
        <v>1.98</v>
      </c>
      <c r="O1461" s="17">
        <f t="shared" si="148"/>
        <v>1584</v>
      </c>
      <c r="P1461" s="18">
        <f t="shared" si="149"/>
        <v>145566.27360000001</v>
      </c>
      <c r="R1461" s="66"/>
      <c r="S1461" s="20"/>
      <c r="T1461" s="20"/>
      <c r="U1461" s="20"/>
      <c r="V1461" s="20"/>
      <c r="W1461" s="20"/>
      <c r="X1461" s="20"/>
      <c r="Y1461" s="20"/>
      <c r="Z1461" s="20"/>
      <c r="AA1461" s="20"/>
    </row>
    <row r="1462" spans="1:27" ht="12.75">
      <c r="A1462" s="54"/>
      <c r="B1462" s="10">
        <v>46092</v>
      </c>
      <c r="C1462" s="11">
        <f>VLOOKUP(B:B,'Курс валют'!A:D,4,0)</f>
        <v>91.897900000000007</v>
      </c>
      <c r="D1462" s="57" t="s">
        <v>1178</v>
      </c>
      <c r="E1462" s="55" t="s">
        <v>51</v>
      </c>
      <c r="F1462" s="58">
        <v>800</v>
      </c>
      <c r="G1462" s="13">
        <v>804.34</v>
      </c>
      <c r="H1462" s="56">
        <v>0</v>
      </c>
      <c r="I1462" s="13">
        <f t="shared" si="150"/>
        <v>4.3400000000000318</v>
      </c>
      <c r="J1462" s="14">
        <f t="shared" si="144"/>
        <v>0.54250000000000398</v>
      </c>
      <c r="K1462" s="56">
        <v>1.97</v>
      </c>
      <c r="L1462" s="15">
        <f t="shared" si="145"/>
        <v>0</v>
      </c>
      <c r="M1462" s="16">
        <f t="shared" si="146"/>
        <v>181.03886300000002</v>
      </c>
      <c r="N1462" s="17">
        <f t="shared" si="147"/>
        <v>1.97</v>
      </c>
      <c r="O1462" s="17">
        <f t="shared" si="148"/>
        <v>1576</v>
      </c>
      <c r="P1462" s="18">
        <f t="shared" si="149"/>
        <v>144831.09040000002</v>
      </c>
      <c r="R1462" s="66"/>
      <c r="S1462" s="20"/>
      <c r="T1462" s="20"/>
      <c r="U1462" s="20"/>
      <c r="V1462" s="20"/>
      <c r="W1462" s="20"/>
      <c r="X1462" s="20"/>
      <c r="Y1462" s="20"/>
      <c r="Z1462" s="20"/>
      <c r="AA1462" s="20"/>
    </row>
    <row r="1463" spans="1:27" ht="12.75">
      <c r="A1463" s="54"/>
      <c r="B1463" s="10">
        <v>46092</v>
      </c>
      <c r="C1463" s="11">
        <f>VLOOKUP(B:B,'Курс валют'!A:D,4,0)</f>
        <v>91.897900000000007</v>
      </c>
      <c r="D1463" s="57" t="s">
        <v>1179</v>
      </c>
      <c r="E1463" s="55" t="s">
        <v>51</v>
      </c>
      <c r="F1463" s="58">
        <v>800</v>
      </c>
      <c r="G1463" s="13">
        <v>804.34</v>
      </c>
      <c r="H1463" s="56">
        <v>0</v>
      </c>
      <c r="I1463" s="13">
        <f t="shared" si="150"/>
        <v>4.3400000000000318</v>
      </c>
      <c r="J1463" s="14">
        <f t="shared" si="144"/>
        <v>0.54250000000000398</v>
      </c>
      <c r="K1463" s="56">
        <v>1.96</v>
      </c>
      <c r="L1463" s="15">
        <f t="shared" si="145"/>
        <v>0</v>
      </c>
      <c r="M1463" s="16">
        <f t="shared" si="146"/>
        <v>180.11988400000001</v>
      </c>
      <c r="N1463" s="17">
        <f t="shared" si="147"/>
        <v>1.96</v>
      </c>
      <c r="O1463" s="17">
        <f t="shared" si="148"/>
        <v>1568</v>
      </c>
      <c r="P1463" s="18">
        <f t="shared" si="149"/>
        <v>144095.90720000002</v>
      </c>
      <c r="R1463" s="66"/>
      <c r="S1463" s="20"/>
      <c r="T1463" s="20"/>
      <c r="U1463" s="20"/>
      <c r="V1463" s="20"/>
      <c r="W1463" s="20"/>
      <c r="X1463" s="20"/>
      <c r="Y1463" s="20"/>
      <c r="Z1463" s="20"/>
      <c r="AA1463" s="20"/>
    </row>
    <row r="1464" spans="1:27" ht="12.75">
      <c r="A1464" s="54"/>
      <c r="B1464" s="10">
        <v>46092</v>
      </c>
      <c r="C1464" s="11">
        <f>VLOOKUP(B:B,'Курс валют'!A:D,4,0)</f>
        <v>91.897900000000007</v>
      </c>
      <c r="D1464" s="57" t="s">
        <v>1180</v>
      </c>
      <c r="E1464" s="55" t="s">
        <v>51</v>
      </c>
      <c r="F1464" s="58">
        <v>800</v>
      </c>
      <c r="G1464" s="13">
        <v>804.34</v>
      </c>
      <c r="H1464" s="56">
        <v>0</v>
      </c>
      <c r="I1464" s="13">
        <f t="shared" si="150"/>
        <v>4.3400000000000318</v>
      </c>
      <c r="J1464" s="14">
        <f t="shared" si="144"/>
        <v>0.54250000000000398</v>
      </c>
      <c r="K1464" s="56">
        <v>1.96</v>
      </c>
      <c r="L1464" s="15">
        <f t="shared" si="145"/>
        <v>0</v>
      </c>
      <c r="M1464" s="16">
        <f t="shared" si="146"/>
        <v>180.11988400000001</v>
      </c>
      <c r="N1464" s="17">
        <f t="shared" si="147"/>
        <v>1.96</v>
      </c>
      <c r="O1464" s="17">
        <f t="shared" si="148"/>
        <v>1568</v>
      </c>
      <c r="P1464" s="18">
        <f t="shared" si="149"/>
        <v>144095.90720000002</v>
      </c>
      <c r="R1464" s="66"/>
      <c r="S1464" s="20"/>
      <c r="T1464" s="20"/>
      <c r="U1464" s="20"/>
      <c r="V1464" s="20"/>
      <c r="W1464" s="20"/>
      <c r="X1464" s="20"/>
      <c r="Y1464" s="20"/>
      <c r="Z1464" s="20"/>
      <c r="AA1464" s="20"/>
    </row>
    <row r="1465" spans="1:27" ht="12.75">
      <c r="A1465" s="54"/>
      <c r="B1465" s="10">
        <v>46092</v>
      </c>
      <c r="C1465" s="11">
        <f>VLOOKUP(B:B,'Курс валют'!A:D,4,0)</f>
        <v>91.897900000000007</v>
      </c>
      <c r="D1465" s="57" t="s">
        <v>1181</v>
      </c>
      <c r="E1465" s="55" t="s">
        <v>51</v>
      </c>
      <c r="F1465" s="58">
        <v>800</v>
      </c>
      <c r="G1465" s="13">
        <v>804.34</v>
      </c>
      <c r="H1465" s="56">
        <v>0</v>
      </c>
      <c r="I1465" s="13">
        <f t="shared" si="150"/>
        <v>4.3400000000000318</v>
      </c>
      <c r="J1465" s="14">
        <f t="shared" si="144"/>
        <v>0.54250000000000398</v>
      </c>
      <c r="K1465" s="56">
        <v>1.96</v>
      </c>
      <c r="L1465" s="15">
        <f t="shared" si="145"/>
        <v>0</v>
      </c>
      <c r="M1465" s="16">
        <f t="shared" si="146"/>
        <v>180.11988400000001</v>
      </c>
      <c r="N1465" s="17">
        <f t="shared" si="147"/>
        <v>1.96</v>
      </c>
      <c r="O1465" s="17">
        <f t="shared" si="148"/>
        <v>1568</v>
      </c>
      <c r="P1465" s="18">
        <f t="shared" si="149"/>
        <v>144095.90720000002</v>
      </c>
      <c r="R1465" s="66"/>
      <c r="S1465" s="20"/>
      <c r="T1465" s="20"/>
      <c r="U1465" s="20"/>
      <c r="V1465" s="20"/>
      <c r="W1465" s="20"/>
      <c r="X1465" s="20"/>
      <c r="Y1465" s="20"/>
      <c r="Z1465" s="20"/>
      <c r="AA1465" s="20"/>
    </row>
    <row r="1466" spans="1:27" ht="12.75">
      <c r="A1466" s="54"/>
      <c r="B1466" s="10">
        <v>46092</v>
      </c>
      <c r="C1466" s="11">
        <f>VLOOKUP(B:B,'Курс валют'!A:D,4,0)</f>
        <v>91.897900000000007</v>
      </c>
      <c r="D1466" s="57" t="s">
        <v>1182</v>
      </c>
      <c r="E1466" s="55" t="s">
        <v>51</v>
      </c>
      <c r="F1466" s="58">
        <v>800</v>
      </c>
      <c r="G1466" s="13">
        <v>804.34</v>
      </c>
      <c r="H1466" s="56">
        <v>0</v>
      </c>
      <c r="I1466" s="13">
        <f t="shared" si="150"/>
        <v>4.3400000000000318</v>
      </c>
      <c r="J1466" s="14">
        <f t="shared" si="144"/>
        <v>0.54250000000000398</v>
      </c>
      <c r="K1466" s="56">
        <v>1.96</v>
      </c>
      <c r="L1466" s="15">
        <f t="shared" si="145"/>
        <v>0</v>
      </c>
      <c r="M1466" s="16">
        <f t="shared" si="146"/>
        <v>180.11988400000001</v>
      </c>
      <c r="N1466" s="17">
        <f t="shared" si="147"/>
        <v>1.96</v>
      </c>
      <c r="O1466" s="17">
        <f t="shared" si="148"/>
        <v>1568</v>
      </c>
      <c r="P1466" s="18">
        <f t="shared" si="149"/>
        <v>144095.90720000002</v>
      </c>
      <c r="R1466" s="66"/>
      <c r="S1466" s="20"/>
      <c r="T1466" s="20"/>
      <c r="U1466" s="20"/>
      <c r="V1466" s="20"/>
      <c r="W1466" s="20"/>
      <c r="X1466" s="20"/>
      <c r="Y1466" s="20"/>
      <c r="Z1466" s="20"/>
      <c r="AA1466" s="20"/>
    </row>
    <row r="1467" spans="1:27" ht="12.75">
      <c r="A1467" s="54"/>
      <c r="B1467" s="10">
        <v>46092</v>
      </c>
      <c r="C1467" s="11">
        <f>VLOOKUP(B:B,'Курс валют'!A:D,4,0)</f>
        <v>91.897900000000007</v>
      </c>
      <c r="D1467" s="57" t="s">
        <v>1183</v>
      </c>
      <c r="E1467" s="55" t="s">
        <v>51</v>
      </c>
      <c r="F1467" s="58">
        <v>800</v>
      </c>
      <c r="G1467" s="13">
        <v>804.34</v>
      </c>
      <c r="H1467" s="56">
        <v>0</v>
      </c>
      <c r="I1467" s="13">
        <f t="shared" si="150"/>
        <v>4.3400000000000318</v>
      </c>
      <c r="J1467" s="14">
        <f t="shared" si="144"/>
        <v>0.54250000000000398</v>
      </c>
      <c r="K1467" s="56">
        <v>1.96</v>
      </c>
      <c r="L1467" s="15">
        <f t="shared" si="145"/>
        <v>0</v>
      </c>
      <c r="M1467" s="16">
        <f t="shared" si="146"/>
        <v>180.11988400000001</v>
      </c>
      <c r="N1467" s="17">
        <f t="shared" si="147"/>
        <v>1.96</v>
      </c>
      <c r="O1467" s="17">
        <f t="shared" si="148"/>
        <v>1568</v>
      </c>
      <c r="P1467" s="18">
        <f t="shared" si="149"/>
        <v>144095.90720000002</v>
      </c>
      <c r="R1467" s="66"/>
      <c r="S1467" s="20"/>
      <c r="T1467" s="20"/>
      <c r="U1467" s="20"/>
      <c r="V1467" s="20"/>
      <c r="W1467" s="20"/>
      <c r="X1467" s="20"/>
      <c r="Y1467" s="20"/>
      <c r="Z1467" s="20"/>
      <c r="AA1467" s="20"/>
    </row>
    <row r="1468" spans="1:27" ht="12.75">
      <c r="A1468" s="54"/>
      <c r="B1468" s="10">
        <v>46093</v>
      </c>
      <c r="C1468" s="11">
        <f>VLOOKUP(B:B,'Курс валют'!A:D,4,0)</f>
        <v>91.937799999999996</v>
      </c>
      <c r="D1468" s="57" t="s">
        <v>1184</v>
      </c>
      <c r="E1468" s="50" t="s">
        <v>204</v>
      </c>
      <c r="F1468" s="58">
        <v>440</v>
      </c>
      <c r="G1468" s="13">
        <v>440</v>
      </c>
      <c r="H1468" s="56"/>
      <c r="I1468" s="13">
        <f t="shared" si="150"/>
        <v>0</v>
      </c>
      <c r="J1468" s="14">
        <f t="shared" si="144"/>
        <v>0</v>
      </c>
      <c r="K1468" s="56"/>
      <c r="L1468" s="15">
        <f t="shared" si="145"/>
        <v>0</v>
      </c>
      <c r="M1468" s="16">
        <f t="shared" si="146"/>
        <v>0</v>
      </c>
      <c r="N1468" s="17">
        <f t="shared" si="147"/>
        <v>0</v>
      </c>
      <c r="O1468" s="17">
        <f t="shared" si="148"/>
        <v>0</v>
      </c>
      <c r="P1468" s="18">
        <f t="shared" si="149"/>
        <v>0</v>
      </c>
      <c r="R1468" s="66" t="s">
        <v>1185</v>
      </c>
      <c r="S1468" s="20"/>
      <c r="T1468" s="20"/>
      <c r="U1468" s="20"/>
      <c r="V1468" s="20"/>
      <c r="W1468" s="20"/>
      <c r="X1468" s="20"/>
      <c r="Y1468" s="20"/>
      <c r="Z1468" s="20"/>
      <c r="AA1468" s="20"/>
    </row>
    <row r="1469" spans="1:27" ht="12.75">
      <c r="A1469" s="54"/>
      <c r="B1469" s="10">
        <v>46093</v>
      </c>
      <c r="C1469" s="11">
        <f>VLOOKUP(B:B,'Курс валют'!A:D,4,0)</f>
        <v>91.937799999999996</v>
      </c>
      <c r="D1469" s="57" t="s">
        <v>1186</v>
      </c>
      <c r="E1469" s="50" t="s">
        <v>67</v>
      </c>
      <c r="F1469" s="58">
        <v>200</v>
      </c>
      <c r="G1469" s="13">
        <v>200</v>
      </c>
      <c r="H1469" s="56">
        <v>0</v>
      </c>
      <c r="I1469" s="13">
        <f t="shared" si="150"/>
        <v>0</v>
      </c>
      <c r="J1469" s="14">
        <f t="shared" si="144"/>
        <v>0</v>
      </c>
      <c r="K1469" s="56">
        <v>2.21</v>
      </c>
      <c r="L1469" s="15">
        <f t="shared" si="145"/>
        <v>0</v>
      </c>
      <c r="M1469" s="16">
        <f t="shared" si="146"/>
        <v>203.18253799999999</v>
      </c>
      <c r="N1469" s="17">
        <f t="shared" si="147"/>
        <v>2.21</v>
      </c>
      <c r="O1469" s="17">
        <f t="shared" si="148"/>
        <v>442</v>
      </c>
      <c r="P1469" s="18">
        <f t="shared" si="149"/>
        <v>40636.507599999997</v>
      </c>
      <c r="R1469" s="66" t="s">
        <v>1187</v>
      </c>
      <c r="S1469" s="20"/>
      <c r="T1469" s="20"/>
      <c r="U1469" s="20"/>
      <c r="V1469" s="20"/>
      <c r="W1469" s="20"/>
      <c r="X1469" s="20"/>
      <c r="Y1469" s="20"/>
      <c r="Z1469" s="20"/>
      <c r="AA1469" s="20"/>
    </row>
    <row r="1470" spans="1:27" ht="12.75">
      <c r="A1470" s="54"/>
      <c r="B1470" s="10">
        <v>46093</v>
      </c>
      <c r="C1470" s="11">
        <f>VLOOKUP(B:B,'Курс валют'!A:D,4,0)</f>
        <v>91.937799999999996</v>
      </c>
      <c r="D1470" s="57" t="s">
        <v>1188</v>
      </c>
      <c r="E1470" s="50" t="s">
        <v>120</v>
      </c>
      <c r="F1470" s="58">
        <v>92.72</v>
      </c>
      <c r="G1470" s="13">
        <v>98.5</v>
      </c>
      <c r="H1470" s="56">
        <v>0</v>
      </c>
      <c r="I1470" s="13">
        <f t="shared" si="150"/>
        <v>5.7800000000000011</v>
      </c>
      <c r="J1470" s="14">
        <f t="shared" si="144"/>
        <v>6.2338222605694575</v>
      </c>
      <c r="K1470" s="56">
        <v>2.4</v>
      </c>
      <c r="L1470" s="15">
        <f t="shared" si="145"/>
        <v>0</v>
      </c>
      <c r="M1470" s="16">
        <f t="shared" si="146"/>
        <v>220.65071999999998</v>
      </c>
      <c r="N1470" s="17">
        <f t="shared" si="147"/>
        <v>2.4</v>
      </c>
      <c r="O1470" s="17">
        <f t="shared" si="148"/>
        <v>222.52799999999999</v>
      </c>
      <c r="P1470" s="18">
        <f t="shared" si="149"/>
        <v>20458.734758399998</v>
      </c>
      <c r="R1470" s="66"/>
      <c r="S1470" s="20"/>
      <c r="T1470" s="20"/>
      <c r="U1470" s="20"/>
      <c r="V1470" s="20"/>
      <c r="W1470" s="20"/>
      <c r="X1470" s="20"/>
      <c r="Y1470" s="20"/>
      <c r="Z1470" s="20"/>
      <c r="AA1470" s="20"/>
    </row>
    <row r="1471" spans="1:27" ht="12.75">
      <c r="A1471" s="54"/>
      <c r="B1471" s="10">
        <v>46093</v>
      </c>
      <c r="C1471" s="11">
        <f>VLOOKUP(B:B,'Курс валют'!A:D,4,0)</f>
        <v>91.937799999999996</v>
      </c>
      <c r="D1471" s="57" t="s">
        <v>1189</v>
      </c>
      <c r="E1471" s="50" t="s">
        <v>104</v>
      </c>
      <c r="F1471" s="58">
        <v>1920</v>
      </c>
      <c r="G1471" s="13">
        <v>1964.8</v>
      </c>
      <c r="H1471" s="56">
        <v>0</v>
      </c>
      <c r="I1471" s="13">
        <f t="shared" si="150"/>
        <v>44.799999999999955</v>
      </c>
      <c r="J1471" s="14">
        <f t="shared" si="144"/>
        <v>2.3333333333333308</v>
      </c>
      <c r="K1471" s="56">
        <v>2.68</v>
      </c>
      <c r="L1471" s="15">
        <f t="shared" si="145"/>
        <v>0</v>
      </c>
      <c r="M1471" s="16">
        <f t="shared" si="146"/>
        <v>246.39330400000003</v>
      </c>
      <c r="N1471" s="17">
        <f t="shared" si="147"/>
        <v>2.68</v>
      </c>
      <c r="O1471" s="17">
        <f t="shared" si="148"/>
        <v>5145.6000000000004</v>
      </c>
      <c r="P1471" s="18">
        <f t="shared" si="149"/>
        <v>473075.14368000004</v>
      </c>
      <c r="R1471" s="19"/>
      <c r="S1471" s="20"/>
      <c r="T1471" s="20"/>
      <c r="U1471" s="20"/>
      <c r="V1471" s="20"/>
      <c r="W1471" s="20"/>
      <c r="X1471" s="20"/>
      <c r="Y1471" s="20"/>
      <c r="Z1471" s="20"/>
      <c r="AA1471" s="20"/>
    </row>
    <row r="1472" spans="1:27" ht="12.75">
      <c r="A1472" s="20"/>
      <c r="B1472" s="10">
        <v>46094</v>
      </c>
      <c r="C1472" s="11">
        <f>VLOOKUP(B:B,'Курс валют'!A:D,4,0)</f>
        <v>91.389300000000006</v>
      </c>
      <c r="D1472" s="57" t="s">
        <v>1190</v>
      </c>
      <c r="E1472" s="50" t="s">
        <v>104</v>
      </c>
      <c r="F1472" s="58">
        <v>1920</v>
      </c>
      <c r="G1472" s="13">
        <v>1964.8</v>
      </c>
      <c r="H1472" s="56">
        <v>0</v>
      </c>
      <c r="I1472" s="13">
        <f t="shared" si="150"/>
        <v>44.799999999999955</v>
      </c>
      <c r="J1472" s="14">
        <f t="shared" si="144"/>
        <v>2.3333333333333308</v>
      </c>
      <c r="K1472" s="56">
        <v>2.68</v>
      </c>
      <c r="L1472" s="15">
        <f t="shared" si="145"/>
        <v>0</v>
      </c>
      <c r="M1472" s="16">
        <f t="shared" si="146"/>
        <v>244.92332400000004</v>
      </c>
      <c r="N1472" s="17">
        <f t="shared" si="147"/>
        <v>2.68</v>
      </c>
      <c r="O1472" s="17">
        <f t="shared" si="148"/>
        <v>5145.6000000000004</v>
      </c>
      <c r="P1472" s="18">
        <f t="shared" si="149"/>
        <v>470252.78208000009</v>
      </c>
      <c r="R1472" s="19"/>
      <c r="S1472" s="20"/>
      <c r="T1472" s="20"/>
      <c r="U1472" s="20"/>
      <c r="V1472" s="20"/>
      <c r="W1472" s="20"/>
      <c r="X1472" s="20"/>
      <c r="Y1472" s="20"/>
      <c r="Z1472" s="20"/>
      <c r="AA1472" s="20"/>
    </row>
    <row r="1473" spans="1:27" ht="12.75">
      <c r="A1473" s="20"/>
      <c r="B1473" s="10">
        <v>46094</v>
      </c>
      <c r="C1473" s="11">
        <f>VLOOKUP(B:B,'Курс валют'!A:D,4,0)</f>
        <v>91.389300000000006</v>
      </c>
      <c r="D1473" s="57" t="s">
        <v>1191</v>
      </c>
      <c r="E1473" s="50" t="s">
        <v>58</v>
      </c>
      <c r="F1473" s="58">
        <v>1100</v>
      </c>
      <c r="G1473" s="13">
        <v>1105.51</v>
      </c>
      <c r="H1473" s="56">
        <v>438.5</v>
      </c>
      <c r="I1473" s="13">
        <f t="shared" si="150"/>
        <v>5.5099999999999909</v>
      </c>
      <c r="J1473" s="14">
        <f t="shared" si="144"/>
        <v>0.50090909090909008</v>
      </c>
      <c r="K1473" s="56">
        <v>3.49</v>
      </c>
      <c r="L1473" s="15">
        <f t="shared" si="145"/>
        <v>39.86363636363636</v>
      </c>
      <c r="M1473" s="16">
        <f t="shared" si="146"/>
        <v>208.19811838909098</v>
      </c>
      <c r="N1473" s="17">
        <f t="shared" si="147"/>
        <v>2.2781454545454549</v>
      </c>
      <c r="O1473" s="17">
        <f t="shared" si="148"/>
        <v>2505.9600000000005</v>
      </c>
      <c r="P1473" s="18">
        <f t="shared" si="149"/>
        <v>229017.93022800007</v>
      </c>
      <c r="R1473" s="19"/>
      <c r="S1473" s="20"/>
      <c r="T1473" s="20"/>
      <c r="U1473" s="20"/>
      <c r="V1473" s="20"/>
      <c r="W1473" s="20"/>
      <c r="X1473" s="20"/>
      <c r="Y1473" s="20"/>
      <c r="Z1473" s="20"/>
      <c r="AA1473" s="20"/>
    </row>
    <row r="1474" spans="1:27" ht="12.75">
      <c r="A1474" s="20"/>
      <c r="B1474" s="10">
        <v>46094</v>
      </c>
      <c r="C1474" s="11">
        <f>VLOOKUP(B:B,'Курс валют'!A:D,4,0)</f>
        <v>91.389300000000006</v>
      </c>
      <c r="D1474" s="57" t="s">
        <v>1192</v>
      </c>
      <c r="E1474" s="50" t="s">
        <v>58</v>
      </c>
      <c r="F1474" s="58">
        <v>1100</v>
      </c>
      <c r="G1474" s="13">
        <v>1105.51</v>
      </c>
      <c r="H1474" s="56">
        <v>438.5</v>
      </c>
      <c r="I1474" s="13">
        <f t="shared" si="150"/>
        <v>5.5099999999999909</v>
      </c>
      <c r="J1474" s="14">
        <f t="shared" si="144"/>
        <v>0.50090909090909008</v>
      </c>
      <c r="K1474" s="56">
        <v>3.49</v>
      </c>
      <c r="L1474" s="15">
        <f t="shared" si="145"/>
        <v>39.86363636363636</v>
      </c>
      <c r="M1474" s="16">
        <f t="shared" si="146"/>
        <v>208.19811838909098</v>
      </c>
      <c r="N1474" s="17">
        <f t="shared" si="147"/>
        <v>2.2781454545454549</v>
      </c>
      <c r="O1474" s="17">
        <f t="shared" si="148"/>
        <v>2505.9600000000005</v>
      </c>
      <c r="P1474" s="18">
        <f t="shared" si="149"/>
        <v>229017.93022800007</v>
      </c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</row>
    <row r="1475" spans="1:27" ht="12.75">
      <c r="A1475" s="20"/>
      <c r="B1475" s="10">
        <v>46094</v>
      </c>
      <c r="C1475" s="11">
        <f>VLOOKUP(B:B,'Курс валют'!A:D,4,0)</f>
        <v>91.389300000000006</v>
      </c>
      <c r="D1475" s="57" t="s">
        <v>1193</v>
      </c>
      <c r="E1475" s="50" t="s">
        <v>58</v>
      </c>
      <c r="F1475" s="58">
        <v>1100</v>
      </c>
      <c r="G1475" s="13">
        <v>1105.51</v>
      </c>
      <c r="H1475" s="56">
        <v>438.5</v>
      </c>
      <c r="I1475" s="13">
        <f t="shared" si="150"/>
        <v>5.5099999999999909</v>
      </c>
      <c r="J1475" s="14">
        <f t="shared" si="144"/>
        <v>0.50090909090909008</v>
      </c>
      <c r="K1475" s="56">
        <v>3.49</v>
      </c>
      <c r="L1475" s="15">
        <f t="shared" si="145"/>
        <v>39.86363636363636</v>
      </c>
      <c r="M1475" s="16">
        <f t="shared" si="146"/>
        <v>208.19811838909098</v>
      </c>
      <c r="N1475" s="17">
        <f t="shared" si="147"/>
        <v>2.2781454545454549</v>
      </c>
      <c r="O1475" s="17">
        <f t="shared" si="148"/>
        <v>2505.9600000000005</v>
      </c>
      <c r="P1475" s="18">
        <f t="shared" si="149"/>
        <v>229017.93022800007</v>
      </c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</row>
    <row r="1476" spans="1:27" ht="12.75">
      <c r="A1476" s="20"/>
      <c r="B1476" s="10">
        <v>46094</v>
      </c>
      <c r="C1476" s="11">
        <f>VLOOKUP(B:B,'Курс валют'!A:D,4,0)</f>
        <v>91.389300000000006</v>
      </c>
      <c r="D1476" s="57" t="s">
        <v>1194</v>
      </c>
      <c r="E1476" s="50" t="s">
        <v>58</v>
      </c>
      <c r="F1476" s="58">
        <v>1100</v>
      </c>
      <c r="G1476" s="13">
        <v>1105.51</v>
      </c>
      <c r="H1476" s="56">
        <v>438.5</v>
      </c>
      <c r="I1476" s="13">
        <f t="shared" si="150"/>
        <v>5.5099999999999909</v>
      </c>
      <c r="J1476" s="14">
        <f t="shared" si="144"/>
        <v>0.50090909090909008</v>
      </c>
      <c r="K1476" s="56">
        <v>3.49</v>
      </c>
      <c r="L1476" s="15">
        <f t="shared" si="145"/>
        <v>39.86363636363636</v>
      </c>
      <c r="M1476" s="16">
        <f t="shared" si="146"/>
        <v>208.19811838909098</v>
      </c>
      <c r="N1476" s="17">
        <f t="shared" si="147"/>
        <v>2.2781454545454549</v>
      </c>
      <c r="O1476" s="17">
        <f t="shared" si="148"/>
        <v>2505.9600000000005</v>
      </c>
      <c r="P1476" s="18">
        <f t="shared" si="149"/>
        <v>229017.93022800007</v>
      </c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</row>
    <row r="1477" spans="1:27" ht="12.75">
      <c r="A1477" s="20"/>
      <c r="B1477" s="10">
        <v>46094</v>
      </c>
      <c r="C1477" s="11">
        <f>VLOOKUP(B:B,'Курс валют'!A:D,4,0)</f>
        <v>91.389300000000006</v>
      </c>
      <c r="D1477" s="57" t="s">
        <v>1195</v>
      </c>
      <c r="E1477" s="50" t="s">
        <v>58</v>
      </c>
      <c r="F1477" s="58">
        <v>1100</v>
      </c>
      <c r="G1477" s="13">
        <v>1105.51</v>
      </c>
      <c r="H1477" s="56">
        <v>438.5</v>
      </c>
      <c r="I1477" s="13">
        <f t="shared" si="150"/>
        <v>5.5099999999999909</v>
      </c>
      <c r="J1477" s="14">
        <f t="shared" si="144"/>
        <v>0.50090909090909008</v>
      </c>
      <c r="K1477" s="56">
        <v>3.49</v>
      </c>
      <c r="L1477" s="15">
        <f t="shared" si="145"/>
        <v>39.86363636363636</v>
      </c>
      <c r="M1477" s="16">
        <f t="shared" si="146"/>
        <v>208.19811838909098</v>
      </c>
      <c r="N1477" s="17">
        <f t="shared" si="147"/>
        <v>2.2781454545454549</v>
      </c>
      <c r="O1477" s="17">
        <f t="shared" si="148"/>
        <v>2505.9600000000005</v>
      </c>
      <c r="P1477" s="18">
        <f t="shared" si="149"/>
        <v>229017.93022800007</v>
      </c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</row>
    <row r="1478" spans="1:27" ht="12.75">
      <c r="A1478" s="20"/>
      <c r="B1478" s="10">
        <v>46094</v>
      </c>
      <c r="C1478" s="11">
        <f>VLOOKUP(B:B,'Курс валют'!A:D,4,0)</f>
        <v>91.389300000000006</v>
      </c>
      <c r="D1478" s="57" t="s">
        <v>1196</v>
      </c>
      <c r="E1478" s="50" t="s">
        <v>58</v>
      </c>
      <c r="F1478" s="58">
        <v>1100</v>
      </c>
      <c r="G1478" s="13">
        <v>1105.51</v>
      </c>
      <c r="H1478" s="56">
        <v>438.5</v>
      </c>
      <c r="I1478" s="13">
        <f t="shared" si="150"/>
        <v>5.5099999999999909</v>
      </c>
      <c r="J1478" s="14">
        <f t="shared" si="144"/>
        <v>0.50090909090909008</v>
      </c>
      <c r="K1478" s="56">
        <v>3.49</v>
      </c>
      <c r="L1478" s="15">
        <f t="shared" si="145"/>
        <v>39.86363636363636</v>
      </c>
      <c r="M1478" s="16">
        <f t="shared" si="146"/>
        <v>208.19811838909098</v>
      </c>
      <c r="N1478" s="17">
        <f t="shared" si="147"/>
        <v>2.2781454545454549</v>
      </c>
      <c r="O1478" s="17">
        <f t="shared" si="148"/>
        <v>2505.9600000000005</v>
      </c>
      <c r="P1478" s="18">
        <f t="shared" si="149"/>
        <v>229017.93022800007</v>
      </c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</row>
    <row r="1479" spans="1:27" ht="12.75">
      <c r="A1479" s="20"/>
      <c r="B1479" s="10">
        <v>46094</v>
      </c>
      <c r="C1479" s="11">
        <f>VLOOKUP(B:B,'Курс валют'!A:D,4,0)</f>
        <v>91.389300000000006</v>
      </c>
      <c r="D1479" s="57" t="s">
        <v>1197</v>
      </c>
      <c r="E1479" s="50" t="s">
        <v>58</v>
      </c>
      <c r="F1479" s="58">
        <v>1100</v>
      </c>
      <c r="G1479" s="13">
        <v>1105.51</v>
      </c>
      <c r="H1479" s="56">
        <v>438.5</v>
      </c>
      <c r="I1479" s="13">
        <f t="shared" si="150"/>
        <v>5.5099999999999909</v>
      </c>
      <c r="J1479" s="14">
        <f t="shared" si="144"/>
        <v>0.50090909090909008</v>
      </c>
      <c r="K1479" s="56">
        <v>3.49</v>
      </c>
      <c r="L1479" s="15">
        <f t="shared" si="145"/>
        <v>39.86363636363636</v>
      </c>
      <c r="M1479" s="16">
        <f t="shared" si="146"/>
        <v>208.19811838909098</v>
      </c>
      <c r="N1479" s="17">
        <f t="shared" si="147"/>
        <v>2.2781454545454549</v>
      </c>
      <c r="O1479" s="17">
        <f t="shared" si="148"/>
        <v>2505.9600000000005</v>
      </c>
      <c r="P1479" s="18">
        <f t="shared" si="149"/>
        <v>229017.93022800007</v>
      </c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</row>
    <row r="1480" spans="1:27" ht="12.75">
      <c r="A1480" s="20"/>
      <c r="B1480" s="10">
        <v>46094</v>
      </c>
      <c r="C1480" s="11">
        <f>VLOOKUP(B:B,'Курс валют'!A:D,4,0)</f>
        <v>91.389300000000006</v>
      </c>
      <c r="D1480" s="57" t="s">
        <v>1198</v>
      </c>
      <c r="E1480" s="50" t="s">
        <v>58</v>
      </c>
      <c r="F1480" s="58">
        <v>1100</v>
      </c>
      <c r="G1480" s="13">
        <v>1105.51</v>
      </c>
      <c r="H1480" s="56">
        <v>438.5</v>
      </c>
      <c r="I1480" s="13">
        <f t="shared" si="150"/>
        <v>5.5099999999999909</v>
      </c>
      <c r="J1480" s="14">
        <f t="shared" si="144"/>
        <v>0.50090909090909008</v>
      </c>
      <c r="K1480" s="56">
        <v>3.49</v>
      </c>
      <c r="L1480" s="15">
        <f t="shared" si="145"/>
        <v>39.86363636363636</v>
      </c>
      <c r="M1480" s="16">
        <f t="shared" si="146"/>
        <v>208.19811838909098</v>
      </c>
      <c r="N1480" s="17">
        <f t="shared" si="147"/>
        <v>2.2781454545454549</v>
      </c>
      <c r="O1480" s="17">
        <f t="shared" si="148"/>
        <v>2505.9600000000005</v>
      </c>
      <c r="P1480" s="18">
        <f t="shared" si="149"/>
        <v>229017.93022800007</v>
      </c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</row>
    <row r="1481" spans="1:27" ht="12.75">
      <c r="A1481" s="20"/>
      <c r="B1481" s="10">
        <v>46094</v>
      </c>
      <c r="C1481" s="11">
        <f>VLOOKUP(B:B,'Курс валют'!A:D,4,0)</f>
        <v>91.389300000000006</v>
      </c>
      <c r="D1481" s="57" t="s">
        <v>1199</v>
      </c>
      <c r="E1481" s="50" t="s">
        <v>58</v>
      </c>
      <c r="F1481" s="58">
        <v>1100</v>
      </c>
      <c r="G1481" s="13">
        <v>1105.51</v>
      </c>
      <c r="H1481" s="56">
        <v>438.5</v>
      </c>
      <c r="I1481" s="13">
        <f t="shared" si="150"/>
        <v>5.5099999999999909</v>
      </c>
      <c r="J1481" s="14">
        <f t="shared" si="144"/>
        <v>0.50090909090909008</v>
      </c>
      <c r="K1481" s="56">
        <v>3.49</v>
      </c>
      <c r="L1481" s="15">
        <f t="shared" si="145"/>
        <v>39.86363636363636</v>
      </c>
      <c r="M1481" s="16">
        <f t="shared" si="146"/>
        <v>208.19811838909098</v>
      </c>
      <c r="N1481" s="17">
        <f t="shared" si="147"/>
        <v>2.2781454545454549</v>
      </c>
      <c r="O1481" s="17">
        <f t="shared" si="148"/>
        <v>2505.9600000000005</v>
      </c>
      <c r="P1481" s="18">
        <f t="shared" si="149"/>
        <v>229017.93022800007</v>
      </c>
      <c r="R1481" s="19"/>
      <c r="S1481" s="20"/>
      <c r="T1481" s="20"/>
      <c r="U1481" s="20"/>
      <c r="V1481" s="20"/>
      <c r="W1481" s="20"/>
      <c r="X1481" s="20"/>
      <c r="Y1481" s="20"/>
      <c r="Z1481" s="20"/>
      <c r="AA1481" s="20"/>
    </row>
    <row r="1482" spans="1:27" ht="12.75">
      <c r="A1482" s="20"/>
      <c r="B1482" s="10">
        <v>46094</v>
      </c>
      <c r="C1482" s="11">
        <f>VLOOKUP(B:B,'Курс валют'!A:D,4,0)</f>
        <v>91.389300000000006</v>
      </c>
      <c r="D1482" s="57" t="s">
        <v>1200</v>
      </c>
      <c r="E1482" s="50" t="s">
        <v>58</v>
      </c>
      <c r="F1482" s="58">
        <v>1100</v>
      </c>
      <c r="G1482" s="13">
        <v>1105.51</v>
      </c>
      <c r="H1482" s="56">
        <v>438.5</v>
      </c>
      <c r="I1482" s="13">
        <f t="shared" si="150"/>
        <v>5.5099999999999909</v>
      </c>
      <c r="J1482" s="14">
        <f t="shared" si="144"/>
        <v>0.50090909090909008</v>
      </c>
      <c r="K1482" s="56">
        <v>3.49</v>
      </c>
      <c r="L1482" s="15">
        <f t="shared" si="145"/>
        <v>39.86363636363636</v>
      </c>
      <c r="M1482" s="16">
        <f t="shared" si="146"/>
        <v>208.19811838909098</v>
      </c>
      <c r="N1482" s="17">
        <f t="shared" si="147"/>
        <v>2.2781454545454549</v>
      </c>
      <c r="O1482" s="17">
        <f t="shared" si="148"/>
        <v>2505.9600000000005</v>
      </c>
      <c r="P1482" s="18">
        <f t="shared" si="149"/>
        <v>229017.93022800007</v>
      </c>
      <c r="R1482" s="19"/>
      <c r="S1482" s="20"/>
      <c r="T1482" s="20"/>
      <c r="U1482" s="20"/>
      <c r="V1482" s="20"/>
      <c r="W1482" s="20"/>
      <c r="X1482" s="20"/>
      <c r="Y1482" s="20"/>
      <c r="Z1482" s="20"/>
      <c r="AA1482" s="20"/>
    </row>
    <row r="1483" spans="1:27" ht="12.75">
      <c r="A1483" s="20"/>
      <c r="B1483" s="10">
        <v>46095</v>
      </c>
      <c r="C1483" s="11">
        <f>VLOOKUP(B:B,'Курс валют'!A:D,4,0)</f>
        <v>91.984700000000004</v>
      </c>
      <c r="D1483" s="57" t="s">
        <v>1201</v>
      </c>
      <c r="E1483" s="50" t="s">
        <v>104</v>
      </c>
      <c r="F1483" s="58">
        <v>1920</v>
      </c>
      <c r="G1483" s="13">
        <v>1964.8</v>
      </c>
      <c r="H1483" s="56">
        <v>0</v>
      </c>
      <c r="I1483" s="13">
        <f t="shared" si="150"/>
        <v>44.799999999999955</v>
      </c>
      <c r="J1483" s="14">
        <f t="shared" si="144"/>
        <v>2.3333333333333308</v>
      </c>
      <c r="K1483" s="56">
        <v>2.68</v>
      </c>
      <c r="L1483" s="15">
        <f t="shared" si="145"/>
        <v>0</v>
      </c>
      <c r="M1483" s="16">
        <f t="shared" si="146"/>
        <v>246.51899600000004</v>
      </c>
      <c r="N1483" s="17">
        <f t="shared" si="147"/>
        <v>2.68</v>
      </c>
      <c r="O1483" s="17">
        <f t="shared" si="148"/>
        <v>5145.6000000000004</v>
      </c>
      <c r="P1483" s="18">
        <f t="shared" si="149"/>
        <v>473316.47232000006</v>
      </c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</row>
    <row r="1484" spans="1:27" ht="12.75">
      <c r="A1484" s="20"/>
      <c r="B1484" s="10">
        <v>46095</v>
      </c>
      <c r="C1484" s="11">
        <f>VLOOKUP(B:B,'Курс валют'!A:D,4,0)</f>
        <v>91.984700000000004</v>
      </c>
      <c r="D1484" s="57" t="s">
        <v>1202</v>
      </c>
      <c r="E1484" s="50" t="s">
        <v>58</v>
      </c>
      <c r="F1484" s="58">
        <v>1100</v>
      </c>
      <c r="G1484" s="13">
        <v>1105.51</v>
      </c>
      <c r="H1484" s="56">
        <v>438.5</v>
      </c>
      <c r="I1484" s="13">
        <f t="shared" si="150"/>
        <v>5.5099999999999909</v>
      </c>
      <c r="J1484" s="14">
        <f t="shared" si="144"/>
        <v>0.50090909090909008</v>
      </c>
      <c r="K1484" s="56">
        <v>3.49</v>
      </c>
      <c r="L1484" s="15">
        <f t="shared" si="145"/>
        <v>39.86363636363636</v>
      </c>
      <c r="M1484" s="16">
        <f t="shared" si="146"/>
        <v>209.55452619272731</v>
      </c>
      <c r="N1484" s="17">
        <f t="shared" si="147"/>
        <v>2.2781454545454549</v>
      </c>
      <c r="O1484" s="17">
        <f t="shared" si="148"/>
        <v>2505.9600000000005</v>
      </c>
      <c r="P1484" s="18">
        <f t="shared" si="149"/>
        <v>230509.97881200004</v>
      </c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</row>
    <row r="1485" spans="1:27" ht="12.75">
      <c r="A1485" s="20"/>
      <c r="B1485" s="10">
        <v>46095</v>
      </c>
      <c r="C1485" s="11">
        <f>VLOOKUP(B:B,'Курс валют'!A:D,4,0)</f>
        <v>91.984700000000004</v>
      </c>
      <c r="D1485" s="57" t="s">
        <v>1203</v>
      </c>
      <c r="E1485" s="50" t="s">
        <v>58</v>
      </c>
      <c r="F1485" s="58">
        <v>1100</v>
      </c>
      <c r="G1485" s="13">
        <v>1105.51</v>
      </c>
      <c r="H1485" s="56">
        <v>438.5</v>
      </c>
      <c r="I1485" s="13">
        <f t="shared" si="150"/>
        <v>5.5099999999999909</v>
      </c>
      <c r="J1485" s="14">
        <f t="shared" si="144"/>
        <v>0.50090909090909008</v>
      </c>
      <c r="K1485" s="56">
        <v>3.49</v>
      </c>
      <c r="L1485" s="15">
        <f t="shared" si="145"/>
        <v>39.86363636363636</v>
      </c>
      <c r="M1485" s="16">
        <f t="shared" si="146"/>
        <v>209.55452619272731</v>
      </c>
      <c r="N1485" s="17">
        <f t="shared" si="147"/>
        <v>2.2781454545454549</v>
      </c>
      <c r="O1485" s="17">
        <f t="shared" si="148"/>
        <v>2505.9600000000005</v>
      </c>
      <c r="P1485" s="18">
        <f t="shared" si="149"/>
        <v>230509.97881200004</v>
      </c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</row>
    <row r="1486" spans="1:27" ht="12.75">
      <c r="A1486" s="20"/>
      <c r="B1486" s="10">
        <v>46095</v>
      </c>
      <c r="C1486" s="11">
        <f>VLOOKUP(B:B,'Курс валют'!A:D,4,0)</f>
        <v>91.984700000000004</v>
      </c>
      <c r="D1486" s="57" t="s">
        <v>1204</v>
      </c>
      <c r="E1486" s="50" t="s">
        <v>58</v>
      </c>
      <c r="F1486" s="58">
        <v>1100</v>
      </c>
      <c r="G1486" s="13">
        <v>1105.51</v>
      </c>
      <c r="H1486" s="56">
        <v>438.5</v>
      </c>
      <c r="I1486" s="13">
        <f t="shared" si="150"/>
        <v>5.5099999999999909</v>
      </c>
      <c r="J1486" s="14">
        <f t="shared" si="144"/>
        <v>0.50090909090909008</v>
      </c>
      <c r="K1486" s="56">
        <v>3.49</v>
      </c>
      <c r="L1486" s="15">
        <f t="shared" si="145"/>
        <v>39.86363636363636</v>
      </c>
      <c r="M1486" s="16">
        <f t="shared" si="146"/>
        <v>209.55452619272731</v>
      </c>
      <c r="N1486" s="17">
        <f t="shared" si="147"/>
        <v>2.2781454545454549</v>
      </c>
      <c r="O1486" s="17">
        <f t="shared" si="148"/>
        <v>2505.9600000000005</v>
      </c>
      <c r="P1486" s="18">
        <f t="shared" si="149"/>
        <v>230509.97881200004</v>
      </c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</row>
    <row r="1487" spans="1:27" ht="12.75">
      <c r="A1487" s="20"/>
      <c r="B1487" s="10">
        <v>46095</v>
      </c>
      <c r="C1487" s="11">
        <f>VLOOKUP(B:B,'Курс валют'!A:D,4,0)</f>
        <v>91.984700000000004</v>
      </c>
      <c r="D1487" s="57" t="s">
        <v>1205</v>
      </c>
      <c r="E1487" s="50" t="s">
        <v>58</v>
      </c>
      <c r="F1487" s="58">
        <v>1100</v>
      </c>
      <c r="G1487" s="13">
        <v>1105.51</v>
      </c>
      <c r="H1487" s="56">
        <v>438.5</v>
      </c>
      <c r="I1487" s="13">
        <f t="shared" si="150"/>
        <v>5.5099999999999909</v>
      </c>
      <c r="J1487" s="14">
        <f t="shared" si="144"/>
        <v>0.50090909090909008</v>
      </c>
      <c r="K1487" s="56">
        <v>3.49</v>
      </c>
      <c r="L1487" s="15">
        <f t="shared" si="145"/>
        <v>39.86363636363636</v>
      </c>
      <c r="M1487" s="16">
        <f t="shared" si="146"/>
        <v>209.55452619272731</v>
      </c>
      <c r="N1487" s="17">
        <f t="shared" si="147"/>
        <v>2.2781454545454549</v>
      </c>
      <c r="O1487" s="17">
        <f t="shared" si="148"/>
        <v>2505.9600000000005</v>
      </c>
      <c r="P1487" s="18">
        <f t="shared" si="149"/>
        <v>230509.97881200004</v>
      </c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</row>
    <row r="1488" spans="1:27" ht="12.75">
      <c r="A1488" s="20"/>
      <c r="B1488" s="10">
        <v>46095</v>
      </c>
      <c r="C1488" s="11">
        <f>VLOOKUP(B:B,'Курс валют'!A:D,4,0)</f>
        <v>91.984700000000004</v>
      </c>
      <c r="D1488" s="57" t="s">
        <v>1206</v>
      </c>
      <c r="E1488" s="50" t="s">
        <v>58</v>
      </c>
      <c r="F1488" s="58">
        <v>1100</v>
      </c>
      <c r="G1488" s="13">
        <v>1105.51</v>
      </c>
      <c r="H1488" s="56">
        <v>438.5</v>
      </c>
      <c r="I1488" s="13">
        <f t="shared" si="150"/>
        <v>5.5099999999999909</v>
      </c>
      <c r="J1488" s="14">
        <f t="shared" si="144"/>
        <v>0.50090909090909008</v>
      </c>
      <c r="K1488" s="56">
        <v>3.49</v>
      </c>
      <c r="L1488" s="15">
        <f t="shared" si="145"/>
        <v>39.86363636363636</v>
      </c>
      <c r="M1488" s="16">
        <f t="shared" si="146"/>
        <v>209.55452619272731</v>
      </c>
      <c r="N1488" s="17">
        <f t="shared" si="147"/>
        <v>2.2781454545454549</v>
      </c>
      <c r="O1488" s="17">
        <f t="shared" si="148"/>
        <v>2505.9600000000005</v>
      </c>
      <c r="P1488" s="18">
        <f t="shared" si="149"/>
        <v>230509.97881200004</v>
      </c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</row>
    <row r="1489" spans="1:27" ht="12.75">
      <c r="A1489" s="20"/>
      <c r="B1489" s="10">
        <v>46095</v>
      </c>
      <c r="C1489" s="11">
        <f>VLOOKUP(B:B,'Курс валют'!A:D,4,0)</f>
        <v>91.984700000000004</v>
      </c>
      <c r="D1489" s="57" t="s">
        <v>1207</v>
      </c>
      <c r="E1489" s="50" t="s">
        <v>58</v>
      </c>
      <c r="F1489" s="58">
        <v>1100</v>
      </c>
      <c r="G1489" s="13">
        <v>1105.51</v>
      </c>
      <c r="H1489" s="56">
        <v>438.5</v>
      </c>
      <c r="I1489" s="13">
        <f t="shared" si="150"/>
        <v>5.5099999999999909</v>
      </c>
      <c r="J1489" s="14">
        <f t="shared" si="144"/>
        <v>0.50090909090909008</v>
      </c>
      <c r="K1489" s="56">
        <v>3.49</v>
      </c>
      <c r="L1489" s="15">
        <f t="shared" si="145"/>
        <v>39.86363636363636</v>
      </c>
      <c r="M1489" s="16">
        <f t="shared" si="146"/>
        <v>209.55452619272731</v>
      </c>
      <c r="N1489" s="17">
        <f t="shared" si="147"/>
        <v>2.2781454545454549</v>
      </c>
      <c r="O1489" s="17">
        <f t="shared" si="148"/>
        <v>2505.9600000000005</v>
      </c>
      <c r="P1489" s="18">
        <f t="shared" si="149"/>
        <v>230509.97881200004</v>
      </c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</row>
    <row r="1490" spans="1:27" ht="12.75">
      <c r="A1490" s="20"/>
      <c r="B1490" s="10">
        <v>46095</v>
      </c>
      <c r="C1490" s="11">
        <f>VLOOKUP(B:B,'Курс валют'!A:D,4,0)</f>
        <v>91.984700000000004</v>
      </c>
      <c r="D1490" s="57" t="s">
        <v>1208</v>
      </c>
      <c r="E1490" s="50" t="s">
        <v>58</v>
      </c>
      <c r="F1490" s="58">
        <v>1100</v>
      </c>
      <c r="G1490" s="13">
        <v>1105.51</v>
      </c>
      <c r="H1490" s="56">
        <v>438.5</v>
      </c>
      <c r="I1490" s="13">
        <f t="shared" si="150"/>
        <v>5.5099999999999909</v>
      </c>
      <c r="J1490" s="14">
        <f t="shared" si="144"/>
        <v>0.50090909090909008</v>
      </c>
      <c r="K1490" s="56">
        <v>3.49</v>
      </c>
      <c r="L1490" s="15">
        <f t="shared" si="145"/>
        <v>39.86363636363636</v>
      </c>
      <c r="M1490" s="16">
        <f t="shared" si="146"/>
        <v>209.55452619272731</v>
      </c>
      <c r="N1490" s="17">
        <f t="shared" si="147"/>
        <v>2.2781454545454549</v>
      </c>
      <c r="O1490" s="17">
        <f t="shared" si="148"/>
        <v>2505.9600000000005</v>
      </c>
      <c r="P1490" s="18">
        <f t="shared" si="149"/>
        <v>230509.97881200004</v>
      </c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</row>
    <row r="1491" spans="1:27" ht="12.75">
      <c r="A1491" s="20"/>
      <c r="B1491" s="10">
        <v>46095</v>
      </c>
      <c r="C1491" s="11">
        <f>VLOOKUP(B:B,'Курс валют'!A:D,4,0)</f>
        <v>91.984700000000004</v>
      </c>
      <c r="D1491" s="57" t="s">
        <v>1209</v>
      </c>
      <c r="E1491" s="50" t="s">
        <v>58</v>
      </c>
      <c r="F1491" s="58">
        <v>1100</v>
      </c>
      <c r="G1491" s="13">
        <v>1105.51</v>
      </c>
      <c r="H1491" s="56">
        <v>438.5</v>
      </c>
      <c r="I1491" s="13">
        <f t="shared" si="150"/>
        <v>5.5099999999999909</v>
      </c>
      <c r="J1491" s="14">
        <f t="shared" si="144"/>
        <v>0.50090909090909008</v>
      </c>
      <c r="K1491" s="56">
        <v>3.49</v>
      </c>
      <c r="L1491" s="15">
        <f t="shared" si="145"/>
        <v>39.86363636363636</v>
      </c>
      <c r="M1491" s="16">
        <f t="shared" si="146"/>
        <v>209.55452619272731</v>
      </c>
      <c r="N1491" s="17">
        <f t="shared" si="147"/>
        <v>2.2781454545454549</v>
      </c>
      <c r="O1491" s="17">
        <f t="shared" si="148"/>
        <v>2505.9600000000005</v>
      </c>
      <c r="P1491" s="18">
        <f t="shared" si="149"/>
        <v>230509.97881200004</v>
      </c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</row>
    <row r="1492" spans="1:27" ht="12.75">
      <c r="A1492" s="20"/>
      <c r="B1492" s="10">
        <v>46095</v>
      </c>
      <c r="C1492" s="11">
        <f>VLOOKUP(B:B,'Курс валют'!A:D,4,0)</f>
        <v>91.984700000000004</v>
      </c>
      <c r="D1492" s="57" t="s">
        <v>1210</v>
      </c>
      <c r="E1492" s="50" t="s">
        <v>58</v>
      </c>
      <c r="F1492" s="58">
        <v>1100</v>
      </c>
      <c r="G1492" s="13">
        <v>1105.51</v>
      </c>
      <c r="H1492" s="56">
        <v>438.5</v>
      </c>
      <c r="I1492" s="13">
        <f t="shared" si="150"/>
        <v>5.5099999999999909</v>
      </c>
      <c r="J1492" s="14">
        <f t="shared" si="144"/>
        <v>0.50090909090909008</v>
      </c>
      <c r="K1492" s="56">
        <v>3.49</v>
      </c>
      <c r="L1492" s="15">
        <f t="shared" si="145"/>
        <v>39.86363636363636</v>
      </c>
      <c r="M1492" s="16">
        <f t="shared" si="146"/>
        <v>209.55452619272731</v>
      </c>
      <c r="N1492" s="17">
        <f t="shared" si="147"/>
        <v>2.2781454545454549</v>
      </c>
      <c r="O1492" s="17">
        <f t="shared" si="148"/>
        <v>2505.9600000000005</v>
      </c>
      <c r="P1492" s="18">
        <f t="shared" si="149"/>
        <v>230509.97881200004</v>
      </c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</row>
    <row r="1493" spans="1:27" ht="12.75">
      <c r="A1493" s="20"/>
      <c r="B1493" s="10">
        <v>46095</v>
      </c>
      <c r="C1493" s="11">
        <f>VLOOKUP(B:B,'Курс валют'!A:D,4,0)</f>
        <v>91.984700000000004</v>
      </c>
      <c r="D1493" s="57" t="s">
        <v>1211</v>
      </c>
      <c r="E1493" s="50" t="s">
        <v>58</v>
      </c>
      <c r="F1493" s="58">
        <v>1100</v>
      </c>
      <c r="G1493" s="13">
        <v>1105.51</v>
      </c>
      <c r="H1493" s="56">
        <v>438.5</v>
      </c>
      <c r="I1493" s="13">
        <f t="shared" si="150"/>
        <v>5.5099999999999909</v>
      </c>
      <c r="J1493" s="14">
        <f t="shared" si="144"/>
        <v>0.50090909090909008</v>
      </c>
      <c r="K1493" s="56">
        <v>3.49</v>
      </c>
      <c r="L1493" s="15">
        <f t="shared" si="145"/>
        <v>39.86363636363636</v>
      </c>
      <c r="M1493" s="16">
        <f t="shared" si="146"/>
        <v>209.55452619272731</v>
      </c>
      <c r="N1493" s="17">
        <f t="shared" si="147"/>
        <v>2.2781454545454549</v>
      </c>
      <c r="O1493" s="17">
        <f t="shared" si="148"/>
        <v>2505.9600000000005</v>
      </c>
      <c r="P1493" s="18">
        <f t="shared" si="149"/>
        <v>230509.97881200004</v>
      </c>
      <c r="R1493" s="19"/>
      <c r="S1493" s="20"/>
      <c r="T1493" s="20"/>
      <c r="U1493" s="20"/>
      <c r="V1493" s="20"/>
      <c r="W1493" s="20"/>
      <c r="X1493" s="20"/>
      <c r="Y1493" s="20"/>
      <c r="Z1493" s="20"/>
      <c r="AA1493" s="20"/>
    </row>
    <row r="1494" spans="1:27" ht="12.75">
      <c r="A1494" s="20"/>
      <c r="B1494" s="10">
        <v>46096</v>
      </c>
      <c r="C1494" s="11">
        <f>VLOOKUP(B:B,'Курс валют'!A:D,4,0)</f>
        <v>91.984700000000004</v>
      </c>
      <c r="D1494" s="57" t="s">
        <v>1212</v>
      </c>
      <c r="E1494" s="50" t="s">
        <v>95</v>
      </c>
      <c r="F1494" s="58">
        <v>7020</v>
      </c>
      <c r="G1494" s="58">
        <v>7058</v>
      </c>
      <c r="H1494" s="56">
        <v>0</v>
      </c>
      <c r="I1494" s="58">
        <f t="shared" si="150"/>
        <v>38</v>
      </c>
      <c r="J1494" s="14">
        <f t="shared" si="144"/>
        <v>0.54131054131054135</v>
      </c>
      <c r="K1494" s="56">
        <v>2.04</v>
      </c>
      <c r="L1494" s="15">
        <f t="shared" si="145"/>
        <v>0</v>
      </c>
      <c r="M1494" s="16">
        <f t="shared" si="146"/>
        <v>187.64878800000002</v>
      </c>
      <c r="N1494" s="17">
        <f t="shared" si="147"/>
        <v>2.04</v>
      </c>
      <c r="O1494" s="17">
        <f t="shared" si="148"/>
        <v>14320.800000000001</v>
      </c>
      <c r="P1494" s="18">
        <f t="shared" si="149"/>
        <v>1317294.4917600001</v>
      </c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</row>
    <row r="1495" spans="1:27" ht="12.75">
      <c r="A1495" s="20"/>
      <c r="B1495" s="10">
        <v>46096</v>
      </c>
      <c r="C1495" s="11">
        <f>VLOOKUP(B:B,'Курс валют'!A:D,4,0)</f>
        <v>91.984700000000004</v>
      </c>
      <c r="D1495" s="57" t="s">
        <v>1212</v>
      </c>
      <c r="E1495" s="50" t="s">
        <v>1023</v>
      </c>
      <c r="F1495" s="58">
        <v>360</v>
      </c>
      <c r="G1495" s="13">
        <v>362</v>
      </c>
      <c r="H1495" s="56">
        <v>0</v>
      </c>
      <c r="I1495" s="13">
        <f t="shared" si="150"/>
        <v>2</v>
      </c>
      <c r="J1495" s="14">
        <f t="shared" si="144"/>
        <v>0.55555555555555558</v>
      </c>
      <c r="K1495" s="56">
        <v>2.04</v>
      </c>
      <c r="L1495" s="15">
        <f t="shared" si="145"/>
        <v>0</v>
      </c>
      <c r="M1495" s="16">
        <f t="shared" si="146"/>
        <v>187.64878800000002</v>
      </c>
      <c r="N1495" s="17">
        <f t="shared" si="147"/>
        <v>2.04</v>
      </c>
      <c r="O1495" s="17">
        <f t="shared" si="148"/>
        <v>734.4</v>
      </c>
      <c r="P1495" s="18">
        <f t="shared" si="149"/>
        <v>67553.563680000007</v>
      </c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</row>
    <row r="1496" spans="1:27" ht="12.75">
      <c r="A1496" s="20"/>
      <c r="B1496" s="10">
        <v>46096</v>
      </c>
      <c r="C1496" s="11">
        <f>VLOOKUP(B:B,'Курс валют'!A:D,4,0)</f>
        <v>91.984700000000004</v>
      </c>
      <c r="D1496" s="57" t="s">
        <v>1213</v>
      </c>
      <c r="E1496" s="50" t="s">
        <v>104</v>
      </c>
      <c r="F1496" s="58">
        <v>1920</v>
      </c>
      <c r="G1496" s="13">
        <v>1964.8</v>
      </c>
      <c r="H1496" s="56">
        <v>0</v>
      </c>
      <c r="I1496" s="13">
        <f t="shared" si="150"/>
        <v>44.799999999999955</v>
      </c>
      <c r="J1496" s="14">
        <f t="shared" si="144"/>
        <v>2.3333333333333308</v>
      </c>
      <c r="K1496" s="56">
        <v>2.68</v>
      </c>
      <c r="L1496" s="15">
        <f t="shared" si="145"/>
        <v>0</v>
      </c>
      <c r="M1496" s="16">
        <f t="shared" si="146"/>
        <v>246.51899600000004</v>
      </c>
      <c r="N1496" s="17">
        <f t="shared" si="147"/>
        <v>2.68</v>
      </c>
      <c r="O1496" s="17">
        <f t="shared" si="148"/>
        <v>5145.6000000000004</v>
      </c>
      <c r="P1496" s="18">
        <f t="shared" si="149"/>
        <v>473316.47232000006</v>
      </c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</row>
    <row r="1497" spans="1:27" ht="12.75">
      <c r="A1497" s="20"/>
      <c r="B1497" s="10">
        <v>46097</v>
      </c>
      <c r="C1497" s="11">
        <f>VLOOKUP(B:B,'Курс валют'!A:D,4,0)</f>
        <v>91.984700000000004</v>
      </c>
      <c r="D1497" s="57" t="s">
        <v>572</v>
      </c>
      <c r="E1497" s="50" t="s">
        <v>119</v>
      </c>
      <c r="F1497" s="58">
        <v>69.540000000000006</v>
      </c>
      <c r="G1497" s="13">
        <v>71.197500000000005</v>
      </c>
      <c r="H1497" s="56">
        <v>0</v>
      </c>
      <c r="I1497" s="13">
        <f t="shared" si="150"/>
        <v>1.6574999999999989</v>
      </c>
      <c r="J1497" s="14">
        <f t="shared" si="144"/>
        <v>2.3835202761000844</v>
      </c>
      <c r="K1497" s="56">
        <v>2.0099999999999998</v>
      </c>
      <c r="L1497" s="15">
        <f t="shared" si="145"/>
        <v>0</v>
      </c>
      <c r="M1497" s="16">
        <f t="shared" si="146"/>
        <v>184.88924699999998</v>
      </c>
      <c r="N1497" s="17">
        <f t="shared" si="147"/>
        <v>2.0099999999999998</v>
      </c>
      <c r="O1497" s="17">
        <f t="shared" si="148"/>
        <v>139.77539999999999</v>
      </c>
      <c r="P1497" s="18">
        <f t="shared" si="149"/>
        <v>12857.19823638</v>
      </c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</row>
    <row r="1498" spans="1:27" ht="12.75">
      <c r="A1498" s="20"/>
      <c r="B1498" s="10">
        <v>46097</v>
      </c>
      <c r="C1498" s="11">
        <f>VLOOKUP(B:B,'Курс валют'!A:D,4,0)</f>
        <v>91.984700000000004</v>
      </c>
      <c r="D1498" s="57" t="s">
        <v>572</v>
      </c>
      <c r="E1498" s="50" t="s">
        <v>121</v>
      </c>
      <c r="F1498" s="58">
        <v>115.9</v>
      </c>
      <c r="G1498" s="13">
        <v>118.66249999999999</v>
      </c>
      <c r="H1498" s="56">
        <v>0</v>
      </c>
      <c r="I1498" s="13">
        <f t="shared" si="150"/>
        <v>2.7624999999999886</v>
      </c>
      <c r="J1498" s="14">
        <f t="shared" si="144"/>
        <v>2.383520276100076</v>
      </c>
      <c r="K1498" s="56">
        <v>2.0099999999999998</v>
      </c>
      <c r="L1498" s="15">
        <f t="shared" si="145"/>
        <v>0</v>
      </c>
      <c r="M1498" s="16">
        <f t="shared" si="146"/>
        <v>184.88924699999998</v>
      </c>
      <c r="N1498" s="17">
        <f t="shared" si="147"/>
        <v>2.0099999999999998</v>
      </c>
      <c r="O1498" s="17">
        <f t="shared" si="148"/>
        <v>232.95899999999997</v>
      </c>
      <c r="P1498" s="18">
        <f t="shared" si="149"/>
        <v>21428.663727299998</v>
      </c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</row>
    <row r="1499" spans="1:27" ht="12.75">
      <c r="A1499" s="20"/>
      <c r="B1499" s="10">
        <v>46098</v>
      </c>
      <c r="C1499" s="11">
        <f>VLOOKUP(B:B,'Курс валют'!A:D,4,0)</f>
        <v>92.655500000000004</v>
      </c>
      <c r="D1499" s="57" t="s">
        <v>1214</v>
      </c>
      <c r="E1499" s="50" t="s">
        <v>51</v>
      </c>
      <c r="F1499" s="58">
        <v>800</v>
      </c>
      <c r="G1499" s="13">
        <v>804.34</v>
      </c>
      <c r="H1499" s="56">
        <v>0</v>
      </c>
      <c r="I1499" s="13">
        <f t="shared" si="150"/>
        <v>4.3400000000000318</v>
      </c>
      <c r="J1499" s="14">
        <f t="shared" si="144"/>
        <v>0.54250000000000398</v>
      </c>
      <c r="K1499" s="56">
        <v>1.97</v>
      </c>
      <c r="L1499" s="15">
        <f t="shared" si="145"/>
        <v>0</v>
      </c>
      <c r="M1499" s="16">
        <f t="shared" si="146"/>
        <v>182.53133500000001</v>
      </c>
      <c r="N1499" s="17">
        <f t="shared" si="147"/>
        <v>1.97</v>
      </c>
      <c r="O1499" s="17">
        <f t="shared" si="148"/>
        <v>1576</v>
      </c>
      <c r="P1499" s="18">
        <f t="shared" si="149"/>
        <v>146025.068</v>
      </c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</row>
    <row r="1500" spans="1:27" ht="12.75">
      <c r="A1500" s="20"/>
      <c r="B1500" s="10">
        <v>46098</v>
      </c>
      <c r="C1500" s="11">
        <f>VLOOKUP(B:B,'Курс валют'!A:D,4,0)</f>
        <v>92.655500000000004</v>
      </c>
      <c r="D1500" s="57" t="s">
        <v>1215</v>
      </c>
      <c r="E1500" s="50" t="s">
        <v>51</v>
      </c>
      <c r="F1500" s="58">
        <v>800</v>
      </c>
      <c r="G1500" s="13">
        <v>804.34</v>
      </c>
      <c r="H1500" s="56">
        <v>0</v>
      </c>
      <c r="I1500" s="13">
        <f t="shared" si="150"/>
        <v>4.3400000000000318</v>
      </c>
      <c r="J1500" s="14">
        <f t="shared" si="144"/>
        <v>0.54250000000000398</v>
      </c>
      <c r="K1500" s="56">
        <v>1.97</v>
      </c>
      <c r="L1500" s="15">
        <f t="shared" si="145"/>
        <v>0</v>
      </c>
      <c r="M1500" s="16">
        <f t="shared" si="146"/>
        <v>182.53133500000001</v>
      </c>
      <c r="N1500" s="17">
        <f t="shared" si="147"/>
        <v>1.97</v>
      </c>
      <c r="O1500" s="17">
        <f t="shared" si="148"/>
        <v>1576</v>
      </c>
      <c r="P1500" s="18">
        <f t="shared" si="149"/>
        <v>146025.068</v>
      </c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</row>
    <row r="1501" spans="1:27" ht="12.75">
      <c r="A1501" s="20"/>
      <c r="B1501" s="10">
        <v>46098</v>
      </c>
      <c r="C1501" s="11">
        <f>VLOOKUP(B:B,'Курс валют'!A:D,4,0)</f>
        <v>92.655500000000004</v>
      </c>
      <c r="D1501" s="57" t="s">
        <v>1216</v>
      </c>
      <c r="E1501" s="50" t="s">
        <v>51</v>
      </c>
      <c r="F1501" s="58">
        <v>800</v>
      </c>
      <c r="G1501" s="13">
        <v>804.34</v>
      </c>
      <c r="H1501" s="56">
        <v>0</v>
      </c>
      <c r="I1501" s="13">
        <f t="shared" si="150"/>
        <v>4.3400000000000318</v>
      </c>
      <c r="J1501" s="14">
        <f t="shared" si="144"/>
        <v>0.54250000000000398</v>
      </c>
      <c r="K1501" s="56">
        <v>1.98</v>
      </c>
      <c r="L1501" s="15">
        <f t="shared" si="145"/>
        <v>0</v>
      </c>
      <c r="M1501" s="16">
        <f t="shared" si="146"/>
        <v>183.45789000000002</v>
      </c>
      <c r="N1501" s="17">
        <f t="shared" si="147"/>
        <v>1.98</v>
      </c>
      <c r="O1501" s="17">
        <f t="shared" si="148"/>
        <v>1584</v>
      </c>
      <c r="P1501" s="18">
        <f t="shared" si="149"/>
        <v>146766.31200000001</v>
      </c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</row>
    <row r="1502" spans="1:27" ht="12.75">
      <c r="A1502" s="20"/>
      <c r="B1502" s="10">
        <v>46098</v>
      </c>
      <c r="C1502" s="11">
        <f>VLOOKUP(B:B,'Курс валют'!A:D,4,0)</f>
        <v>92.655500000000004</v>
      </c>
      <c r="D1502" s="57" t="s">
        <v>1217</v>
      </c>
      <c r="E1502" s="50" t="s">
        <v>51</v>
      </c>
      <c r="F1502" s="58">
        <v>800</v>
      </c>
      <c r="G1502" s="13">
        <v>804.34</v>
      </c>
      <c r="H1502" s="56">
        <v>0</v>
      </c>
      <c r="I1502" s="13">
        <f t="shared" si="150"/>
        <v>4.3400000000000318</v>
      </c>
      <c r="J1502" s="14">
        <f t="shared" si="144"/>
        <v>0.54250000000000398</v>
      </c>
      <c r="K1502" s="56">
        <v>1.98</v>
      </c>
      <c r="L1502" s="15">
        <f t="shared" si="145"/>
        <v>0</v>
      </c>
      <c r="M1502" s="16">
        <f t="shared" si="146"/>
        <v>183.45789000000002</v>
      </c>
      <c r="N1502" s="17">
        <f t="shared" si="147"/>
        <v>1.98</v>
      </c>
      <c r="O1502" s="17">
        <f t="shared" si="148"/>
        <v>1584</v>
      </c>
      <c r="P1502" s="18">
        <f t="shared" si="149"/>
        <v>146766.31200000001</v>
      </c>
      <c r="R1502" s="19"/>
      <c r="S1502" s="20"/>
      <c r="T1502" s="20"/>
      <c r="U1502" s="20"/>
      <c r="V1502" s="20"/>
      <c r="W1502" s="20"/>
      <c r="X1502" s="20"/>
      <c r="Y1502" s="20"/>
      <c r="Z1502" s="20"/>
      <c r="AA1502" s="20"/>
    </row>
    <row r="1503" spans="1:27" ht="12.75">
      <c r="B1503" s="10">
        <v>46098</v>
      </c>
      <c r="C1503" s="11">
        <f>VLOOKUP(B:B,'Курс валют'!A:D,4,0)</f>
        <v>92.655500000000004</v>
      </c>
      <c r="D1503" s="57" t="s">
        <v>1218</v>
      </c>
      <c r="E1503" s="50" t="s">
        <v>51</v>
      </c>
      <c r="F1503" s="58">
        <v>800</v>
      </c>
      <c r="G1503" s="13">
        <v>804.34</v>
      </c>
      <c r="H1503" s="56">
        <v>0</v>
      </c>
      <c r="I1503" s="13">
        <f t="shared" si="150"/>
        <v>4.3400000000000318</v>
      </c>
      <c r="J1503" s="14">
        <f t="shared" si="144"/>
        <v>0.54250000000000398</v>
      </c>
      <c r="K1503" s="56">
        <v>1.99</v>
      </c>
      <c r="L1503" s="15">
        <f t="shared" si="145"/>
        <v>0</v>
      </c>
      <c r="M1503" s="16">
        <f t="shared" si="146"/>
        <v>184.38444500000003</v>
      </c>
      <c r="N1503" s="17">
        <f t="shared" si="147"/>
        <v>1.99</v>
      </c>
      <c r="O1503" s="17">
        <f t="shared" si="148"/>
        <v>1592</v>
      </c>
      <c r="P1503" s="18">
        <f t="shared" si="149"/>
        <v>147507.55600000001</v>
      </c>
    </row>
    <row r="1504" spans="1:27" ht="12.75">
      <c r="B1504" s="10">
        <v>46098</v>
      </c>
      <c r="C1504" s="11">
        <f>VLOOKUP(B:B,'Курс валют'!A:D,4,0)</f>
        <v>92.655500000000004</v>
      </c>
      <c r="D1504" s="57" t="s">
        <v>1219</v>
      </c>
      <c r="E1504" s="50" t="s">
        <v>51</v>
      </c>
      <c r="F1504" s="58">
        <v>800</v>
      </c>
      <c r="G1504" s="13">
        <v>804.34</v>
      </c>
      <c r="H1504" s="56">
        <v>0</v>
      </c>
      <c r="I1504" s="13">
        <f t="shared" si="150"/>
        <v>4.3400000000000318</v>
      </c>
      <c r="J1504" s="14">
        <f t="shared" si="144"/>
        <v>0.54250000000000398</v>
      </c>
      <c r="K1504" s="56">
        <v>1.99</v>
      </c>
      <c r="L1504" s="15">
        <f t="shared" si="145"/>
        <v>0</v>
      </c>
      <c r="M1504" s="16">
        <f t="shared" si="146"/>
        <v>184.38444500000003</v>
      </c>
      <c r="N1504" s="17">
        <f t="shared" si="147"/>
        <v>1.99</v>
      </c>
      <c r="O1504" s="17">
        <f t="shared" si="148"/>
        <v>1592</v>
      </c>
      <c r="P1504" s="18">
        <f t="shared" si="149"/>
        <v>147507.55600000001</v>
      </c>
    </row>
    <row r="1505" spans="2:16" ht="12.75">
      <c r="B1505" s="10">
        <v>46098</v>
      </c>
      <c r="C1505" s="11">
        <f>VLOOKUP(B:B,'Курс валют'!A:D,4,0)</f>
        <v>92.655500000000004</v>
      </c>
      <c r="D1505" s="57" t="s">
        <v>1220</v>
      </c>
      <c r="E1505" s="50" t="s">
        <v>51</v>
      </c>
      <c r="F1505" s="58">
        <v>800</v>
      </c>
      <c r="G1505" s="13">
        <v>804.34</v>
      </c>
      <c r="H1505" s="56">
        <v>0</v>
      </c>
      <c r="I1505" s="13">
        <f t="shared" si="150"/>
        <v>4.3400000000000318</v>
      </c>
      <c r="J1505" s="14">
        <f t="shared" si="144"/>
        <v>0.54250000000000398</v>
      </c>
      <c r="K1505" s="56">
        <v>1.99</v>
      </c>
      <c r="L1505" s="15">
        <f t="shared" si="145"/>
        <v>0</v>
      </c>
      <c r="M1505" s="16">
        <f t="shared" si="146"/>
        <v>184.38444500000003</v>
      </c>
      <c r="N1505" s="17">
        <f t="shared" si="147"/>
        <v>1.99</v>
      </c>
      <c r="O1505" s="17">
        <f t="shared" si="148"/>
        <v>1592</v>
      </c>
      <c r="P1505" s="18">
        <f t="shared" si="149"/>
        <v>147507.55600000001</v>
      </c>
    </row>
    <row r="1506" spans="2:16" ht="12.75">
      <c r="B1506" s="10">
        <v>46098</v>
      </c>
      <c r="C1506" s="11">
        <f>VLOOKUP(B:B,'Курс валют'!A:D,4,0)</f>
        <v>92.655500000000004</v>
      </c>
      <c r="D1506" s="57" t="s">
        <v>1221</v>
      </c>
      <c r="E1506" s="50" t="s">
        <v>51</v>
      </c>
      <c r="F1506" s="58">
        <v>800</v>
      </c>
      <c r="G1506" s="13">
        <v>804.34</v>
      </c>
      <c r="H1506" s="56">
        <v>0</v>
      </c>
      <c r="I1506" s="13">
        <f t="shared" si="150"/>
        <v>4.3400000000000318</v>
      </c>
      <c r="J1506" s="14">
        <f t="shared" si="144"/>
        <v>0.54250000000000398</v>
      </c>
      <c r="K1506" s="56">
        <v>1.99</v>
      </c>
      <c r="L1506" s="15">
        <f t="shared" si="145"/>
        <v>0</v>
      </c>
      <c r="M1506" s="16">
        <f t="shared" si="146"/>
        <v>184.38444500000003</v>
      </c>
      <c r="N1506" s="17">
        <f t="shared" si="147"/>
        <v>1.99</v>
      </c>
      <c r="O1506" s="17">
        <f t="shared" si="148"/>
        <v>1592</v>
      </c>
      <c r="P1506" s="18">
        <f t="shared" si="149"/>
        <v>147507.55600000001</v>
      </c>
    </row>
    <row r="1507" spans="2:16" ht="12.75">
      <c r="B1507" s="10">
        <v>46098</v>
      </c>
      <c r="C1507" s="11">
        <f>VLOOKUP(B:B,'Курс валют'!A:D,4,0)</f>
        <v>92.655500000000004</v>
      </c>
      <c r="D1507" s="57" t="s">
        <v>1222</v>
      </c>
      <c r="E1507" s="50" t="s">
        <v>51</v>
      </c>
      <c r="F1507" s="58">
        <v>800</v>
      </c>
      <c r="G1507" s="13">
        <v>804.34</v>
      </c>
      <c r="H1507" s="56">
        <v>0</v>
      </c>
      <c r="I1507" s="13">
        <f t="shared" si="150"/>
        <v>4.3400000000000318</v>
      </c>
      <c r="J1507" s="14">
        <f t="shared" si="144"/>
        <v>0.54250000000000398</v>
      </c>
      <c r="K1507" s="56">
        <v>1.99</v>
      </c>
      <c r="L1507" s="15">
        <f t="shared" si="145"/>
        <v>0</v>
      </c>
      <c r="M1507" s="16">
        <f t="shared" si="146"/>
        <v>184.38444500000003</v>
      </c>
      <c r="N1507" s="17">
        <f t="shared" si="147"/>
        <v>1.99</v>
      </c>
      <c r="O1507" s="17">
        <f t="shared" si="148"/>
        <v>1592</v>
      </c>
      <c r="P1507" s="18">
        <f t="shared" si="149"/>
        <v>147507.55600000001</v>
      </c>
    </row>
    <row r="1508" spans="2:16" ht="12.75">
      <c r="B1508" s="10">
        <v>46098</v>
      </c>
      <c r="C1508" s="11">
        <f>VLOOKUP(B:B,'Курс валют'!A:D,4,0)</f>
        <v>92.655500000000004</v>
      </c>
      <c r="D1508" s="57" t="s">
        <v>1223</v>
      </c>
      <c r="E1508" s="50" t="s">
        <v>51</v>
      </c>
      <c r="F1508" s="58">
        <v>800</v>
      </c>
      <c r="G1508" s="13">
        <v>804.34</v>
      </c>
      <c r="H1508" s="56">
        <v>0</v>
      </c>
      <c r="I1508" s="13">
        <f t="shared" si="150"/>
        <v>4.3400000000000318</v>
      </c>
      <c r="J1508" s="14">
        <f t="shared" si="144"/>
        <v>0.54250000000000398</v>
      </c>
      <c r="K1508" s="56">
        <v>1.99</v>
      </c>
      <c r="L1508" s="15">
        <f t="shared" si="145"/>
        <v>0</v>
      </c>
      <c r="M1508" s="16">
        <f t="shared" si="146"/>
        <v>184.38444500000003</v>
      </c>
      <c r="N1508" s="17">
        <f t="shared" si="147"/>
        <v>1.99</v>
      </c>
      <c r="O1508" s="17">
        <f t="shared" si="148"/>
        <v>1592</v>
      </c>
      <c r="P1508" s="18">
        <f t="shared" si="149"/>
        <v>147507.55600000001</v>
      </c>
    </row>
    <row r="1509" spans="2:16" ht="12.75">
      <c r="B1509" s="10">
        <v>46098</v>
      </c>
      <c r="C1509" s="11">
        <f>VLOOKUP(B:B,'Курс валют'!A:D,4,0)</f>
        <v>92.655500000000004</v>
      </c>
      <c r="D1509" s="57" t="s">
        <v>1224</v>
      </c>
      <c r="E1509" s="50" t="s">
        <v>103</v>
      </c>
      <c r="F1509" s="58">
        <v>800</v>
      </c>
      <c r="G1509" s="13">
        <v>804.5</v>
      </c>
      <c r="H1509" s="56">
        <v>0</v>
      </c>
      <c r="I1509" s="13">
        <f t="shared" si="150"/>
        <v>4.5</v>
      </c>
      <c r="J1509" s="14">
        <f t="shared" si="144"/>
        <v>0.5625</v>
      </c>
      <c r="K1509" s="56">
        <v>1.95</v>
      </c>
      <c r="L1509" s="15">
        <f t="shared" si="145"/>
        <v>0</v>
      </c>
      <c r="M1509" s="16">
        <f t="shared" si="146"/>
        <v>180.67822500000003</v>
      </c>
      <c r="N1509" s="17">
        <f t="shared" si="147"/>
        <v>1.95</v>
      </c>
      <c r="O1509" s="17">
        <f t="shared" si="148"/>
        <v>1560</v>
      </c>
      <c r="P1509" s="18">
        <f t="shared" si="149"/>
        <v>144542.58000000002</v>
      </c>
    </row>
    <row r="1510" spans="2:16" ht="12.75">
      <c r="B1510" s="10">
        <v>46098</v>
      </c>
      <c r="C1510" s="11">
        <f>VLOOKUP(B:B,'Курс валют'!A:D,4,0)</f>
        <v>92.655500000000004</v>
      </c>
      <c r="D1510" s="57" t="s">
        <v>1225</v>
      </c>
      <c r="E1510" s="50" t="s">
        <v>103</v>
      </c>
      <c r="F1510" s="58">
        <v>800</v>
      </c>
      <c r="G1510" s="13">
        <v>804.5</v>
      </c>
      <c r="H1510" s="56">
        <v>0</v>
      </c>
      <c r="I1510" s="13">
        <f t="shared" si="150"/>
        <v>4.5</v>
      </c>
      <c r="J1510" s="14">
        <f t="shared" si="144"/>
        <v>0.5625</v>
      </c>
      <c r="K1510" s="56">
        <v>1.95</v>
      </c>
      <c r="L1510" s="15">
        <f t="shared" si="145"/>
        <v>0</v>
      </c>
      <c r="M1510" s="16">
        <f t="shared" si="146"/>
        <v>180.67822500000003</v>
      </c>
      <c r="N1510" s="17">
        <f t="shared" si="147"/>
        <v>1.95</v>
      </c>
      <c r="O1510" s="17">
        <f t="shared" si="148"/>
        <v>1560</v>
      </c>
      <c r="P1510" s="18">
        <f t="shared" si="149"/>
        <v>144542.58000000002</v>
      </c>
    </row>
    <row r="1511" spans="2:16" ht="12.75">
      <c r="B1511" s="10">
        <v>46098</v>
      </c>
      <c r="C1511" s="11">
        <f>VLOOKUP(B:B,'Курс валют'!A:D,4,0)</f>
        <v>92.655500000000004</v>
      </c>
      <c r="D1511" s="57" t="s">
        <v>1226</v>
      </c>
      <c r="E1511" s="50" t="s">
        <v>103</v>
      </c>
      <c r="F1511" s="58">
        <v>800</v>
      </c>
      <c r="G1511" s="13">
        <v>804.5</v>
      </c>
      <c r="H1511" s="56">
        <v>0</v>
      </c>
      <c r="I1511" s="13">
        <f t="shared" si="150"/>
        <v>4.5</v>
      </c>
      <c r="J1511" s="14">
        <f t="shared" si="144"/>
        <v>0.5625</v>
      </c>
      <c r="K1511" s="56">
        <v>1.94</v>
      </c>
      <c r="L1511" s="15">
        <f t="shared" si="145"/>
        <v>0</v>
      </c>
      <c r="M1511" s="16">
        <f t="shared" si="146"/>
        <v>179.75167000000002</v>
      </c>
      <c r="N1511" s="17">
        <f t="shared" si="147"/>
        <v>1.94</v>
      </c>
      <c r="O1511" s="17">
        <f t="shared" si="148"/>
        <v>1552</v>
      </c>
      <c r="P1511" s="18">
        <f t="shared" si="149"/>
        <v>143801.33600000001</v>
      </c>
    </row>
    <row r="1512" spans="2:16" ht="12.75">
      <c r="B1512" s="10">
        <v>46098</v>
      </c>
      <c r="C1512" s="11">
        <f>VLOOKUP(B:B,'Курс валют'!A:D,4,0)</f>
        <v>92.655500000000004</v>
      </c>
      <c r="D1512" s="57" t="s">
        <v>1227</v>
      </c>
      <c r="E1512" s="50" t="s">
        <v>103</v>
      </c>
      <c r="F1512" s="58">
        <v>800</v>
      </c>
      <c r="G1512" s="13">
        <v>804.5</v>
      </c>
      <c r="H1512" s="56">
        <v>0</v>
      </c>
      <c r="I1512" s="13">
        <f t="shared" si="150"/>
        <v>4.5</v>
      </c>
      <c r="J1512" s="14">
        <f t="shared" si="144"/>
        <v>0.5625</v>
      </c>
      <c r="K1512" s="56">
        <v>1.94</v>
      </c>
      <c r="L1512" s="15">
        <f t="shared" si="145"/>
        <v>0</v>
      </c>
      <c r="M1512" s="16">
        <f t="shared" si="146"/>
        <v>179.75167000000002</v>
      </c>
      <c r="N1512" s="17">
        <f t="shared" si="147"/>
        <v>1.94</v>
      </c>
      <c r="O1512" s="17">
        <f t="shared" si="148"/>
        <v>1552</v>
      </c>
      <c r="P1512" s="18">
        <f t="shared" si="149"/>
        <v>143801.33600000001</v>
      </c>
    </row>
    <row r="1513" spans="2:16" ht="12.75">
      <c r="B1513" s="10">
        <v>46098</v>
      </c>
      <c r="C1513" s="11">
        <f>VLOOKUP(B:B,'Курс валют'!A:D,4,0)</f>
        <v>92.655500000000004</v>
      </c>
      <c r="D1513" s="57" t="s">
        <v>1228</v>
      </c>
      <c r="E1513" s="50" t="s">
        <v>103</v>
      </c>
      <c r="F1513" s="58">
        <v>800</v>
      </c>
      <c r="G1513" s="13">
        <v>804.5</v>
      </c>
      <c r="H1513" s="56">
        <v>0</v>
      </c>
      <c r="I1513" s="13">
        <f t="shared" si="150"/>
        <v>4.5</v>
      </c>
      <c r="J1513" s="14">
        <f t="shared" si="144"/>
        <v>0.5625</v>
      </c>
      <c r="K1513" s="56">
        <v>1.94</v>
      </c>
      <c r="L1513" s="15">
        <f t="shared" si="145"/>
        <v>0</v>
      </c>
      <c r="M1513" s="16">
        <f t="shared" si="146"/>
        <v>179.75167000000002</v>
      </c>
      <c r="N1513" s="17">
        <f t="shared" si="147"/>
        <v>1.94</v>
      </c>
      <c r="O1513" s="17">
        <f t="shared" si="148"/>
        <v>1552</v>
      </c>
      <c r="P1513" s="18">
        <f t="shared" si="149"/>
        <v>143801.33600000001</v>
      </c>
    </row>
    <row r="1514" spans="2:16" ht="12.75">
      <c r="B1514" s="10">
        <v>46098</v>
      </c>
      <c r="C1514" s="11">
        <f>VLOOKUP(B:B,'Курс валют'!A:D,4,0)</f>
        <v>92.655500000000004</v>
      </c>
      <c r="D1514" s="57" t="s">
        <v>1229</v>
      </c>
      <c r="E1514" s="50" t="s">
        <v>103</v>
      </c>
      <c r="F1514" s="58">
        <v>800</v>
      </c>
      <c r="G1514" s="13">
        <v>804.5</v>
      </c>
      <c r="H1514" s="56">
        <v>0</v>
      </c>
      <c r="I1514" s="13">
        <f t="shared" si="150"/>
        <v>4.5</v>
      </c>
      <c r="J1514" s="14">
        <f t="shared" si="144"/>
        <v>0.5625</v>
      </c>
      <c r="K1514" s="56">
        <v>1.94</v>
      </c>
      <c r="L1514" s="15">
        <f t="shared" si="145"/>
        <v>0</v>
      </c>
      <c r="M1514" s="16">
        <f t="shared" si="146"/>
        <v>179.75167000000002</v>
      </c>
      <c r="N1514" s="17">
        <f t="shared" si="147"/>
        <v>1.94</v>
      </c>
      <c r="O1514" s="17">
        <f t="shared" si="148"/>
        <v>1552</v>
      </c>
      <c r="P1514" s="18">
        <f t="shared" si="149"/>
        <v>143801.33600000001</v>
      </c>
    </row>
    <row r="1515" spans="2:16" ht="12.75">
      <c r="B1515" s="10">
        <v>46098</v>
      </c>
      <c r="C1515" s="11">
        <f>VLOOKUP(B:B,'Курс валют'!A:D,4,0)</f>
        <v>92.655500000000004</v>
      </c>
      <c r="D1515" s="57" t="s">
        <v>1230</v>
      </c>
      <c r="E1515" s="50" t="s">
        <v>103</v>
      </c>
      <c r="F1515" s="58">
        <v>800</v>
      </c>
      <c r="G1515" s="13">
        <v>804.5</v>
      </c>
      <c r="H1515" s="56">
        <v>0</v>
      </c>
      <c r="I1515" s="13">
        <f t="shared" si="150"/>
        <v>4.5</v>
      </c>
      <c r="J1515" s="14">
        <f t="shared" si="144"/>
        <v>0.5625</v>
      </c>
      <c r="K1515" s="56">
        <v>1.95</v>
      </c>
      <c r="L1515" s="15">
        <f t="shared" si="145"/>
        <v>0</v>
      </c>
      <c r="M1515" s="16">
        <f t="shared" si="146"/>
        <v>180.67822500000003</v>
      </c>
      <c r="N1515" s="17">
        <f t="shared" si="147"/>
        <v>1.95</v>
      </c>
      <c r="O1515" s="17">
        <f t="shared" si="148"/>
        <v>1560</v>
      </c>
      <c r="P1515" s="18">
        <f t="shared" si="149"/>
        <v>144542.58000000002</v>
      </c>
    </row>
    <row r="1516" spans="2:16" ht="12.75">
      <c r="B1516" s="10">
        <v>46098</v>
      </c>
      <c r="C1516" s="11">
        <f>VLOOKUP(B:B,'Курс валют'!A:D,4,0)</f>
        <v>92.655500000000004</v>
      </c>
      <c r="D1516" s="57" t="s">
        <v>1231</v>
      </c>
      <c r="E1516" s="50" t="s">
        <v>103</v>
      </c>
      <c r="F1516" s="58">
        <v>800</v>
      </c>
      <c r="G1516" s="13">
        <v>804.5</v>
      </c>
      <c r="H1516" s="56">
        <v>0</v>
      </c>
      <c r="I1516" s="13">
        <f t="shared" si="150"/>
        <v>4.5</v>
      </c>
      <c r="J1516" s="14">
        <f t="shared" si="144"/>
        <v>0.5625</v>
      </c>
      <c r="K1516" s="56">
        <v>1.94</v>
      </c>
      <c r="L1516" s="15">
        <f t="shared" si="145"/>
        <v>0</v>
      </c>
      <c r="M1516" s="16">
        <f t="shared" si="146"/>
        <v>179.75167000000002</v>
      </c>
      <c r="N1516" s="17">
        <f t="shared" si="147"/>
        <v>1.94</v>
      </c>
      <c r="O1516" s="17">
        <f t="shared" si="148"/>
        <v>1552</v>
      </c>
      <c r="P1516" s="18">
        <f t="shared" si="149"/>
        <v>143801.33600000001</v>
      </c>
    </row>
    <row r="1517" spans="2:16" ht="12.75">
      <c r="B1517" s="10">
        <v>46099</v>
      </c>
      <c r="C1517" s="11">
        <f>VLOOKUP(B:B,'Курс валют'!A:D,4,0)</f>
        <v>93.155699999999996</v>
      </c>
      <c r="D1517" s="57" t="s">
        <v>1232</v>
      </c>
      <c r="E1517" s="50" t="s">
        <v>51</v>
      </c>
      <c r="F1517" s="58">
        <v>800</v>
      </c>
      <c r="G1517" s="13">
        <v>804.34</v>
      </c>
      <c r="H1517" s="56">
        <v>0</v>
      </c>
      <c r="I1517" s="13">
        <f t="shared" si="150"/>
        <v>4.3400000000000318</v>
      </c>
      <c r="J1517" s="14">
        <f t="shared" si="144"/>
        <v>0.54250000000000398</v>
      </c>
      <c r="K1517" s="56">
        <v>2</v>
      </c>
      <c r="L1517" s="15">
        <f t="shared" si="145"/>
        <v>0</v>
      </c>
      <c r="M1517" s="16">
        <f t="shared" si="146"/>
        <v>186.31139999999999</v>
      </c>
      <c r="N1517" s="17">
        <f t="shared" si="147"/>
        <v>2</v>
      </c>
      <c r="O1517" s="17">
        <f t="shared" si="148"/>
        <v>1600</v>
      </c>
      <c r="P1517" s="18">
        <f t="shared" si="149"/>
        <v>149049.12</v>
      </c>
    </row>
    <row r="1518" spans="2:16" ht="12.75">
      <c r="B1518" s="10">
        <v>46099</v>
      </c>
      <c r="C1518" s="11">
        <f>VLOOKUP(B:B,'Курс валют'!A:D,4,0)</f>
        <v>93.155699999999996</v>
      </c>
      <c r="D1518" s="57" t="s">
        <v>1233</v>
      </c>
      <c r="E1518" s="50" t="s">
        <v>51</v>
      </c>
      <c r="F1518" s="58">
        <v>800</v>
      </c>
      <c r="G1518" s="13">
        <v>804.34</v>
      </c>
      <c r="H1518" s="56">
        <v>0</v>
      </c>
      <c r="I1518" s="13">
        <f t="shared" si="150"/>
        <v>4.3400000000000318</v>
      </c>
      <c r="J1518" s="14">
        <f t="shared" si="144"/>
        <v>0.54250000000000398</v>
      </c>
      <c r="K1518" s="56">
        <v>1.99</v>
      </c>
      <c r="L1518" s="15">
        <f t="shared" si="145"/>
        <v>0</v>
      </c>
      <c r="M1518" s="16">
        <f t="shared" si="146"/>
        <v>185.37984299999999</v>
      </c>
      <c r="N1518" s="17">
        <f t="shared" si="147"/>
        <v>1.99</v>
      </c>
      <c r="O1518" s="17">
        <f t="shared" si="148"/>
        <v>1592</v>
      </c>
      <c r="P1518" s="18">
        <f t="shared" si="149"/>
        <v>148303.8744</v>
      </c>
    </row>
    <row r="1519" spans="2:16" ht="12.75">
      <c r="B1519" s="10">
        <v>46099</v>
      </c>
      <c r="C1519" s="11">
        <f>VLOOKUP(B:B,'Курс валют'!A:D,4,0)</f>
        <v>93.155699999999996</v>
      </c>
      <c r="D1519" s="57" t="s">
        <v>1234</v>
      </c>
      <c r="E1519" s="50" t="s">
        <v>51</v>
      </c>
      <c r="F1519" s="58">
        <v>800</v>
      </c>
      <c r="G1519" s="13">
        <v>804.34</v>
      </c>
      <c r="H1519" s="56">
        <v>0</v>
      </c>
      <c r="I1519" s="13">
        <f t="shared" si="150"/>
        <v>4.3400000000000318</v>
      </c>
      <c r="J1519" s="14">
        <f t="shared" si="144"/>
        <v>0.54250000000000398</v>
      </c>
      <c r="K1519" s="56">
        <v>1.99</v>
      </c>
      <c r="L1519" s="15">
        <f t="shared" si="145"/>
        <v>0</v>
      </c>
      <c r="M1519" s="16">
        <f t="shared" si="146"/>
        <v>185.37984299999999</v>
      </c>
      <c r="N1519" s="17">
        <f t="shared" si="147"/>
        <v>1.99</v>
      </c>
      <c r="O1519" s="17">
        <f t="shared" si="148"/>
        <v>1592</v>
      </c>
      <c r="P1519" s="18">
        <f t="shared" si="149"/>
        <v>148303.8744</v>
      </c>
    </row>
    <row r="1520" spans="2:16" ht="12.75">
      <c r="B1520" s="10">
        <v>46099</v>
      </c>
      <c r="C1520" s="11">
        <f>VLOOKUP(B:B,'Курс валют'!A:D,4,0)</f>
        <v>93.155699999999996</v>
      </c>
      <c r="D1520" s="57" t="s">
        <v>1235</v>
      </c>
      <c r="E1520" s="50" t="s">
        <v>51</v>
      </c>
      <c r="F1520" s="58">
        <v>800</v>
      </c>
      <c r="G1520" s="13">
        <v>804.34</v>
      </c>
      <c r="H1520" s="56">
        <v>0</v>
      </c>
      <c r="I1520" s="13">
        <f t="shared" si="150"/>
        <v>4.3400000000000318</v>
      </c>
      <c r="J1520" s="14">
        <f t="shared" si="144"/>
        <v>0.54250000000000398</v>
      </c>
      <c r="K1520" s="56">
        <v>1.99</v>
      </c>
      <c r="L1520" s="15">
        <f t="shared" si="145"/>
        <v>0</v>
      </c>
      <c r="M1520" s="16">
        <f t="shared" si="146"/>
        <v>185.37984299999999</v>
      </c>
      <c r="N1520" s="17">
        <f t="shared" si="147"/>
        <v>1.99</v>
      </c>
      <c r="O1520" s="17">
        <f t="shared" si="148"/>
        <v>1592</v>
      </c>
      <c r="P1520" s="18">
        <f t="shared" si="149"/>
        <v>148303.8744</v>
      </c>
    </row>
    <row r="1521" spans="2:18" ht="12.75">
      <c r="B1521" s="10">
        <v>46099</v>
      </c>
      <c r="C1521" s="11">
        <f>VLOOKUP(B:B,'Курс валют'!A:D,4,0)</f>
        <v>93.155699999999996</v>
      </c>
      <c r="D1521" s="57" t="s">
        <v>1236</v>
      </c>
      <c r="E1521" s="50" t="s">
        <v>51</v>
      </c>
      <c r="F1521" s="58">
        <v>800</v>
      </c>
      <c r="G1521" s="13">
        <v>804.34</v>
      </c>
      <c r="H1521" s="56">
        <v>0</v>
      </c>
      <c r="I1521" s="13">
        <f t="shared" si="150"/>
        <v>4.3400000000000318</v>
      </c>
      <c r="J1521" s="14">
        <f t="shared" si="144"/>
        <v>0.54250000000000398</v>
      </c>
      <c r="K1521" s="56">
        <v>2</v>
      </c>
      <c r="L1521" s="15">
        <f t="shared" si="145"/>
        <v>0</v>
      </c>
      <c r="M1521" s="16">
        <f t="shared" si="146"/>
        <v>186.31139999999999</v>
      </c>
      <c r="N1521" s="17">
        <f t="shared" si="147"/>
        <v>2</v>
      </c>
      <c r="O1521" s="17">
        <f t="shared" si="148"/>
        <v>1600</v>
      </c>
      <c r="P1521" s="18">
        <f t="shared" si="149"/>
        <v>149049.12</v>
      </c>
    </row>
    <row r="1522" spans="2:18" ht="12.75">
      <c r="B1522" s="10">
        <v>46099</v>
      </c>
      <c r="C1522" s="11">
        <f>VLOOKUP(B:B,'Курс валют'!A:D,4,0)</f>
        <v>93.155699999999996</v>
      </c>
      <c r="D1522" s="57" t="s">
        <v>1237</v>
      </c>
      <c r="E1522" s="50" t="s">
        <v>51</v>
      </c>
      <c r="F1522" s="58">
        <v>800</v>
      </c>
      <c r="G1522" s="13">
        <v>804.34</v>
      </c>
      <c r="H1522" s="56">
        <v>0</v>
      </c>
      <c r="I1522" s="13">
        <f t="shared" si="150"/>
        <v>4.3400000000000318</v>
      </c>
      <c r="J1522" s="14">
        <f t="shared" si="144"/>
        <v>0.54250000000000398</v>
      </c>
      <c r="K1522" s="56">
        <v>1.99</v>
      </c>
      <c r="L1522" s="15">
        <f t="shared" si="145"/>
        <v>0</v>
      </c>
      <c r="M1522" s="16">
        <f t="shared" si="146"/>
        <v>185.37984299999999</v>
      </c>
      <c r="N1522" s="17">
        <f t="shared" si="147"/>
        <v>1.99</v>
      </c>
      <c r="O1522" s="17">
        <f t="shared" si="148"/>
        <v>1592</v>
      </c>
      <c r="P1522" s="18">
        <f t="shared" si="149"/>
        <v>148303.8744</v>
      </c>
    </row>
    <row r="1523" spans="2:18" ht="12.75">
      <c r="B1523" s="10">
        <v>46099</v>
      </c>
      <c r="C1523" s="11">
        <f>VLOOKUP(B:B,'Курс валют'!A:D,4,0)</f>
        <v>93.155699999999996</v>
      </c>
      <c r="D1523" s="57" t="s">
        <v>1238</v>
      </c>
      <c r="E1523" s="50" t="s">
        <v>103</v>
      </c>
      <c r="F1523" s="58">
        <v>800</v>
      </c>
      <c r="G1523" s="13">
        <v>804.5</v>
      </c>
      <c r="H1523" s="56">
        <v>0</v>
      </c>
      <c r="I1523" s="13">
        <f t="shared" si="150"/>
        <v>4.5</v>
      </c>
      <c r="J1523" s="14">
        <f t="shared" si="144"/>
        <v>0.5625</v>
      </c>
      <c r="K1523" s="56">
        <v>1.95</v>
      </c>
      <c r="L1523" s="15">
        <f t="shared" si="145"/>
        <v>0</v>
      </c>
      <c r="M1523" s="16">
        <f t="shared" si="146"/>
        <v>181.653615</v>
      </c>
      <c r="N1523" s="17">
        <f t="shared" si="147"/>
        <v>1.95</v>
      </c>
      <c r="O1523" s="17">
        <f t="shared" si="148"/>
        <v>1560</v>
      </c>
      <c r="P1523" s="18">
        <f t="shared" si="149"/>
        <v>145322.89199999999</v>
      </c>
    </row>
    <row r="1524" spans="2:18" ht="12.75">
      <c r="B1524" s="10">
        <v>46099</v>
      </c>
      <c r="C1524" s="11">
        <f>VLOOKUP(B:B,'Курс валют'!A:D,4,0)</f>
        <v>93.155699999999996</v>
      </c>
      <c r="D1524" s="57" t="s">
        <v>1239</v>
      </c>
      <c r="E1524" s="50" t="s">
        <v>103</v>
      </c>
      <c r="F1524" s="58">
        <v>800</v>
      </c>
      <c r="G1524" s="13">
        <v>804.5</v>
      </c>
      <c r="H1524" s="56">
        <v>0</v>
      </c>
      <c r="I1524" s="13">
        <f t="shared" si="150"/>
        <v>4.5</v>
      </c>
      <c r="J1524" s="14">
        <f t="shared" si="144"/>
        <v>0.5625</v>
      </c>
      <c r="K1524" s="56">
        <v>1.94</v>
      </c>
      <c r="L1524" s="15">
        <f t="shared" si="145"/>
        <v>0</v>
      </c>
      <c r="M1524" s="16">
        <f t="shared" si="146"/>
        <v>180.722058</v>
      </c>
      <c r="N1524" s="17">
        <f t="shared" si="147"/>
        <v>1.94</v>
      </c>
      <c r="O1524" s="17">
        <f t="shared" si="148"/>
        <v>1552</v>
      </c>
      <c r="P1524" s="18">
        <f t="shared" si="149"/>
        <v>144577.6464</v>
      </c>
    </row>
    <row r="1525" spans="2:18" ht="12.75">
      <c r="B1525" s="10">
        <v>46099</v>
      </c>
      <c r="C1525" s="11">
        <f>VLOOKUP(B:B,'Курс валют'!A:D,4,0)</f>
        <v>93.155699999999996</v>
      </c>
      <c r="D1525" s="57" t="s">
        <v>1240</v>
      </c>
      <c r="E1525" s="50" t="s">
        <v>103</v>
      </c>
      <c r="F1525" s="58">
        <v>800</v>
      </c>
      <c r="G1525" s="13">
        <v>804.5</v>
      </c>
      <c r="H1525" s="56">
        <v>0</v>
      </c>
      <c r="I1525" s="13">
        <f t="shared" si="150"/>
        <v>4.5</v>
      </c>
      <c r="J1525" s="14">
        <f t="shared" si="144"/>
        <v>0.5625</v>
      </c>
      <c r="K1525" s="56">
        <v>1.94</v>
      </c>
      <c r="L1525" s="15">
        <f t="shared" si="145"/>
        <v>0</v>
      </c>
      <c r="M1525" s="16">
        <f t="shared" si="146"/>
        <v>180.722058</v>
      </c>
      <c r="N1525" s="17">
        <f t="shared" si="147"/>
        <v>1.94</v>
      </c>
      <c r="O1525" s="17">
        <f t="shared" si="148"/>
        <v>1552</v>
      </c>
      <c r="P1525" s="18">
        <f t="shared" si="149"/>
        <v>144577.6464</v>
      </c>
    </row>
    <row r="1526" spans="2:18" ht="12.75">
      <c r="B1526" s="10">
        <v>46099</v>
      </c>
      <c r="C1526" s="11">
        <f>VLOOKUP(B:B,'Курс валют'!A:D,4,0)</f>
        <v>93.155699999999996</v>
      </c>
      <c r="D1526" s="57" t="s">
        <v>1241</v>
      </c>
      <c r="E1526" s="50" t="s">
        <v>103</v>
      </c>
      <c r="F1526" s="58">
        <v>800</v>
      </c>
      <c r="G1526" s="13">
        <v>804.5</v>
      </c>
      <c r="H1526" s="56">
        <v>0</v>
      </c>
      <c r="I1526" s="13">
        <f t="shared" si="150"/>
        <v>4.5</v>
      </c>
      <c r="J1526" s="14">
        <f t="shared" si="144"/>
        <v>0.5625</v>
      </c>
      <c r="K1526" s="56">
        <v>1.95</v>
      </c>
      <c r="L1526" s="15">
        <f t="shared" si="145"/>
        <v>0</v>
      </c>
      <c r="M1526" s="16">
        <f t="shared" si="146"/>
        <v>181.653615</v>
      </c>
      <c r="N1526" s="17">
        <f t="shared" si="147"/>
        <v>1.95</v>
      </c>
      <c r="O1526" s="17">
        <f t="shared" si="148"/>
        <v>1560</v>
      </c>
      <c r="P1526" s="18">
        <f t="shared" si="149"/>
        <v>145322.89199999999</v>
      </c>
    </row>
    <row r="1527" spans="2:18" ht="12.75">
      <c r="B1527" s="10">
        <v>46099</v>
      </c>
      <c r="C1527" s="11">
        <f>VLOOKUP(B:B,'Курс валют'!A:D,4,0)</f>
        <v>93.155699999999996</v>
      </c>
      <c r="D1527" s="57" t="s">
        <v>1242</v>
      </c>
      <c r="E1527" s="50" t="s">
        <v>68</v>
      </c>
      <c r="F1527" s="58">
        <v>800</v>
      </c>
      <c r="G1527" s="13">
        <v>803.93</v>
      </c>
      <c r="H1527" s="56">
        <v>0</v>
      </c>
      <c r="I1527" s="13">
        <f t="shared" si="150"/>
        <v>3.92999999999995</v>
      </c>
      <c r="J1527" s="14">
        <f t="shared" si="144"/>
        <v>0.49124999999999375</v>
      </c>
      <c r="K1527" s="56">
        <v>1.95</v>
      </c>
      <c r="L1527" s="15">
        <f t="shared" si="145"/>
        <v>0</v>
      </c>
      <c r="M1527" s="16">
        <f t="shared" si="146"/>
        <v>181.653615</v>
      </c>
      <c r="N1527" s="17">
        <f t="shared" si="147"/>
        <v>1.95</v>
      </c>
      <c r="O1527" s="17">
        <f t="shared" si="148"/>
        <v>1560</v>
      </c>
      <c r="P1527" s="18">
        <f t="shared" si="149"/>
        <v>145322.89199999999</v>
      </c>
    </row>
    <row r="1528" spans="2:18" ht="12.75">
      <c r="B1528" s="10">
        <v>46099</v>
      </c>
      <c r="C1528" s="11">
        <f>VLOOKUP(B:B,'Курс валют'!A:D,4,0)</f>
        <v>93.155699999999996</v>
      </c>
      <c r="D1528" s="57" t="s">
        <v>1243</v>
      </c>
      <c r="E1528" s="50" t="s">
        <v>68</v>
      </c>
      <c r="F1528" s="58">
        <v>800</v>
      </c>
      <c r="G1528" s="13">
        <v>803.93</v>
      </c>
      <c r="H1528" s="56">
        <v>0</v>
      </c>
      <c r="I1528" s="13">
        <f t="shared" si="150"/>
        <v>3.92999999999995</v>
      </c>
      <c r="J1528" s="14">
        <f t="shared" si="144"/>
        <v>0.49124999999999375</v>
      </c>
      <c r="K1528" s="56">
        <v>1.95</v>
      </c>
      <c r="L1528" s="15">
        <f t="shared" si="145"/>
        <v>0</v>
      </c>
      <c r="M1528" s="16">
        <f t="shared" si="146"/>
        <v>181.653615</v>
      </c>
      <c r="N1528" s="17">
        <f t="shared" si="147"/>
        <v>1.95</v>
      </c>
      <c r="O1528" s="17">
        <f t="shared" si="148"/>
        <v>1560</v>
      </c>
      <c r="P1528" s="18">
        <f t="shared" si="149"/>
        <v>145322.89199999999</v>
      </c>
    </row>
    <row r="1529" spans="2:18" ht="12.75">
      <c r="B1529" s="10">
        <v>46099</v>
      </c>
      <c r="C1529" s="11">
        <f>VLOOKUP(B:B,'Курс валют'!A:D,4,0)</f>
        <v>93.155699999999996</v>
      </c>
      <c r="D1529" s="57" t="s">
        <v>1244</v>
      </c>
      <c r="E1529" s="50" t="s">
        <v>51</v>
      </c>
      <c r="F1529" s="58">
        <v>800</v>
      </c>
      <c r="G1529" s="58">
        <v>804.34</v>
      </c>
      <c r="H1529" s="56">
        <v>0</v>
      </c>
      <c r="I1529" s="58">
        <f t="shared" si="150"/>
        <v>4.3400000000000318</v>
      </c>
      <c r="J1529" s="14">
        <f t="shared" si="144"/>
        <v>0.54250000000000398</v>
      </c>
      <c r="K1529" s="56">
        <v>1.99</v>
      </c>
      <c r="L1529" s="15">
        <f t="shared" si="145"/>
        <v>0</v>
      </c>
      <c r="M1529" s="16">
        <f t="shared" si="146"/>
        <v>185.37984299999999</v>
      </c>
      <c r="N1529" s="17">
        <f t="shared" si="147"/>
        <v>1.99</v>
      </c>
      <c r="O1529" s="17">
        <f t="shared" si="148"/>
        <v>1592</v>
      </c>
      <c r="P1529" s="18">
        <f t="shared" si="149"/>
        <v>148303.8744</v>
      </c>
    </row>
    <row r="1530" spans="2:18" ht="12.75">
      <c r="B1530" s="10">
        <v>46099</v>
      </c>
      <c r="C1530" s="11">
        <f>VLOOKUP(B:B,'Курс валют'!A:D,4,0)</f>
        <v>93.155699999999996</v>
      </c>
      <c r="D1530" s="57" t="s">
        <v>1245</v>
      </c>
      <c r="E1530" s="50" t="s">
        <v>51</v>
      </c>
      <c r="F1530" s="58">
        <v>800</v>
      </c>
      <c r="G1530" s="58">
        <v>804.34</v>
      </c>
      <c r="H1530" s="56">
        <v>0</v>
      </c>
      <c r="I1530" s="58">
        <f t="shared" si="150"/>
        <v>4.3400000000000318</v>
      </c>
      <c r="J1530" s="14">
        <f t="shared" si="144"/>
        <v>0.54250000000000398</v>
      </c>
      <c r="K1530" s="56">
        <v>1.99</v>
      </c>
      <c r="L1530" s="15">
        <f t="shared" si="145"/>
        <v>0</v>
      </c>
      <c r="M1530" s="16">
        <f t="shared" si="146"/>
        <v>185.37984299999999</v>
      </c>
      <c r="N1530" s="17">
        <f t="shared" si="147"/>
        <v>1.99</v>
      </c>
      <c r="O1530" s="17">
        <f t="shared" si="148"/>
        <v>1592</v>
      </c>
      <c r="P1530" s="18">
        <f t="shared" si="149"/>
        <v>148303.8744</v>
      </c>
    </row>
    <row r="1531" spans="2:18" ht="12.75">
      <c r="B1531" s="10">
        <v>46099</v>
      </c>
      <c r="C1531" s="11">
        <f>VLOOKUP(B:B,'Курс валют'!A:D,4,0)</f>
        <v>93.155699999999996</v>
      </c>
      <c r="D1531" s="57" t="s">
        <v>1246</v>
      </c>
      <c r="E1531" s="50" t="s">
        <v>51</v>
      </c>
      <c r="F1531" s="58">
        <v>800</v>
      </c>
      <c r="G1531" s="58">
        <v>804.34</v>
      </c>
      <c r="H1531" s="56">
        <v>0</v>
      </c>
      <c r="I1531" s="58">
        <f t="shared" si="150"/>
        <v>4.3400000000000318</v>
      </c>
      <c r="J1531" s="14">
        <f t="shared" si="144"/>
        <v>0.54250000000000398</v>
      </c>
      <c r="K1531" s="56">
        <v>1.99</v>
      </c>
      <c r="L1531" s="15">
        <f t="shared" si="145"/>
        <v>0</v>
      </c>
      <c r="M1531" s="16">
        <f t="shared" si="146"/>
        <v>185.37984299999999</v>
      </c>
      <c r="N1531" s="17">
        <f t="shared" si="147"/>
        <v>1.99</v>
      </c>
      <c r="O1531" s="17">
        <f t="shared" si="148"/>
        <v>1592</v>
      </c>
      <c r="P1531" s="18">
        <f t="shared" si="149"/>
        <v>148303.8744</v>
      </c>
    </row>
    <row r="1532" spans="2:18" ht="12.75">
      <c r="B1532" s="10">
        <v>46099</v>
      </c>
      <c r="C1532" s="11">
        <f>VLOOKUP(B:B,'Курс валют'!A:D,4,0)</f>
        <v>93.155699999999996</v>
      </c>
      <c r="D1532" s="57" t="s">
        <v>1247</v>
      </c>
      <c r="E1532" s="50" t="s">
        <v>51</v>
      </c>
      <c r="F1532" s="58">
        <v>800</v>
      </c>
      <c r="G1532" s="58">
        <v>804.34</v>
      </c>
      <c r="H1532" s="56">
        <v>0</v>
      </c>
      <c r="I1532" s="58">
        <f t="shared" si="150"/>
        <v>4.3400000000000318</v>
      </c>
      <c r="J1532" s="14">
        <f t="shared" si="144"/>
        <v>0.54250000000000398</v>
      </c>
      <c r="K1532" s="56">
        <v>1.99</v>
      </c>
      <c r="L1532" s="15">
        <f t="shared" si="145"/>
        <v>0</v>
      </c>
      <c r="M1532" s="16">
        <f t="shared" si="146"/>
        <v>185.37984299999999</v>
      </c>
      <c r="N1532" s="17">
        <f t="shared" si="147"/>
        <v>1.99</v>
      </c>
      <c r="O1532" s="17">
        <f t="shared" si="148"/>
        <v>1592</v>
      </c>
      <c r="P1532" s="18">
        <f t="shared" si="149"/>
        <v>148303.8744</v>
      </c>
    </row>
    <row r="1533" spans="2:18" ht="12.75">
      <c r="B1533" s="10">
        <v>46099</v>
      </c>
      <c r="C1533" s="11">
        <f>VLOOKUP(B:B,'Курс валют'!A:D,4,0)</f>
        <v>93.155699999999996</v>
      </c>
      <c r="D1533" s="57" t="s">
        <v>1248</v>
      </c>
      <c r="E1533" s="50" t="s">
        <v>68</v>
      </c>
      <c r="F1533" s="58">
        <v>800</v>
      </c>
      <c r="G1533" s="13">
        <v>803.93</v>
      </c>
      <c r="H1533" s="56">
        <v>0</v>
      </c>
      <c r="I1533" s="13">
        <f t="shared" si="150"/>
        <v>3.92999999999995</v>
      </c>
      <c r="J1533" s="14">
        <f t="shared" si="144"/>
        <v>0.49124999999999375</v>
      </c>
      <c r="K1533" s="56">
        <v>1.95</v>
      </c>
      <c r="L1533" s="15">
        <f t="shared" si="145"/>
        <v>0</v>
      </c>
      <c r="M1533" s="16">
        <f t="shared" si="146"/>
        <v>181.653615</v>
      </c>
      <c r="N1533" s="17">
        <f t="shared" si="147"/>
        <v>1.95</v>
      </c>
      <c r="O1533" s="17">
        <f t="shared" si="148"/>
        <v>1560</v>
      </c>
      <c r="P1533" s="18">
        <f t="shared" si="149"/>
        <v>145322.89199999999</v>
      </c>
    </row>
    <row r="1534" spans="2:18" ht="12.75">
      <c r="B1534" s="10">
        <v>46099</v>
      </c>
      <c r="C1534" s="11">
        <f>VLOOKUP(B:B,'Курс валют'!A:D,4,0)</f>
        <v>93.155699999999996</v>
      </c>
      <c r="D1534" s="57" t="s">
        <v>1249</v>
      </c>
      <c r="E1534" s="50" t="s">
        <v>68</v>
      </c>
      <c r="F1534" s="58">
        <v>800</v>
      </c>
      <c r="G1534" s="13">
        <v>803.93</v>
      </c>
      <c r="H1534" s="56">
        <v>0</v>
      </c>
      <c r="I1534" s="13">
        <f t="shared" si="150"/>
        <v>3.92999999999995</v>
      </c>
      <c r="J1534" s="14">
        <f t="shared" si="144"/>
        <v>0.49124999999999375</v>
      </c>
      <c r="K1534" s="56">
        <v>1.95</v>
      </c>
      <c r="L1534" s="15">
        <f t="shared" si="145"/>
        <v>0</v>
      </c>
      <c r="M1534" s="16">
        <f t="shared" si="146"/>
        <v>181.653615</v>
      </c>
      <c r="N1534" s="17">
        <f t="shared" si="147"/>
        <v>1.95</v>
      </c>
      <c r="O1534" s="17">
        <f t="shared" si="148"/>
        <v>1560</v>
      </c>
      <c r="P1534" s="18">
        <f t="shared" si="149"/>
        <v>145322.89199999999</v>
      </c>
    </row>
    <row r="1535" spans="2:18" ht="12.75">
      <c r="B1535" s="10">
        <v>46099</v>
      </c>
      <c r="C1535" s="11">
        <f>VLOOKUP(B:B,'Курс валют'!A:D,4,0)</f>
        <v>93.155699999999996</v>
      </c>
      <c r="D1535" s="57" t="s">
        <v>1250</v>
      </c>
      <c r="E1535" s="50" t="s">
        <v>122</v>
      </c>
      <c r="F1535" s="58">
        <v>4</v>
      </c>
      <c r="G1535" s="58">
        <v>5.08</v>
      </c>
      <c r="H1535" s="56">
        <v>0</v>
      </c>
      <c r="I1535" s="58">
        <f t="shared" si="150"/>
        <v>1.08</v>
      </c>
      <c r="J1535" s="14">
        <f t="shared" si="144"/>
        <v>27</v>
      </c>
      <c r="K1535" s="56">
        <v>3.35</v>
      </c>
      <c r="L1535" s="15">
        <f t="shared" si="145"/>
        <v>0</v>
      </c>
      <c r="M1535" s="16">
        <f t="shared" si="146"/>
        <v>312.071595</v>
      </c>
      <c r="N1535" s="17">
        <f t="shared" si="147"/>
        <v>3.35</v>
      </c>
      <c r="O1535" s="17">
        <f t="shared" si="148"/>
        <v>13.4</v>
      </c>
      <c r="P1535" s="18">
        <f t="shared" si="149"/>
        <v>1248.28638</v>
      </c>
      <c r="R1535" s="33" t="s">
        <v>1251</v>
      </c>
    </row>
    <row r="1536" spans="2:18" ht="12.75">
      <c r="B1536" s="10">
        <v>46100</v>
      </c>
      <c r="C1536" s="11">
        <f>VLOOKUP(B:B,'Курс валют'!A:D,4,0)</f>
        <v>94.666300000000007</v>
      </c>
      <c r="D1536" s="57" t="s">
        <v>1252</v>
      </c>
      <c r="E1536" s="50" t="s">
        <v>50</v>
      </c>
      <c r="F1536" s="58">
        <v>800</v>
      </c>
      <c r="G1536" s="13">
        <v>804.77</v>
      </c>
      <c r="H1536" s="56">
        <v>0</v>
      </c>
      <c r="I1536" s="13">
        <f t="shared" si="150"/>
        <v>4.7699999999999818</v>
      </c>
      <c r="J1536" s="14">
        <f t="shared" si="144"/>
        <v>0.59624999999999773</v>
      </c>
      <c r="K1536" s="56">
        <v>1.96</v>
      </c>
      <c r="L1536" s="15">
        <f t="shared" si="145"/>
        <v>0</v>
      </c>
      <c r="M1536" s="16">
        <f t="shared" si="146"/>
        <v>185.54594800000004</v>
      </c>
      <c r="N1536" s="17">
        <f t="shared" si="147"/>
        <v>1.96</v>
      </c>
      <c r="O1536" s="17">
        <f t="shared" si="148"/>
        <v>1568</v>
      </c>
      <c r="P1536" s="18">
        <f t="shared" si="149"/>
        <v>148436.75840000002</v>
      </c>
    </row>
    <row r="1537" spans="2:18" ht="12.75">
      <c r="B1537" s="10">
        <v>46100</v>
      </c>
      <c r="C1537" s="11">
        <f>VLOOKUP(B:B,'Курс валют'!A:D,4,0)</f>
        <v>94.666300000000007</v>
      </c>
      <c r="D1537" s="57" t="s">
        <v>1253</v>
      </c>
      <c r="E1537" s="50" t="s">
        <v>50</v>
      </c>
      <c r="F1537" s="58">
        <v>800</v>
      </c>
      <c r="G1537" s="13">
        <v>804.77</v>
      </c>
      <c r="H1537" s="56">
        <v>0</v>
      </c>
      <c r="I1537" s="13">
        <f t="shared" si="150"/>
        <v>4.7699999999999818</v>
      </c>
      <c r="J1537" s="14">
        <f t="shared" si="144"/>
        <v>0.59624999999999773</v>
      </c>
      <c r="K1537" s="56">
        <v>1.96</v>
      </c>
      <c r="L1537" s="15">
        <f t="shared" si="145"/>
        <v>0</v>
      </c>
      <c r="M1537" s="16">
        <f t="shared" si="146"/>
        <v>185.54594800000004</v>
      </c>
      <c r="N1537" s="17">
        <f t="shared" si="147"/>
        <v>1.96</v>
      </c>
      <c r="O1537" s="17">
        <f t="shared" si="148"/>
        <v>1568</v>
      </c>
      <c r="P1537" s="18">
        <f t="shared" si="149"/>
        <v>148436.75840000002</v>
      </c>
    </row>
    <row r="1538" spans="2:18" ht="12.75">
      <c r="B1538" s="10">
        <v>46100</v>
      </c>
      <c r="C1538" s="11">
        <f>VLOOKUP(B:B,'Курс валют'!A:D,4,0)</f>
        <v>94.666300000000007</v>
      </c>
      <c r="D1538" s="57" t="s">
        <v>1254</v>
      </c>
      <c r="E1538" s="50" t="s">
        <v>50</v>
      </c>
      <c r="F1538" s="58">
        <v>800</v>
      </c>
      <c r="G1538" s="13">
        <v>804.77</v>
      </c>
      <c r="H1538" s="56">
        <v>0</v>
      </c>
      <c r="I1538" s="13">
        <f t="shared" si="150"/>
        <v>4.7699999999999818</v>
      </c>
      <c r="J1538" s="14">
        <f t="shared" si="144"/>
        <v>0.59624999999999773</v>
      </c>
      <c r="K1538" s="56">
        <v>1.96</v>
      </c>
      <c r="L1538" s="15">
        <f t="shared" si="145"/>
        <v>0</v>
      </c>
      <c r="M1538" s="16">
        <f t="shared" si="146"/>
        <v>185.54594800000004</v>
      </c>
      <c r="N1538" s="17">
        <f t="shared" si="147"/>
        <v>1.96</v>
      </c>
      <c r="O1538" s="17">
        <f t="shared" si="148"/>
        <v>1568</v>
      </c>
      <c r="P1538" s="18">
        <f t="shared" si="149"/>
        <v>148436.75840000002</v>
      </c>
    </row>
    <row r="1539" spans="2:18" ht="12.75">
      <c r="B1539" s="10">
        <v>46100</v>
      </c>
      <c r="C1539" s="11">
        <f>VLOOKUP(B:B,'Курс валют'!A:D,4,0)</f>
        <v>94.666300000000007</v>
      </c>
      <c r="D1539" s="57" t="s">
        <v>1255</v>
      </c>
      <c r="E1539" s="50" t="s">
        <v>50</v>
      </c>
      <c r="F1539" s="58">
        <v>800</v>
      </c>
      <c r="G1539" s="13">
        <v>804.77</v>
      </c>
      <c r="H1539" s="56">
        <v>0</v>
      </c>
      <c r="I1539" s="13">
        <f t="shared" si="150"/>
        <v>4.7699999999999818</v>
      </c>
      <c r="J1539" s="14">
        <f t="shared" si="144"/>
        <v>0.59624999999999773</v>
      </c>
      <c r="K1539" s="56">
        <v>1.96</v>
      </c>
      <c r="L1539" s="15">
        <f t="shared" si="145"/>
        <v>0</v>
      </c>
      <c r="M1539" s="16">
        <f t="shared" si="146"/>
        <v>185.54594800000004</v>
      </c>
      <c r="N1539" s="17">
        <f t="shared" si="147"/>
        <v>1.96</v>
      </c>
      <c r="O1539" s="17">
        <f t="shared" si="148"/>
        <v>1568</v>
      </c>
      <c r="P1539" s="18">
        <f t="shared" si="149"/>
        <v>148436.75840000002</v>
      </c>
    </row>
    <row r="1540" spans="2:18" ht="12.75">
      <c r="B1540" s="10">
        <v>46100</v>
      </c>
      <c r="C1540" s="11">
        <f>VLOOKUP(B:B,'Курс валют'!A:D,4,0)</f>
        <v>94.666300000000007</v>
      </c>
      <c r="D1540" s="57" t="s">
        <v>1256</v>
      </c>
      <c r="E1540" s="50" t="s">
        <v>50</v>
      </c>
      <c r="F1540" s="58">
        <v>800</v>
      </c>
      <c r="G1540" s="13">
        <v>804.77</v>
      </c>
      <c r="H1540" s="56">
        <v>0</v>
      </c>
      <c r="I1540" s="13">
        <f t="shared" si="150"/>
        <v>4.7699999999999818</v>
      </c>
      <c r="J1540" s="14">
        <f t="shared" si="144"/>
        <v>0.59624999999999773</v>
      </c>
      <c r="K1540" s="56">
        <v>1.96</v>
      </c>
      <c r="L1540" s="15">
        <f t="shared" si="145"/>
        <v>0</v>
      </c>
      <c r="M1540" s="16">
        <f t="shared" si="146"/>
        <v>185.54594800000004</v>
      </c>
      <c r="N1540" s="17">
        <f t="shared" si="147"/>
        <v>1.96</v>
      </c>
      <c r="O1540" s="17">
        <f t="shared" si="148"/>
        <v>1568</v>
      </c>
      <c r="P1540" s="18">
        <f t="shared" si="149"/>
        <v>148436.75840000002</v>
      </c>
    </row>
    <row r="1541" spans="2:18" ht="12.75">
      <c r="B1541" s="10">
        <v>46100</v>
      </c>
      <c r="C1541" s="11">
        <f>VLOOKUP(B:B,'Курс валют'!A:D,4,0)</f>
        <v>94.666300000000007</v>
      </c>
      <c r="D1541" s="57" t="s">
        <v>1257</v>
      </c>
      <c r="E1541" s="50" t="s">
        <v>15</v>
      </c>
      <c r="F1541" s="58">
        <v>1100</v>
      </c>
      <c r="G1541" s="13">
        <v>1104.3</v>
      </c>
      <c r="H1541" s="56">
        <v>484.5</v>
      </c>
      <c r="I1541" s="13">
        <f t="shared" si="150"/>
        <v>4.2999999999999545</v>
      </c>
      <c r="J1541" s="14">
        <f t="shared" si="144"/>
        <v>0.39090909090908682</v>
      </c>
      <c r="K1541" s="56">
        <v>3.55</v>
      </c>
      <c r="L1541" s="15">
        <f t="shared" si="145"/>
        <v>44.045454545454547</v>
      </c>
      <c r="M1541" s="16">
        <f t="shared" si="146"/>
        <v>209.30891050545458</v>
      </c>
      <c r="N1541" s="17">
        <f t="shared" si="147"/>
        <v>2.2110181818181815</v>
      </c>
      <c r="O1541" s="17">
        <f t="shared" si="148"/>
        <v>2432.12</v>
      </c>
      <c r="P1541" s="18">
        <f t="shared" si="149"/>
        <v>230239.80155600002</v>
      </c>
    </row>
    <row r="1542" spans="2:18" ht="12.75">
      <c r="B1542" s="10">
        <v>46100</v>
      </c>
      <c r="C1542" s="11">
        <f>VLOOKUP(B:B,'Курс валют'!A:D,4,0)</f>
        <v>94.666300000000007</v>
      </c>
      <c r="D1542" s="57" t="s">
        <v>1258</v>
      </c>
      <c r="E1542" s="50" t="s">
        <v>15</v>
      </c>
      <c r="F1542" s="58">
        <v>1100</v>
      </c>
      <c r="G1542" s="13">
        <v>1104.3</v>
      </c>
      <c r="H1542" s="56">
        <v>484.5</v>
      </c>
      <c r="I1542" s="13">
        <f t="shared" si="150"/>
        <v>4.2999999999999545</v>
      </c>
      <c r="J1542" s="14">
        <f t="shared" si="144"/>
        <v>0.39090909090908682</v>
      </c>
      <c r="K1542" s="56">
        <v>3.5</v>
      </c>
      <c r="L1542" s="15">
        <f t="shared" si="145"/>
        <v>44.045454545454547</v>
      </c>
      <c r="M1542" s="16">
        <f t="shared" si="146"/>
        <v>204.57559550545457</v>
      </c>
      <c r="N1542" s="17">
        <f t="shared" si="147"/>
        <v>2.1610181818181817</v>
      </c>
      <c r="O1542" s="17">
        <f t="shared" si="148"/>
        <v>2377.12</v>
      </c>
      <c r="P1542" s="18">
        <f t="shared" si="149"/>
        <v>225033.15505600002</v>
      </c>
    </row>
    <row r="1543" spans="2:18" ht="12.75">
      <c r="B1543" s="10">
        <v>46100</v>
      </c>
      <c r="C1543" s="11">
        <f>VLOOKUP(B:B,'Курс валют'!A:D,4,0)</f>
        <v>94.666300000000007</v>
      </c>
      <c r="D1543" s="57" t="s">
        <v>1259</v>
      </c>
      <c r="E1543" s="50" t="s">
        <v>50</v>
      </c>
      <c r="F1543" s="58">
        <v>800</v>
      </c>
      <c r="G1543" s="13">
        <v>804.77</v>
      </c>
      <c r="H1543" s="56">
        <v>0</v>
      </c>
      <c r="I1543" s="13">
        <f t="shared" si="150"/>
        <v>4.7699999999999818</v>
      </c>
      <c r="J1543" s="14">
        <f t="shared" si="144"/>
        <v>0.59624999999999773</v>
      </c>
      <c r="K1543" s="56">
        <v>1.96</v>
      </c>
      <c r="L1543" s="15">
        <f t="shared" si="145"/>
        <v>0</v>
      </c>
      <c r="M1543" s="16">
        <f t="shared" si="146"/>
        <v>185.54594800000004</v>
      </c>
      <c r="N1543" s="17">
        <f t="shared" si="147"/>
        <v>1.96</v>
      </c>
      <c r="O1543" s="17">
        <f t="shared" si="148"/>
        <v>1568</v>
      </c>
      <c r="P1543" s="18">
        <f t="shared" si="149"/>
        <v>148436.75840000002</v>
      </c>
    </row>
    <row r="1544" spans="2:18" ht="12.75">
      <c r="B1544" s="10">
        <v>46100</v>
      </c>
      <c r="C1544" s="11">
        <f>VLOOKUP(B:B,'Курс валют'!A:D,4,0)</f>
        <v>94.666300000000007</v>
      </c>
      <c r="D1544" s="57" t="s">
        <v>1260</v>
      </c>
      <c r="E1544" s="50" t="s">
        <v>50</v>
      </c>
      <c r="F1544" s="58">
        <v>800</v>
      </c>
      <c r="G1544" s="13">
        <v>804.77</v>
      </c>
      <c r="H1544" s="56">
        <v>0</v>
      </c>
      <c r="I1544" s="13">
        <f t="shared" si="150"/>
        <v>4.7699999999999818</v>
      </c>
      <c r="J1544" s="14">
        <f t="shared" si="144"/>
        <v>0.59624999999999773</v>
      </c>
      <c r="K1544" s="56">
        <v>1.96</v>
      </c>
      <c r="L1544" s="15">
        <f t="shared" si="145"/>
        <v>0</v>
      </c>
      <c r="M1544" s="16">
        <f t="shared" si="146"/>
        <v>185.54594800000004</v>
      </c>
      <c r="N1544" s="17">
        <f t="shared" si="147"/>
        <v>1.96</v>
      </c>
      <c r="O1544" s="17">
        <f t="shared" si="148"/>
        <v>1568</v>
      </c>
      <c r="P1544" s="18">
        <f t="shared" si="149"/>
        <v>148436.75840000002</v>
      </c>
    </row>
    <row r="1545" spans="2:18" ht="12.75">
      <c r="B1545" s="10">
        <v>46100</v>
      </c>
      <c r="C1545" s="11">
        <f>VLOOKUP(B:B,'Курс валют'!A:D,4,0)</f>
        <v>94.666300000000007</v>
      </c>
      <c r="D1545" s="57" t="s">
        <v>1261</v>
      </c>
      <c r="E1545" s="50" t="s">
        <v>50</v>
      </c>
      <c r="F1545" s="58">
        <v>800</v>
      </c>
      <c r="G1545" s="13">
        <v>804.77</v>
      </c>
      <c r="H1545" s="56">
        <v>0</v>
      </c>
      <c r="I1545" s="13">
        <f t="shared" si="150"/>
        <v>4.7699999999999818</v>
      </c>
      <c r="J1545" s="14">
        <f t="shared" si="144"/>
        <v>0.59624999999999773</v>
      </c>
      <c r="K1545" s="56">
        <v>1.96</v>
      </c>
      <c r="L1545" s="15">
        <f t="shared" si="145"/>
        <v>0</v>
      </c>
      <c r="M1545" s="16">
        <f t="shared" si="146"/>
        <v>185.54594800000004</v>
      </c>
      <c r="N1545" s="17">
        <f t="shared" si="147"/>
        <v>1.96</v>
      </c>
      <c r="O1545" s="17">
        <f t="shared" si="148"/>
        <v>1568</v>
      </c>
      <c r="P1545" s="18">
        <f t="shared" si="149"/>
        <v>148436.75840000002</v>
      </c>
    </row>
    <row r="1546" spans="2:18" ht="12.75">
      <c r="B1546" s="10">
        <v>46100</v>
      </c>
      <c r="C1546" s="11">
        <f>VLOOKUP(B:B,'Курс валют'!A:D,4,0)</f>
        <v>94.666300000000007</v>
      </c>
      <c r="D1546" s="57" t="s">
        <v>1262</v>
      </c>
      <c r="E1546" s="50" t="s">
        <v>50</v>
      </c>
      <c r="F1546" s="58">
        <v>800</v>
      </c>
      <c r="G1546" s="13">
        <v>804.77</v>
      </c>
      <c r="H1546" s="56">
        <v>0</v>
      </c>
      <c r="I1546" s="13">
        <f t="shared" si="150"/>
        <v>4.7699999999999818</v>
      </c>
      <c r="J1546" s="14">
        <f t="shared" si="144"/>
        <v>0.59624999999999773</v>
      </c>
      <c r="K1546" s="56">
        <v>1.96</v>
      </c>
      <c r="L1546" s="15">
        <f t="shared" si="145"/>
        <v>0</v>
      </c>
      <c r="M1546" s="16">
        <f t="shared" si="146"/>
        <v>185.54594800000004</v>
      </c>
      <c r="N1546" s="17">
        <f t="shared" si="147"/>
        <v>1.96</v>
      </c>
      <c r="O1546" s="17">
        <f t="shared" si="148"/>
        <v>1568</v>
      </c>
      <c r="P1546" s="18">
        <f t="shared" si="149"/>
        <v>148436.75840000002</v>
      </c>
    </row>
    <row r="1547" spans="2:18" ht="12.75">
      <c r="B1547" s="10">
        <v>46100</v>
      </c>
      <c r="C1547" s="11">
        <f>VLOOKUP(B:B,'Курс валют'!A:D,4,0)</f>
        <v>94.666300000000007</v>
      </c>
      <c r="D1547" s="57" t="s">
        <v>1263</v>
      </c>
      <c r="E1547" s="50" t="s">
        <v>50</v>
      </c>
      <c r="F1547" s="58">
        <v>800</v>
      </c>
      <c r="G1547" s="13">
        <v>804.77</v>
      </c>
      <c r="H1547" s="56">
        <v>0</v>
      </c>
      <c r="I1547" s="13">
        <f t="shared" si="150"/>
        <v>4.7699999999999818</v>
      </c>
      <c r="J1547" s="14">
        <f t="shared" si="144"/>
        <v>0.59624999999999773</v>
      </c>
      <c r="K1547" s="56">
        <v>1.96</v>
      </c>
      <c r="L1547" s="15">
        <f t="shared" si="145"/>
        <v>0</v>
      </c>
      <c r="M1547" s="16">
        <f t="shared" si="146"/>
        <v>185.54594800000004</v>
      </c>
      <c r="N1547" s="17">
        <f t="shared" si="147"/>
        <v>1.96</v>
      </c>
      <c r="O1547" s="17">
        <f t="shared" si="148"/>
        <v>1568</v>
      </c>
      <c r="P1547" s="18">
        <f t="shared" si="149"/>
        <v>148436.75840000002</v>
      </c>
    </row>
    <row r="1548" spans="2:18" ht="12.75">
      <c r="B1548" s="10">
        <v>46100</v>
      </c>
      <c r="C1548" s="11">
        <f>VLOOKUP(B:B,'Курс валют'!A:D,4,0)</f>
        <v>94.666300000000007</v>
      </c>
      <c r="D1548" s="57" t="s">
        <v>1264</v>
      </c>
      <c r="E1548" s="50" t="s">
        <v>15</v>
      </c>
      <c r="F1548" s="58">
        <v>1100</v>
      </c>
      <c r="G1548" s="13">
        <v>1104.3</v>
      </c>
      <c r="H1548" s="56">
        <v>484.5</v>
      </c>
      <c r="I1548" s="13">
        <f t="shared" si="150"/>
        <v>4.2999999999999545</v>
      </c>
      <c r="J1548" s="14">
        <f t="shared" si="144"/>
        <v>0.39090909090908682</v>
      </c>
      <c r="K1548" s="56">
        <v>3.55</v>
      </c>
      <c r="L1548" s="15">
        <f t="shared" si="145"/>
        <v>44.045454545454547</v>
      </c>
      <c r="M1548" s="16">
        <f t="shared" si="146"/>
        <v>209.30891050545458</v>
      </c>
      <c r="N1548" s="17">
        <f t="shared" si="147"/>
        <v>2.2110181818181815</v>
      </c>
      <c r="O1548" s="17">
        <f t="shared" si="148"/>
        <v>2432.12</v>
      </c>
      <c r="P1548" s="18">
        <f t="shared" si="149"/>
        <v>230239.80155600002</v>
      </c>
    </row>
    <row r="1549" spans="2:18" ht="12.75">
      <c r="B1549" s="10">
        <v>46100</v>
      </c>
      <c r="C1549" s="11">
        <f>VLOOKUP(B:B,'Курс валют'!A:D,4,0)</f>
        <v>94.666300000000007</v>
      </c>
      <c r="D1549" s="57" t="s">
        <v>1265</v>
      </c>
      <c r="E1549" s="50" t="s">
        <v>15</v>
      </c>
      <c r="F1549" s="58">
        <v>880</v>
      </c>
      <c r="G1549" s="58">
        <v>883.48</v>
      </c>
      <c r="H1549" s="56">
        <v>387.6</v>
      </c>
      <c r="I1549" s="58">
        <f t="shared" si="150"/>
        <v>3.4800000000000182</v>
      </c>
      <c r="J1549" s="14">
        <f t="shared" si="144"/>
        <v>0.39545454545454756</v>
      </c>
      <c r="K1549" s="56">
        <v>3.54</v>
      </c>
      <c r="L1549" s="15">
        <f t="shared" si="145"/>
        <v>44.045454545454547</v>
      </c>
      <c r="M1549" s="16">
        <f t="shared" si="146"/>
        <v>208.36224750545449</v>
      </c>
      <c r="N1549" s="17">
        <f t="shared" si="147"/>
        <v>2.2010181818181813</v>
      </c>
      <c r="O1549" s="17">
        <f t="shared" si="148"/>
        <v>1936.8959999999995</v>
      </c>
      <c r="P1549" s="18">
        <f t="shared" si="149"/>
        <v>183358.77780479996</v>
      </c>
    </row>
    <row r="1550" spans="2:18" ht="12.75">
      <c r="B1550" s="10">
        <v>46100</v>
      </c>
      <c r="C1550" s="11">
        <f>VLOOKUP(B:B,'Курс валют'!A:D,4,0)</f>
        <v>94.666300000000007</v>
      </c>
      <c r="D1550" s="57" t="s">
        <v>1266</v>
      </c>
      <c r="E1550" s="50" t="s">
        <v>123</v>
      </c>
      <c r="F1550" s="58">
        <v>23.18</v>
      </c>
      <c r="G1550" s="58">
        <v>23.18</v>
      </c>
      <c r="H1550" s="56">
        <v>0</v>
      </c>
      <c r="I1550" s="58">
        <f t="shared" si="150"/>
        <v>0</v>
      </c>
      <c r="J1550" s="14">
        <f t="shared" si="144"/>
        <v>0</v>
      </c>
      <c r="K1550" s="56">
        <v>2.08</v>
      </c>
      <c r="L1550" s="15">
        <f t="shared" si="145"/>
        <v>0</v>
      </c>
      <c r="M1550" s="16">
        <f t="shared" si="146"/>
        <v>196.90590399999999</v>
      </c>
      <c r="N1550" s="17">
        <f t="shared" si="147"/>
        <v>2.08</v>
      </c>
      <c r="O1550" s="17">
        <f t="shared" si="148"/>
        <v>48.214399999999998</v>
      </c>
      <c r="P1550" s="18">
        <f t="shared" si="149"/>
        <v>4564.2788547199998</v>
      </c>
      <c r="R1550" s="33" t="s">
        <v>1267</v>
      </c>
    </row>
    <row r="1551" spans="2:18" ht="12.75">
      <c r="B1551" s="10">
        <v>46100</v>
      </c>
      <c r="C1551" s="11">
        <f>VLOOKUP(B:B,'Курс валют'!A:D,4,0)</f>
        <v>94.666300000000007</v>
      </c>
      <c r="D1551" s="57" t="s">
        <v>1266</v>
      </c>
      <c r="E1551" s="50" t="s">
        <v>102</v>
      </c>
      <c r="F1551" s="58">
        <v>23.18</v>
      </c>
      <c r="G1551" s="58">
        <v>23.18</v>
      </c>
      <c r="H1551" s="56">
        <v>0</v>
      </c>
      <c r="I1551" s="58">
        <f t="shared" si="150"/>
        <v>0</v>
      </c>
      <c r="J1551" s="14">
        <f t="shared" si="144"/>
        <v>0</v>
      </c>
      <c r="K1551" s="56">
        <v>2.08</v>
      </c>
      <c r="L1551" s="15">
        <f t="shared" si="145"/>
        <v>0</v>
      </c>
      <c r="M1551" s="16">
        <f t="shared" si="146"/>
        <v>196.90590399999999</v>
      </c>
      <c r="N1551" s="17">
        <f t="shared" si="147"/>
        <v>2.08</v>
      </c>
      <c r="O1551" s="17">
        <f t="shared" si="148"/>
        <v>48.214399999999998</v>
      </c>
      <c r="P1551" s="18">
        <f t="shared" si="149"/>
        <v>4564.2788547199998</v>
      </c>
      <c r="R1551" s="33" t="s">
        <v>1267</v>
      </c>
    </row>
    <row r="1552" spans="2:18" ht="12.75">
      <c r="B1552" s="10">
        <v>46101</v>
      </c>
      <c r="C1552" s="11">
        <f>VLOOKUP(B:B,'Курс валют'!A:D,4,0)</f>
        <v>96.915499999999994</v>
      </c>
      <c r="D1552" s="57" t="s">
        <v>1268</v>
      </c>
      <c r="E1552" s="50" t="s">
        <v>50</v>
      </c>
      <c r="F1552" s="58">
        <v>800</v>
      </c>
      <c r="G1552" s="58">
        <v>804.95</v>
      </c>
      <c r="H1552" s="56">
        <v>0</v>
      </c>
      <c r="I1552" s="58">
        <f t="shared" si="150"/>
        <v>4.9500000000000455</v>
      </c>
      <c r="J1552" s="14">
        <f t="shared" si="144"/>
        <v>0.61875000000000568</v>
      </c>
      <c r="K1552" s="56">
        <v>1.97</v>
      </c>
      <c r="L1552" s="15">
        <f t="shared" si="145"/>
        <v>0</v>
      </c>
      <c r="M1552" s="16">
        <f t="shared" si="146"/>
        <v>190.92353499999999</v>
      </c>
      <c r="N1552" s="17">
        <f t="shared" si="147"/>
        <v>1.97</v>
      </c>
      <c r="O1552" s="17">
        <f t="shared" si="148"/>
        <v>1576</v>
      </c>
      <c r="P1552" s="18">
        <f t="shared" si="149"/>
        <v>152738.82799999998</v>
      </c>
    </row>
    <row r="1553" spans="2:16" ht="12.75">
      <c r="B1553" s="10">
        <v>46101</v>
      </c>
      <c r="C1553" s="11">
        <f>VLOOKUP(B:B,'Курс валют'!A:D,4,0)</f>
        <v>96.915499999999994</v>
      </c>
      <c r="D1553" s="57" t="s">
        <v>1269</v>
      </c>
      <c r="E1553" s="50" t="s">
        <v>50</v>
      </c>
      <c r="F1553" s="58">
        <v>800</v>
      </c>
      <c r="G1553" s="58">
        <v>804.95</v>
      </c>
      <c r="H1553" s="56">
        <v>0</v>
      </c>
      <c r="I1553" s="58">
        <f t="shared" si="150"/>
        <v>4.9500000000000455</v>
      </c>
      <c r="J1553" s="14">
        <f t="shared" si="144"/>
        <v>0.61875000000000568</v>
      </c>
      <c r="K1553" s="56">
        <v>1.96</v>
      </c>
      <c r="L1553" s="15">
        <f t="shared" si="145"/>
        <v>0</v>
      </c>
      <c r="M1553" s="16">
        <f t="shared" si="146"/>
        <v>189.95437999999999</v>
      </c>
      <c r="N1553" s="17">
        <f t="shared" si="147"/>
        <v>1.96</v>
      </c>
      <c r="O1553" s="17">
        <f t="shared" si="148"/>
        <v>1568</v>
      </c>
      <c r="P1553" s="18">
        <f t="shared" si="149"/>
        <v>151963.50399999999</v>
      </c>
    </row>
    <row r="1554" spans="2:16" ht="12.75">
      <c r="B1554" s="10">
        <v>46101</v>
      </c>
      <c r="C1554" s="11">
        <f>VLOOKUP(B:B,'Курс валют'!A:D,4,0)</f>
        <v>96.915499999999994</v>
      </c>
      <c r="D1554" s="57" t="s">
        <v>1270</v>
      </c>
      <c r="E1554" s="50" t="s">
        <v>50</v>
      </c>
      <c r="F1554" s="58">
        <v>800</v>
      </c>
      <c r="G1554" s="58">
        <v>804.95</v>
      </c>
      <c r="H1554" s="56">
        <v>0</v>
      </c>
      <c r="I1554" s="58">
        <f t="shared" si="150"/>
        <v>4.9500000000000455</v>
      </c>
      <c r="J1554" s="14">
        <f t="shared" si="144"/>
        <v>0.61875000000000568</v>
      </c>
      <c r="K1554" s="56">
        <v>1.96</v>
      </c>
      <c r="L1554" s="15">
        <f t="shared" si="145"/>
        <v>0</v>
      </c>
      <c r="M1554" s="16">
        <f t="shared" si="146"/>
        <v>189.95437999999999</v>
      </c>
      <c r="N1554" s="17">
        <f t="shared" si="147"/>
        <v>1.96</v>
      </c>
      <c r="O1554" s="17">
        <f t="shared" si="148"/>
        <v>1568</v>
      </c>
      <c r="P1554" s="18">
        <f t="shared" si="149"/>
        <v>151963.50399999999</v>
      </c>
    </row>
    <row r="1555" spans="2:16" ht="12.75">
      <c r="B1555" s="10">
        <v>46101</v>
      </c>
      <c r="C1555" s="11">
        <f>VLOOKUP(B:B,'Курс валют'!A:D,4,0)</f>
        <v>96.915499999999994</v>
      </c>
      <c r="D1555" s="57" t="s">
        <v>1271</v>
      </c>
      <c r="E1555" s="50" t="s">
        <v>50</v>
      </c>
      <c r="F1555" s="58">
        <v>800</v>
      </c>
      <c r="G1555" s="58">
        <v>804.95</v>
      </c>
      <c r="H1555" s="56">
        <v>0</v>
      </c>
      <c r="I1555" s="58">
        <f t="shared" si="150"/>
        <v>4.9500000000000455</v>
      </c>
      <c r="J1555" s="14">
        <f t="shared" si="144"/>
        <v>0.61875000000000568</v>
      </c>
      <c r="K1555" s="56">
        <v>1.96</v>
      </c>
      <c r="L1555" s="15">
        <f t="shared" si="145"/>
        <v>0</v>
      </c>
      <c r="M1555" s="16">
        <f t="shared" si="146"/>
        <v>189.95437999999999</v>
      </c>
      <c r="N1555" s="17">
        <f t="shared" si="147"/>
        <v>1.96</v>
      </c>
      <c r="O1555" s="17">
        <f t="shared" si="148"/>
        <v>1568</v>
      </c>
      <c r="P1555" s="18">
        <f t="shared" si="149"/>
        <v>151963.50399999999</v>
      </c>
    </row>
    <row r="1556" spans="2:16" ht="12.75">
      <c r="B1556" s="10">
        <v>46101</v>
      </c>
      <c r="C1556" s="11">
        <f>VLOOKUP(B:B,'Курс валют'!A:D,4,0)</f>
        <v>96.915499999999994</v>
      </c>
      <c r="D1556" s="57" t="s">
        <v>1272</v>
      </c>
      <c r="E1556" s="50" t="s">
        <v>50</v>
      </c>
      <c r="F1556" s="58">
        <v>800</v>
      </c>
      <c r="G1556" s="58">
        <v>804.95</v>
      </c>
      <c r="H1556" s="56">
        <v>0</v>
      </c>
      <c r="I1556" s="58">
        <f t="shared" si="150"/>
        <v>4.9500000000000455</v>
      </c>
      <c r="J1556" s="14">
        <f t="shared" si="144"/>
        <v>0.61875000000000568</v>
      </c>
      <c r="K1556" s="56">
        <v>1.96</v>
      </c>
      <c r="L1556" s="15">
        <f t="shared" si="145"/>
        <v>0</v>
      </c>
      <c r="M1556" s="16">
        <f t="shared" si="146"/>
        <v>189.95437999999999</v>
      </c>
      <c r="N1556" s="17">
        <f t="shared" si="147"/>
        <v>1.96</v>
      </c>
      <c r="O1556" s="17">
        <f t="shared" si="148"/>
        <v>1568</v>
      </c>
      <c r="P1556" s="18">
        <f t="shared" si="149"/>
        <v>151963.50399999999</v>
      </c>
    </row>
    <row r="1557" spans="2:16" ht="12.75">
      <c r="B1557" s="10">
        <v>46101</v>
      </c>
      <c r="C1557" s="11">
        <f>VLOOKUP(B:B,'Курс валют'!A:D,4,0)</f>
        <v>96.915499999999994</v>
      </c>
      <c r="D1557" s="57" t="s">
        <v>1273</v>
      </c>
      <c r="E1557" s="50" t="s">
        <v>50</v>
      </c>
      <c r="F1557" s="58">
        <v>800</v>
      </c>
      <c r="G1557" s="58">
        <v>804.95</v>
      </c>
      <c r="H1557" s="56">
        <v>0</v>
      </c>
      <c r="I1557" s="58">
        <f t="shared" si="150"/>
        <v>4.9500000000000455</v>
      </c>
      <c r="J1557" s="14">
        <f t="shared" si="144"/>
        <v>0.61875000000000568</v>
      </c>
      <c r="K1557" s="56">
        <v>1.96</v>
      </c>
      <c r="L1557" s="15">
        <f t="shared" si="145"/>
        <v>0</v>
      </c>
      <c r="M1557" s="16">
        <f t="shared" si="146"/>
        <v>189.95437999999999</v>
      </c>
      <c r="N1557" s="17">
        <f t="shared" si="147"/>
        <v>1.96</v>
      </c>
      <c r="O1557" s="17">
        <f t="shared" si="148"/>
        <v>1568</v>
      </c>
      <c r="P1557" s="18">
        <f t="shared" si="149"/>
        <v>151963.50399999999</v>
      </c>
    </row>
    <row r="1558" spans="2:16" ht="12.75">
      <c r="B1558" s="10">
        <v>46101</v>
      </c>
      <c r="C1558" s="11">
        <f>VLOOKUP(B:B,'Курс валют'!A:D,4,0)</f>
        <v>96.915499999999994</v>
      </c>
      <c r="D1558" s="57" t="s">
        <v>1274</v>
      </c>
      <c r="E1558" s="50" t="s">
        <v>50</v>
      </c>
      <c r="F1558" s="58">
        <v>800</v>
      </c>
      <c r="G1558" s="58">
        <v>804.95</v>
      </c>
      <c r="H1558" s="56">
        <v>0</v>
      </c>
      <c r="I1558" s="58">
        <f t="shared" si="150"/>
        <v>4.9500000000000455</v>
      </c>
      <c r="J1558" s="14">
        <f t="shared" si="144"/>
        <v>0.61875000000000568</v>
      </c>
      <c r="K1558" s="56">
        <v>1.96</v>
      </c>
      <c r="L1558" s="15">
        <f t="shared" si="145"/>
        <v>0</v>
      </c>
      <c r="M1558" s="16">
        <f t="shared" si="146"/>
        <v>189.95437999999999</v>
      </c>
      <c r="N1558" s="17">
        <f t="shared" si="147"/>
        <v>1.96</v>
      </c>
      <c r="O1558" s="17">
        <f t="shared" si="148"/>
        <v>1568</v>
      </c>
      <c r="P1558" s="18">
        <f t="shared" si="149"/>
        <v>151963.50399999999</v>
      </c>
    </row>
    <row r="1559" spans="2:16" ht="12.75">
      <c r="B1559" s="10">
        <v>46101</v>
      </c>
      <c r="C1559" s="11">
        <f>VLOOKUP(B:B,'Курс валют'!A:D,4,0)</f>
        <v>96.915499999999994</v>
      </c>
      <c r="D1559" s="57" t="s">
        <v>1275</v>
      </c>
      <c r="E1559" s="50" t="s">
        <v>65</v>
      </c>
      <c r="F1559" s="58">
        <v>800</v>
      </c>
      <c r="G1559" s="58">
        <v>804.99</v>
      </c>
      <c r="H1559" s="56">
        <v>0</v>
      </c>
      <c r="I1559" s="58">
        <f t="shared" si="150"/>
        <v>4.9900000000000091</v>
      </c>
      <c r="J1559" s="14">
        <f t="shared" si="144"/>
        <v>0.62375000000000114</v>
      </c>
      <c r="K1559" s="56">
        <v>2</v>
      </c>
      <c r="L1559" s="15">
        <f t="shared" si="145"/>
        <v>0</v>
      </c>
      <c r="M1559" s="16">
        <f t="shared" si="146"/>
        <v>193.83099999999999</v>
      </c>
      <c r="N1559" s="17">
        <f t="shared" si="147"/>
        <v>2</v>
      </c>
      <c r="O1559" s="17">
        <f t="shared" si="148"/>
        <v>1600</v>
      </c>
      <c r="P1559" s="18">
        <f t="shared" si="149"/>
        <v>155064.79999999999</v>
      </c>
    </row>
    <row r="1560" spans="2:16" ht="12.75">
      <c r="B1560" s="10">
        <v>46101</v>
      </c>
      <c r="C1560" s="11">
        <f>VLOOKUP(B:B,'Курс валют'!A:D,4,0)</f>
        <v>96.915499999999994</v>
      </c>
      <c r="D1560" s="57" t="s">
        <v>1276</v>
      </c>
      <c r="E1560" s="50" t="s">
        <v>65</v>
      </c>
      <c r="F1560" s="58">
        <v>800</v>
      </c>
      <c r="G1560" s="58">
        <v>804.99</v>
      </c>
      <c r="H1560" s="56">
        <v>0</v>
      </c>
      <c r="I1560" s="58">
        <f t="shared" si="150"/>
        <v>4.9900000000000091</v>
      </c>
      <c r="J1560" s="14">
        <f t="shared" si="144"/>
        <v>0.62375000000000114</v>
      </c>
      <c r="K1560" s="56">
        <v>1.99</v>
      </c>
      <c r="L1560" s="15">
        <f t="shared" si="145"/>
        <v>0</v>
      </c>
      <c r="M1560" s="16">
        <f t="shared" si="146"/>
        <v>192.86184499999999</v>
      </c>
      <c r="N1560" s="17">
        <f t="shared" si="147"/>
        <v>1.99</v>
      </c>
      <c r="O1560" s="17">
        <f t="shared" si="148"/>
        <v>1592</v>
      </c>
      <c r="P1560" s="18">
        <f t="shared" si="149"/>
        <v>154289.476</v>
      </c>
    </row>
    <row r="1561" spans="2:16" ht="12.75">
      <c r="B1561" s="10">
        <v>46101</v>
      </c>
      <c r="C1561" s="11">
        <f>VLOOKUP(B:B,'Курс валют'!A:D,4,0)</f>
        <v>96.915499999999994</v>
      </c>
      <c r="D1561" s="57" t="s">
        <v>1277</v>
      </c>
      <c r="E1561" s="50" t="s">
        <v>65</v>
      </c>
      <c r="F1561" s="58">
        <v>800</v>
      </c>
      <c r="G1561" s="58">
        <v>804.99</v>
      </c>
      <c r="H1561" s="56">
        <v>0</v>
      </c>
      <c r="I1561" s="58">
        <f t="shared" si="150"/>
        <v>4.9900000000000091</v>
      </c>
      <c r="J1561" s="14">
        <f t="shared" si="144"/>
        <v>0.62375000000000114</v>
      </c>
      <c r="K1561" s="56">
        <v>1.99</v>
      </c>
      <c r="L1561" s="15">
        <f t="shared" si="145"/>
        <v>0</v>
      </c>
      <c r="M1561" s="16">
        <f t="shared" si="146"/>
        <v>192.86184499999999</v>
      </c>
      <c r="N1561" s="17">
        <f t="shared" si="147"/>
        <v>1.99</v>
      </c>
      <c r="O1561" s="17">
        <f t="shared" si="148"/>
        <v>1592</v>
      </c>
      <c r="P1561" s="18">
        <f t="shared" si="149"/>
        <v>154289.476</v>
      </c>
    </row>
    <row r="1562" spans="2:16" ht="12.75">
      <c r="B1562" s="10">
        <v>46101</v>
      </c>
      <c r="C1562" s="11">
        <f>VLOOKUP(B:B,'Курс валют'!A:D,4,0)</f>
        <v>96.915499999999994</v>
      </c>
      <c r="D1562" s="57" t="s">
        <v>1278</v>
      </c>
      <c r="E1562" s="50" t="s">
        <v>65</v>
      </c>
      <c r="F1562" s="58">
        <v>800</v>
      </c>
      <c r="G1562" s="58">
        <v>804.99</v>
      </c>
      <c r="H1562" s="56">
        <v>0</v>
      </c>
      <c r="I1562" s="58">
        <f t="shared" si="150"/>
        <v>4.9900000000000091</v>
      </c>
      <c r="J1562" s="14">
        <f t="shared" si="144"/>
        <v>0.62375000000000114</v>
      </c>
      <c r="K1562" s="56">
        <v>2</v>
      </c>
      <c r="L1562" s="15">
        <f t="shared" si="145"/>
        <v>0</v>
      </c>
      <c r="M1562" s="16">
        <f t="shared" si="146"/>
        <v>193.83099999999999</v>
      </c>
      <c r="N1562" s="17">
        <f t="shared" si="147"/>
        <v>2</v>
      </c>
      <c r="O1562" s="17">
        <f t="shared" si="148"/>
        <v>1600</v>
      </c>
      <c r="P1562" s="18">
        <f t="shared" si="149"/>
        <v>155064.79999999999</v>
      </c>
    </row>
    <row r="1563" spans="2:16" ht="12.75">
      <c r="B1563" s="10">
        <v>46101</v>
      </c>
      <c r="C1563" s="11">
        <f>VLOOKUP(B:B,'Курс валют'!A:D,4,0)</f>
        <v>96.915499999999994</v>
      </c>
      <c r="D1563" s="57" t="s">
        <v>1279</v>
      </c>
      <c r="E1563" s="50" t="s">
        <v>65</v>
      </c>
      <c r="F1563" s="58">
        <v>800</v>
      </c>
      <c r="G1563" s="58">
        <v>804.99</v>
      </c>
      <c r="H1563" s="56">
        <v>0</v>
      </c>
      <c r="I1563" s="58">
        <f t="shared" si="150"/>
        <v>4.9900000000000091</v>
      </c>
      <c r="J1563" s="14">
        <f t="shared" si="144"/>
        <v>0.62375000000000114</v>
      </c>
      <c r="K1563" s="56">
        <v>1.99</v>
      </c>
      <c r="L1563" s="15">
        <f t="shared" si="145"/>
        <v>0</v>
      </c>
      <c r="M1563" s="16">
        <f t="shared" si="146"/>
        <v>192.86184499999999</v>
      </c>
      <c r="N1563" s="17">
        <f t="shared" si="147"/>
        <v>1.99</v>
      </c>
      <c r="O1563" s="17">
        <f t="shared" si="148"/>
        <v>1592</v>
      </c>
      <c r="P1563" s="18">
        <f t="shared" si="149"/>
        <v>154289.476</v>
      </c>
    </row>
    <row r="1564" spans="2:16" ht="12.75">
      <c r="B1564" s="10">
        <v>46101</v>
      </c>
      <c r="C1564" s="11">
        <f>VLOOKUP(B:B,'Курс валют'!A:D,4,0)</f>
        <v>96.915499999999994</v>
      </c>
      <c r="D1564" s="57" t="s">
        <v>1280</v>
      </c>
      <c r="E1564" s="50" t="s">
        <v>65</v>
      </c>
      <c r="F1564" s="58">
        <v>800</v>
      </c>
      <c r="G1564" s="58">
        <v>804.99</v>
      </c>
      <c r="H1564" s="56">
        <v>0</v>
      </c>
      <c r="I1564" s="58">
        <f t="shared" si="150"/>
        <v>4.9900000000000091</v>
      </c>
      <c r="J1564" s="14">
        <f t="shared" si="144"/>
        <v>0.62375000000000114</v>
      </c>
      <c r="K1564" s="56">
        <v>1.99</v>
      </c>
      <c r="L1564" s="15">
        <f t="shared" si="145"/>
        <v>0</v>
      </c>
      <c r="M1564" s="16">
        <f t="shared" si="146"/>
        <v>192.86184499999999</v>
      </c>
      <c r="N1564" s="17">
        <f t="shared" si="147"/>
        <v>1.99</v>
      </c>
      <c r="O1564" s="17">
        <f t="shared" si="148"/>
        <v>1592</v>
      </c>
      <c r="P1564" s="18">
        <f t="shared" si="149"/>
        <v>154289.476</v>
      </c>
    </row>
    <row r="1565" spans="2:16" ht="12.75">
      <c r="B1565" s="10">
        <v>46101</v>
      </c>
      <c r="C1565" s="11">
        <f>VLOOKUP(B:B,'Курс валют'!A:D,4,0)</f>
        <v>96.915499999999994</v>
      </c>
      <c r="D1565" s="57" t="s">
        <v>1281</v>
      </c>
      <c r="E1565" s="50" t="s">
        <v>65</v>
      </c>
      <c r="F1565" s="58">
        <v>800</v>
      </c>
      <c r="G1565" s="58">
        <v>804.99</v>
      </c>
      <c r="H1565" s="56">
        <v>0</v>
      </c>
      <c r="I1565" s="58">
        <f t="shared" si="150"/>
        <v>4.9900000000000091</v>
      </c>
      <c r="J1565" s="14">
        <f t="shared" si="144"/>
        <v>0.62375000000000114</v>
      </c>
      <c r="K1565" s="56">
        <v>2</v>
      </c>
      <c r="L1565" s="15">
        <f t="shared" si="145"/>
        <v>0</v>
      </c>
      <c r="M1565" s="16">
        <f t="shared" si="146"/>
        <v>193.83099999999999</v>
      </c>
      <c r="N1565" s="17">
        <f t="shared" si="147"/>
        <v>2</v>
      </c>
      <c r="O1565" s="17">
        <f t="shared" si="148"/>
        <v>1600</v>
      </c>
      <c r="P1565" s="18">
        <f t="shared" si="149"/>
        <v>155064.79999999999</v>
      </c>
    </row>
    <row r="1566" spans="2:16" ht="12.75">
      <c r="B1566" s="10">
        <v>46101</v>
      </c>
      <c r="C1566" s="11">
        <f>VLOOKUP(B:B,'Курс валют'!A:D,4,0)</f>
        <v>96.915499999999994</v>
      </c>
      <c r="D1566" s="57" t="s">
        <v>1282</v>
      </c>
      <c r="E1566" s="50" t="s">
        <v>50</v>
      </c>
      <c r="F1566" s="58">
        <v>800</v>
      </c>
      <c r="G1566" s="58">
        <v>804.95</v>
      </c>
      <c r="H1566" s="56">
        <v>0</v>
      </c>
      <c r="I1566" s="58">
        <f t="shared" si="150"/>
        <v>4.9500000000000455</v>
      </c>
      <c r="J1566" s="14">
        <f t="shared" si="144"/>
        <v>0.61875000000000568</v>
      </c>
      <c r="K1566" s="56">
        <v>1.96</v>
      </c>
      <c r="L1566" s="15">
        <f t="shared" si="145"/>
        <v>0</v>
      </c>
      <c r="M1566" s="16">
        <f t="shared" si="146"/>
        <v>189.95437999999999</v>
      </c>
      <c r="N1566" s="17">
        <f t="shared" si="147"/>
        <v>1.96</v>
      </c>
      <c r="O1566" s="17">
        <f t="shared" si="148"/>
        <v>1568</v>
      </c>
      <c r="P1566" s="18">
        <f t="shared" si="149"/>
        <v>151963.50399999999</v>
      </c>
    </row>
    <row r="1567" spans="2:16" ht="12.75">
      <c r="B1567" s="10">
        <v>46101</v>
      </c>
      <c r="C1567" s="11">
        <f>VLOOKUP(B:B,'Курс валют'!A:D,4,0)</f>
        <v>96.915499999999994</v>
      </c>
      <c r="D1567" s="57" t="s">
        <v>1283</v>
      </c>
      <c r="E1567" s="50" t="s">
        <v>50</v>
      </c>
      <c r="F1567" s="58">
        <v>800</v>
      </c>
      <c r="G1567" s="58">
        <v>804.95</v>
      </c>
      <c r="H1567" s="56">
        <v>0</v>
      </c>
      <c r="I1567" s="58">
        <f t="shared" si="150"/>
        <v>4.9500000000000455</v>
      </c>
      <c r="J1567" s="14">
        <f t="shared" si="144"/>
        <v>0.61875000000000568</v>
      </c>
      <c r="K1567" s="56">
        <v>1.96</v>
      </c>
      <c r="L1567" s="15">
        <f t="shared" si="145"/>
        <v>0</v>
      </c>
      <c r="M1567" s="16">
        <f t="shared" si="146"/>
        <v>189.95437999999999</v>
      </c>
      <c r="N1567" s="17">
        <f t="shared" si="147"/>
        <v>1.96</v>
      </c>
      <c r="O1567" s="17">
        <f t="shared" si="148"/>
        <v>1568</v>
      </c>
      <c r="P1567" s="18">
        <f t="shared" si="149"/>
        <v>151963.50399999999</v>
      </c>
    </row>
    <row r="1568" spans="2:16" ht="12.75">
      <c r="B1568" s="10">
        <v>46101</v>
      </c>
      <c r="C1568" s="11">
        <f>VLOOKUP(B:B,'Курс валют'!A:D,4,0)</f>
        <v>96.915499999999994</v>
      </c>
      <c r="D1568" s="57" t="s">
        <v>1284</v>
      </c>
      <c r="E1568" s="50" t="s">
        <v>50</v>
      </c>
      <c r="F1568" s="58">
        <v>800</v>
      </c>
      <c r="G1568" s="58">
        <v>804.95</v>
      </c>
      <c r="H1568" s="56">
        <v>0</v>
      </c>
      <c r="I1568" s="58">
        <f t="shared" si="150"/>
        <v>4.9500000000000455</v>
      </c>
      <c r="J1568" s="14">
        <f t="shared" si="144"/>
        <v>0.61875000000000568</v>
      </c>
      <c r="K1568" s="56">
        <v>1.96</v>
      </c>
      <c r="L1568" s="15">
        <f t="shared" si="145"/>
        <v>0</v>
      </c>
      <c r="M1568" s="16">
        <f t="shared" si="146"/>
        <v>189.95437999999999</v>
      </c>
      <c r="N1568" s="17">
        <f t="shared" si="147"/>
        <v>1.96</v>
      </c>
      <c r="O1568" s="17">
        <f t="shared" si="148"/>
        <v>1568</v>
      </c>
      <c r="P1568" s="18">
        <f t="shared" si="149"/>
        <v>151963.50399999999</v>
      </c>
    </row>
    <row r="1569" spans="2:16" ht="12.75">
      <c r="B1569" s="10">
        <v>46101</v>
      </c>
      <c r="C1569" s="11">
        <f>VLOOKUP(B:B,'Курс валют'!A:D,4,0)</f>
        <v>96.915499999999994</v>
      </c>
      <c r="D1569" s="57" t="s">
        <v>1285</v>
      </c>
      <c r="E1569" s="50" t="s">
        <v>65</v>
      </c>
      <c r="F1569" s="58">
        <v>800</v>
      </c>
      <c r="G1569" s="58">
        <v>804.99</v>
      </c>
      <c r="H1569" s="56">
        <v>0</v>
      </c>
      <c r="I1569" s="58">
        <f t="shared" si="150"/>
        <v>4.9900000000000091</v>
      </c>
      <c r="J1569" s="14">
        <f t="shared" si="144"/>
        <v>0.62375000000000114</v>
      </c>
      <c r="K1569" s="56">
        <v>1.99</v>
      </c>
      <c r="L1569" s="15">
        <f t="shared" si="145"/>
        <v>0</v>
      </c>
      <c r="M1569" s="16">
        <f t="shared" si="146"/>
        <v>192.86184499999999</v>
      </c>
      <c r="N1569" s="17">
        <f t="shared" si="147"/>
        <v>1.99</v>
      </c>
      <c r="O1569" s="17">
        <f t="shared" si="148"/>
        <v>1592</v>
      </c>
      <c r="P1569" s="18">
        <f t="shared" si="149"/>
        <v>154289.476</v>
      </c>
    </row>
    <row r="1570" spans="2:16" ht="12.75">
      <c r="B1570" s="10">
        <v>46101</v>
      </c>
      <c r="C1570" s="11">
        <f>VLOOKUP(B:B,'Курс валют'!A:D,4,0)</f>
        <v>96.915499999999994</v>
      </c>
      <c r="D1570" s="57" t="s">
        <v>1286</v>
      </c>
      <c r="E1570" s="50" t="s">
        <v>65</v>
      </c>
      <c r="F1570" s="58">
        <v>800</v>
      </c>
      <c r="G1570" s="58">
        <v>804.99</v>
      </c>
      <c r="H1570" s="56">
        <v>0</v>
      </c>
      <c r="I1570" s="58">
        <f t="shared" si="150"/>
        <v>4.9900000000000091</v>
      </c>
      <c r="J1570" s="14">
        <f t="shared" si="144"/>
        <v>0.62375000000000114</v>
      </c>
      <c r="K1570" s="56">
        <v>1.99</v>
      </c>
      <c r="L1570" s="15">
        <f t="shared" si="145"/>
        <v>0</v>
      </c>
      <c r="M1570" s="16">
        <f t="shared" si="146"/>
        <v>192.86184499999999</v>
      </c>
      <c r="N1570" s="17">
        <f t="shared" si="147"/>
        <v>1.99</v>
      </c>
      <c r="O1570" s="17">
        <f t="shared" si="148"/>
        <v>1592</v>
      </c>
      <c r="P1570" s="18">
        <f t="shared" si="149"/>
        <v>154289.476</v>
      </c>
    </row>
    <row r="1571" spans="2:16" ht="12.75">
      <c r="B1571" s="10">
        <v>46101</v>
      </c>
      <c r="C1571" s="11">
        <f>VLOOKUP(B:B,'Курс валют'!A:D,4,0)</f>
        <v>96.915499999999994</v>
      </c>
      <c r="D1571" s="57" t="s">
        <v>1287</v>
      </c>
      <c r="E1571" s="50" t="s">
        <v>65</v>
      </c>
      <c r="F1571" s="58">
        <v>800</v>
      </c>
      <c r="G1571" s="58">
        <v>804.99</v>
      </c>
      <c r="H1571" s="56">
        <v>0</v>
      </c>
      <c r="I1571" s="58">
        <f t="shared" si="150"/>
        <v>4.9900000000000091</v>
      </c>
      <c r="J1571" s="14">
        <f t="shared" si="144"/>
        <v>0.62375000000000114</v>
      </c>
      <c r="K1571" s="56">
        <v>2</v>
      </c>
      <c r="L1571" s="15">
        <f t="shared" si="145"/>
        <v>0</v>
      </c>
      <c r="M1571" s="16">
        <f t="shared" si="146"/>
        <v>193.83099999999999</v>
      </c>
      <c r="N1571" s="17">
        <f t="shared" si="147"/>
        <v>2</v>
      </c>
      <c r="O1571" s="17">
        <f t="shared" si="148"/>
        <v>1600</v>
      </c>
      <c r="P1571" s="18">
        <f t="shared" si="149"/>
        <v>155064.79999999999</v>
      </c>
    </row>
    <row r="1572" spans="2:16" ht="12.75">
      <c r="B1572" s="10">
        <v>46102</v>
      </c>
      <c r="C1572" s="11">
        <f>VLOOKUP(B:B,'Курс валют'!A:D,4,0)</f>
        <v>97.288600000000002</v>
      </c>
      <c r="D1572" s="57" t="s">
        <v>1288</v>
      </c>
      <c r="E1572" s="50" t="s">
        <v>51</v>
      </c>
      <c r="F1572" s="58">
        <v>800</v>
      </c>
      <c r="G1572" s="58">
        <v>804.34</v>
      </c>
      <c r="H1572" s="56">
        <v>0</v>
      </c>
      <c r="I1572" s="58">
        <f t="shared" si="150"/>
        <v>4.3400000000000318</v>
      </c>
      <c r="J1572" s="14">
        <f t="shared" si="144"/>
        <v>0.54250000000000398</v>
      </c>
      <c r="K1572" s="56">
        <v>1.97</v>
      </c>
      <c r="L1572" s="15">
        <f t="shared" si="145"/>
        <v>0</v>
      </c>
      <c r="M1572" s="16">
        <f t="shared" si="146"/>
        <v>191.65854200000001</v>
      </c>
      <c r="N1572" s="17">
        <f t="shared" si="147"/>
        <v>1.97</v>
      </c>
      <c r="O1572" s="17">
        <f t="shared" si="148"/>
        <v>1576</v>
      </c>
      <c r="P1572" s="18">
        <f t="shared" si="149"/>
        <v>153326.83360000001</v>
      </c>
    </row>
    <row r="1573" spans="2:16" ht="12.75">
      <c r="B1573" s="10">
        <v>46102</v>
      </c>
      <c r="C1573" s="11">
        <f>VLOOKUP(B:B,'Курс валют'!A:D,4,0)</f>
        <v>97.288600000000002</v>
      </c>
      <c r="D1573" s="57" t="s">
        <v>1289</v>
      </c>
      <c r="E1573" s="50" t="s">
        <v>51</v>
      </c>
      <c r="F1573" s="58">
        <v>800</v>
      </c>
      <c r="G1573" s="58">
        <v>804.34</v>
      </c>
      <c r="H1573" s="56">
        <v>0</v>
      </c>
      <c r="I1573" s="58">
        <f t="shared" si="150"/>
        <v>4.3400000000000318</v>
      </c>
      <c r="J1573" s="14">
        <f t="shared" si="144"/>
        <v>0.54250000000000398</v>
      </c>
      <c r="K1573" s="56">
        <v>1.96</v>
      </c>
      <c r="L1573" s="15">
        <f t="shared" si="145"/>
        <v>0</v>
      </c>
      <c r="M1573" s="16">
        <f t="shared" si="146"/>
        <v>190.68565600000002</v>
      </c>
      <c r="N1573" s="17">
        <f t="shared" si="147"/>
        <v>1.96</v>
      </c>
      <c r="O1573" s="17">
        <f t="shared" si="148"/>
        <v>1568</v>
      </c>
      <c r="P1573" s="18">
        <f t="shared" si="149"/>
        <v>152548.52480000001</v>
      </c>
    </row>
    <row r="1574" spans="2:16" ht="12.75">
      <c r="B1574" s="10">
        <v>46102</v>
      </c>
      <c r="C1574" s="11">
        <f>VLOOKUP(B:B,'Курс валют'!A:D,4,0)</f>
        <v>97.288600000000002</v>
      </c>
      <c r="D1574" s="57" t="s">
        <v>1290</v>
      </c>
      <c r="E1574" s="50" t="s">
        <v>51</v>
      </c>
      <c r="F1574" s="58">
        <v>800</v>
      </c>
      <c r="G1574" s="58">
        <v>804.34</v>
      </c>
      <c r="H1574" s="56">
        <v>0</v>
      </c>
      <c r="I1574" s="58">
        <f t="shared" si="150"/>
        <v>4.3400000000000318</v>
      </c>
      <c r="J1574" s="14">
        <f t="shared" si="144"/>
        <v>0.54250000000000398</v>
      </c>
      <c r="K1574" s="56">
        <v>1.96</v>
      </c>
      <c r="L1574" s="15">
        <f t="shared" si="145"/>
        <v>0</v>
      </c>
      <c r="M1574" s="16">
        <f t="shared" si="146"/>
        <v>190.68565600000002</v>
      </c>
      <c r="N1574" s="17">
        <f t="shared" si="147"/>
        <v>1.96</v>
      </c>
      <c r="O1574" s="17">
        <f t="shared" si="148"/>
        <v>1568</v>
      </c>
      <c r="P1574" s="18">
        <f t="shared" si="149"/>
        <v>152548.52480000001</v>
      </c>
    </row>
    <row r="1575" spans="2:16" ht="12.75">
      <c r="B1575" s="10">
        <v>46102</v>
      </c>
      <c r="C1575" s="11">
        <f>VLOOKUP(B:B,'Курс валют'!A:D,4,0)</f>
        <v>97.288600000000002</v>
      </c>
      <c r="D1575" s="57" t="s">
        <v>1291</v>
      </c>
      <c r="E1575" s="50" t="s">
        <v>51</v>
      </c>
      <c r="F1575" s="58">
        <v>800</v>
      </c>
      <c r="G1575" s="58">
        <v>804.34</v>
      </c>
      <c r="H1575" s="56">
        <v>0</v>
      </c>
      <c r="I1575" s="58">
        <f t="shared" si="150"/>
        <v>4.3400000000000318</v>
      </c>
      <c r="J1575" s="14">
        <f t="shared" si="144"/>
        <v>0.54250000000000398</v>
      </c>
      <c r="K1575" s="56">
        <v>1.96</v>
      </c>
      <c r="L1575" s="15">
        <f t="shared" si="145"/>
        <v>0</v>
      </c>
      <c r="M1575" s="16">
        <f t="shared" si="146"/>
        <v>190.68565600000002</v>
      </c>
      <c r="N1575" s="17">
        <f t="shared" si="147"/>
        <v>1.96</v>
      </c>
      <c r="O1575" s="17">
        <f t="shared" si="148"/>
        <v>1568</v>
      </c>
      <c r="P1575" s="18">
        <f t="shared" si="149"/>
        <v>152548.52480000001</v>
      </c>
    </row>
    <row r="1576" spans="2:16" ht="12.75">
      <c r="B1576" s="10">
        <v>46102</v>
      </c>
      <c r="C1576" s="11">
        <f>VLOOKUP(B:B,'Курс валют'!A:D,4,0)</f>
        <v>97.288600000000002</v>
      </c>
      <c r="D1576" s="57" t="s">
        <v>1292</v>
      </c>
      <c r="E1576" s="50" t="s">
        <v>51</v>
      </c>
      <c r="F1576" s="58">
        <v>800</v>
      </c>
      <c r="G1576" s="58">
        <v>804.34</v>
      </c>
      <c r="H1576" s="56">
        <v>0</v>
      </c>
      <c r="I1576" s="58">
        <f t="shared" si="150"/>
        <v>4.3400000000000318</v>
      </c>
      <c r="J1576" s="14">
        <f t="shared" si="144"/>
        <v>0.54250000000000398</v>
      </c>
      <c r="K1576" s="56">
        <v>1.97</v>
      </c>
      <c r="L1576" s="15">
        <f t="shared" si="145"/>
        <v>0</v>
      </c>
      <c r="M1576" s="16">
        <f t="shared" si="146"/>
        <v>191.65854200000001</v>
      </c>
      <c r="N1576" s="17">
        <f t="shared" si="147"/>
        <v>1.97</v>
      </c>
      <c r="O1576" s="17">
        <f t="shared" si="148"/>
        <v>1576</v>
      </c>
      <c r="P1576" s="18">
        <f t="shared" si="149"/>
        <v>153326.83360000001</v>
      </c>
    </row>
    <row r="1577" spans="2:16" ht="12.75">
      <c r="B1577" s="10">
        <v>46102</v>
      </c>
      <c r="C1577" s="11">
        <f>VLOOKUP(B:B,'Курс валют'!A:D,4,0)</f>
        <v>97.288600000000002</v>
      </c>
      <c r="D1577" s="57" t="s">
        <v>1293</v>
      </c>
      <c r="E1577" s="50" t="s">
        <v>51</v>
      </c>
      <c r="F1577" s="58">
        <v>800</v>
      </c>
      <c r="G1577" s="58">
        <v>804.34</v>
      </c>
      <c r="H1577" s="56">
        <v>0</v>
      </c>
      <c r="I1577" s="58">
        <f t="shared" si="150"/>
        <v>4.3400000000000318</v>
      </c>
      <c r="J1577" s="14">
        <f t="shared" si="144"/>
        <v>0.54250000000000398</v>
      </c>
      <c r="K1577" s="56">
        <v>1.97</v>
      </c>
      <c r="L1577" s="15">
        <f t="shared" si="145"/>
        <v>0</v>
      </c>
      <c r="M1577" s="16">
        <f t="shared" si="146"/>
        <v>191.65854200000001</v>
      </c>
      <c r="N1577" s="17">
        <f t="shared" si="147"/>
        <v>1.97</v>
      </c>
      <c r="O1577" s="17">
        <f t="shared" si="148"/>
        <v>1576</v>
      </c>
      <c r="P1577" s="18">
        <f t="shared" si="149"/>
        <v>153326.83360000001</v>
      </c>
    </row>
    <row r="1578" spans="2:16" ht="12.75">
      <c r="B1578" s="10">
        <v>46102</v>
      </c>
      <c r="C1578" s="11">
        <f>VLOOKUP(B:B,'Курс валют'!A:D,4,0)</f>
        <v>97.288600000000002</v>
      </c>
      <c r="D1578" s="57" t="s">
        <v>1294</v>
      </c>
      <c r="E1578" s="50" t="s">
        <v>51</v>
      </c>
      <c r="F1578" s="58">
        <v>800</v>
      </c>
      <c r="G1578" s="58">
        <v>804.34</v>
      </c>
      <c r="H1578" s="56">
        <v>0</v>
      </c>
      <c r="I1578" s="58">
        <f t="shared" si="150"/>
        <v>4.3400000000000318</v>
      </c>
      <c r="J1578" s="14">
        <f t="shared" si="144"/>
        <v>0.54250000000000398</v>
      </c>
      <c r="K1578" s="56">
        <v>1.96</v>
      </c>
      <c r="L1578" s="15">
        <f t="shared" si="145"/>
        <v>0</v>
      </c>
      <c r="M1578" s="16">
        <f t="shared" si="146"/>
        <v>190.68565600000002</v>
      </c>
      <c r="N1578" s="17">
        <f t="shared" si="147"/>
        <v>1.96</v>
      </c>
      <c r="O1578" s="17">
        <f t="shared" si="148"/>
        <v>1568</v>
      </c>
      <c r="P1578" s="18">
        <f t="shared" si="149"/>
        <v>152548.52480000001</v>
      </c>
    </row>
    <row r="1579" spans="2:16" ht="12.75">
      <c r="B1579" s="10">
        <v>46102</v>
      </c>
      <c r="C1579" s="11">
        <f>VLOOKUP(B:B,'Курс валют'!A:D,4,0)</f>
        <v>97.288600000000002</v>
      </c>
      <c r="D1579" s="57" t="s">
        <v>1295</v>
      </c>
      <c r="E1579" s="50" t="s">
        <v>51</v>
      </c>
      <c r="F1579" s="58">
        <v>800</v>
      </c>
      <c r="G1579" s="58">
        <v>804.34</v>
      </c>
      <c r="H1579" s="56">
        <v>0</v>
      </c>
      <c r="I1579" s="58">
        <f t="shared" si="150"/>
        <v>4.3400000000000318</v>
      </c>
      <c r="J1579" s="14">
        <f t="shared" si="144"/>
        <v>0.54250000000000398</v>
      </c>
      <c r="K1579" s="56">
        <v>1.96</v>
      </c>
      <c r="L1579" s="15">
        <f t="shared" si="145"/>
        <v>0</v>
      </c>
      <c r="M1579" s="16">
        <f t="shared" si="146"/>
        <v>190.68565600000002</v>
      </c>
      <c r="N1579" s="17">
        <f t="shared" si="147"/>
        <v>1.96</v>
      </c>
      <c r="O1579" s="17">
        <f t="shared" si="148"/>
        <v>1568</v>
      </c>
      <c r="P1579" s="18">
        <f t="shared" si="149"/>
        <v>152548.52480000001</v>
      </c>
    </row>
    <row r="1580" spans="2:16" ht="12.75">
      <c r="B1580" s="10">
        <v>46102</v>
      </c>
      <c r="C1580" s="11">
        <f>VLOOKUP(B:B,'Курс валют'!A:D,4,0)</f>
        <v>97.288600000000002</v>
      </c>
      <c r="D1580" s="57" t="s">
        <v>1296</v>
      </c>
      <c r="E1580" s="50" t="s">
        <v>51</v>
      </c>
      <c r="F1580" s="58">
        <v>800</v>
      </c>
      <c r="G1580" s="58">
        <v>804.34</v>
      </c>
      <c r="H1580" s="56">
        <v>0</v>
      </c>
      <c r="I1580" s="58">
        <f t="shared" si="150"/>
        <v>4.3400000000000318</v>
      </c>
      <c r="J1580" s="14">
        <f t="shared" si="144"/>
        <v>0.54250000000000398</v>
      </c>
      <c r="K1580" s="56">
        <v>1.96</v>
      </c>
      <c r="L1580" s="15">
        <f t="shared" si="145"/>
        <v>0</v>
      </c>
      <c r="M1580" s="16">
        <f t="shared" si="146"/>
        <v>190.68565600000002</v>
      </c>
      <c r="N1580" s="17">
        <f t="shared" si="147"/>
        <v>1.96</v>
      </c>
      <c r="O1580" s="17">
        <f t="shared" si="148"/>
        <v>1568</v>
      </c>
      <c r="P1580" s="18">
        <f t="shared" si="149"/>
        <v>152548.52480000001</v>
      </c>
    </row>
    <row r="1581" spans="2:16" ht="12.75">
      <c r="B1581" s="10">
        <v>46102</v>
      </c>
      <c r="C1581" s="11">
        <f>VLOOKUP(B:B,'Курс валют'!A:D,4,0)</f>
        <v>97.288600000000002</v>
      </c>
      <c r="D1581" s="57" t="s">
        <v>1297</v>
      </c>
      <c r="E1581" s="50" t="s">
        <v>51</v>
      </c>
      <c r="F1581" s="58">
        <v>800</v>
      </c>
      <c r="G1581" s="58">
        <v>804.34</v>
      </c>
      <c r="H1581" s="56">
        <v>0</v>
      </c>
      <c r="I1581" s="58">
        <f t="shared" si="150"/>
        <v>4.3400000000000318</v>
      </c>
      <c r="J1581" s="14">
        <f t="shared" si="144"/>
        <v>0.54250000000000398</v>
      </c>
      <c r="K1581" s="56">
        <v>1.97</v>
      </c>
      <c r="L1581" s="15">
        <f t="shared" si="145"/>
        <v>0</v>
      </c>
      <c r="M1581" s="16">
        <f t="shared" si="146"/>
        <v>191.65854200000001</v>
      </c>
      <c r="N1581" s="17">
        <f t="shared" si="147"/>
        <v>1.97</v>
      </c>
      <c r="O1581" s="17">
        <f t="shared" si="148"/>
        <v>1576</v>
      </c>
      <c r="P1581" s="18">
        <f t="shared" si="149"/>
        <v>153326.83360000001</v>
      </c>
    </row>
    <row r="1582" spans="2:16" ht="12.75">
      <c r="B1582" s="10">
        <v>46102</v>
      </c>
      <c r="C1582" s="11">
        <f>VLOOKUP(B:B,'Курс валют'!A:D,4,0)</f>
        <v>97.288600000000002</v>
      </c>
      <c r="D1582" s="57" t="s">
        <v>1298</v>
      </c>
      <c r="E1582" s="50" t="s">
        <v>101</v>
      </c>
      <c r="F1582" s="58">
        <v>800</v>
      </c>
      <c r="G1582" s="58">
        <v>806.95</v>
      </c>
      <c r="H1582" s="56">
        <v>0</v>
      </c>
      <c r="I1582" s="58">
        <f t="shared" si="150"/>
        <v>6.9500000000000455</v>
      </c>
      <c r="J1582" s="14">
        <f t="shared" si="144"/>
        <v>0.86875000000000568</v>
      </c>
      <c r="K1582" s="56">
        <v>2.58</v>
      </c>
      <c r="L1582" s="15">
        <f t="shared" si="145"/>
        <v>0</v>
      </c>
      <c r="M1582" s="16">
        <f t="shared" si="146"/>
        <v>251.00458800000001</v>
      </c>
      <c r="N1582" s="17">
        <f t="shared" si="147"/>
        <v>2.58</v>
      </c>
      <c r="O1582" s="17">
        <f t="shared" si="148"/>
        <v>2064</v>
      </c>
      <c r="P1582" s="18">
        <f t="shared" si="149"/>
        <v>200803.6704</v>
      </c>
    </row>
    <row r="1583" spans="2:16" ht="12.75">
      <c r="B1583" s="10">
        <v>46102</v>
      </c>
      <c r="C1583" s="11">
        <f>VLOOKUP(B:B,'Курс валют'!A:D,4,0)</f>
        <v>97.288600000000002</v>
      </c>
      <c r="D1583" s="57" t="s">
        <v>1299</v>
      </c>
      <c r="E1583" s="50" t="s">
        <v>101</v>
      </c>
      <c r="F1583" s="58">
        <v>800</v>
      </c>
      <c r="G1583" s="58">
        <v>806.95</v>
      </c>
      <c r="H1583" s="56">
        <v>0</v>
      </c>
      <c r="I1583" s="58">
        <f t="shared" si="150"/>
        <v>6.9500000000000455</v>
      </c>
      <c r="J1583" s="14">
        <f t="shared" si="144"/>
        <v>0.86875000000000568</v>
      </c>
      <c r="K1583" s="56">
        <v>2.54</v>
      </c>
      <c r="L1583" s="15">
        <f t="shared" si="145"/>
        <v>0</v>
      </c>
      <c r="M1583" s="16">
        <f t="shared" si="146"/>
        <v>247.113044</v>
      </c>
      <c r="N1583" s="17">
        <f t="shared" si="147"/>
        <v>2.54</v>
      </c>
      <c r="O1583" s="17">
        <f t="shared" si="148"/>
        <v>2032</v>
      </c>
      <c r="P1583" s="18">
        <f t="shared" si="149"/>
        <v>197690.43520000001</v>
      </c>
    </row>
    <row r="1584" spans="2:16" ht="12.75">
      <c r="B1584" s="10">
        <v>46102</v>
      </c>
      <c r="C1584" s="11">
        <f>VLOOKUP(B:B,'Курс валют'!A:D,4,0)</f>
        <v>97.288600000000002</v>
      </c>
      <c r="D1584" s="57" t="s">
        <v>1300</v>
      </c>
      <c r="E1584" s="50" t="s">
        <v>101</v>
      </c>
      <c r="F1584" s="58">
        <v>800</v>
      </c>
      <c r="G1584" s="58">
        <v>806.95</v>
      </c>
      <c r="H1584" s="56">
        <v>0</v>
      </c>
      <c r="I1584" s="58">
        <f t="shared" si="150"/>
        <v>6.9500000000000455</v>
      </c>
      <c r="J1584" s="14">
        <f t="shared" si="144"/>
        <v>0.86875000000000568</v>
      </c>
      <c r="K1584" s="56">
        <v>2.5</v>
      </c>
      <c r="L1584" s="15">
        <f t="shared" si="145"/>
        <v>0</v>
      </c>
      <c r="M1584" s="16">
        <f t="shared" si="146"/>
        <v>243.22150000000002</v>
      </c>
      <c r="N1584" s="17">
        <f t="shared" si="147"/>
        <v>2.5</v>
      </c>
      <c r="O1584" s="17">
        <f t="shared" si="148"/>
        <v>2000</v>
      </c>
      <c r="P1584" s="18">
        <f t="shared" si="149"/>
        <v>194577.2</v>
      </c>
    </row>
    <row r="1585" spans="2:18" ht="12.75">
      <c r="B1585" s="10">
        <v>46102</v>
      </c>
      <c r="C1585" s="11">
        <f>VLOOKUP(B:B,'Курс валют'!A:D,4,0)</f>
        <v>97.288600000000002</v>
      </c>
      <c r="D1585" s="57" t="s">
        <v>1301</v>
      </c>
      <c r="E1585" s="50" t="s">
        <v>101</v>
      </c>
      <c r="F1585" s="58">
        <v>800</v>
      </c>
      <c r="G1585" s="58">
        <v>806.95</v>
      </c>
      <c r="H1585" s="56">
        <v>0</v>
      </c>
      <c r="I1585" s="58">
        <f t="shared" si="150"/>
        <v>6.9500000000000455</v>
      </c>
      <c r="J1585" s="14">
        <f t="shared" si="144"/>
        <v>0.86875000000000568</v>
      </c>
      <c r="K1585" s="56">
        <v>2.5</v>
      </c>
      <c r="L1585" s="15">
        <f t="shared" si="145"/>
        <v>0</v>
      </c>
      <c r="M1585" s="16">
        <f t="shared" si="146"/>
        <v>243.22150000000002</v>
      </c>
      <c r="N1585" s="17">
        <f t="shared" si="147"/>
        <v>2.5</v>
      </c>
      <c r="O1585" s="17">
        <f t="shared" si="148"/>
        <v>2000</v>
      </c>
      <c r="P1585" s="18">
        <f t="shared" si="149"/>
        <v>194577.2</v>
      </c>
    </row>
    <row r="1586" spans="2:18" ht="12.75">
      <c r="B1586" s="10">
        <v>46103</v>
      </c>
      <c r="C1586" s="11">
        <f>VLOOKUP(B:B,'Курс валют'!A:D,4,0)</f>
        <v>97.288600000000002</v>
      </c>
      <c r="D1586" s="57" t="s">
        <v>1302</v>
      </c>
      <c r="E1586" s="50" t="s">
        <v>50</v>
      </c>
      <c r="F1586" s="58">
        <v>800</v>
      </c>
      <c r="G1586" s="58">
        <v>804.95</v>
      </c>
      <c r="H1586" s="56">
        <v>0</v>
      </c>
      <c r="I1586" s="58">
        <f t="shared" si="150"/>
        <v>4.9500000000000455</v>
      </c>
      <c r="J1586" s="14">
        <f t="shared" si="144"/>
        <v>0.61875000000000568</v>
      </c>
      <c r="K1586" s="56">
        <v>1.97</v>
      </c>
      <c r="L1586" s="15">
        <f t="shared" si="145"/>
        <v>0</v>
      </c>
      <c r="M1586" s="16">
        <f t="shared" si="146"/>
        <v>191.65854200000001</v>
      </c>
      <c r="N1586" s="17">
        <f t="shared" si="147"/>
        <v>1.97</v>
      </c>
      <c r="O1586" s="17">
        <f t="shared" si="148"/>
        <v>1576</v>
      </c>
      <c r="P1586" s="18">
        <f t="shared" si="149"/>
        <v>153326.83360000001</v>
      </c>
    </row>
    <row r="1587" spans="2:18" ht="12.75">
      <c r="B1587" s="10">
        <v>46103</v>
      </c>
      <c r="C1587" s="11">
        <f>VLOOKUP(B:B,'Курс валют'!A:D,4,0)</f>
        <v>97.288600000000002</v>
      </c>
      <c r="D1587" s="57" t="s">
        <v>1303</v>
      </c>
      <c r="E1587" s="50" t="s">
        <v>50</v>
      </c>
      <c r="F1587" s="58">
        <v>800</v>
      </c>
      <c r="G1587" s="58">
        <v>804.95</v>
      </c>
      <c r="H1587" s="56">
        <v>0</v>
      </c>
      <c r="I1587" s="58">
        <f t="shared" si="150"/>
        <v>4.9500000000000455</v>
      </c>
      <c r="J1587" s="14">
        <f t="shared" si="144"/>
        <v>0.61875000000000568</v>
      </c>
      <c r="K1587" s="56">
        <v>1.96</v>
      </c>
      <c r="L1587" s="15">
        <f t="shared" si="145"/>
        <v>0</v>
      </c>
      <c r="M1587" s="16">
        <f t="shared" si="146"/>
        <v>190.68565600000002</v>
      </c>
      <c r="N1587" s="17">
        <f t="shared" si="147"/>
        <v>1.96</v>
      </c>
      <c r="O1587" s="17">
        <f t="shared" si="148"/>
        <v>1568</v>
      </c>
      <c r="P1587" s="18">
        <f t="shared" si="149"/>
        <v>152548.52480000001</v>
      </c>
    </row>
    <row r="1588" spans="2:18" ht="12.75">
      <c r="B1588" s="10">
        <v>46103</v>
      </c>
      <c r="C1588" s="11">
        <f>VLOOKUP(B:B,'Курс валют'!A:D,4,0)</f>
        <v>97.288600000000002</v>
      </c>
      <c r="D1588" s="57" t="s">
        <v>1304</v>
      </c>
      <c r="E1588" s="50" t="s">
        <v>50</v>
      </c>
      <c r="F1588" s="58">
        <v>800</v>
      </c>
      <c r="G1588" s="58">
        <v>804.95</v>
      </c>
      <c r="H1588" s="56">
        <v>0</v>
      </c>
      <c r="I1588" s="58">
        <f t="shared" si="150"/>
        <v>4.9500000000000455</v>
      </c>
      <c r="J1588" s="14">
        <f t="shared" si="144"/>
        <v>0.61875000000000568</v>
      </c>
      <c r="K1588" s="56">
        <v>1.96</v>
      </c>
      <c r="L1588" s="15">
        <f t="shared" si="145"/>
        <v>0</v>
      </c>
      <c r="M1588" s="16">
        <f t="shared" si="146"/>
        <v>190.68565600000002</v>
      </c>
      <c r="N1588" s="17">
        <f t="shared" si="147"/>
        <v>1.96</v>
      </c>
      <c r="O1588" s="17">
        <f t="shared" si="148"/>
        <v>1568</v>
      </c>
      <c r="P1588" s="18">
        <f t="shared" si="149"/>
        <v>152548.52480000001</v>
      </c>
    </row>
    <row r="1589" spans="2:18" ht="12.75">
      <c r="B1589" s="10">
        <v>46103</v>
      </c>
      <c r="C1589" s="11">
        <f>VLOOKUP(B:B,'Курс валют'!A:D,4,0)</f>
        <v>97.288600000000002</v>
      </c>
      <c r="D1589" s="57" t="s">
        <v>1305</v>
      </c>
      <c r="E1589" s="50" t="s">
        <v>50</v>
      </c>
      <c r="F1589" s="58">
        <v>800</v>
      </c>
      <c r="G1589" s="58">
        <v>804.95</v>
      </c>
      <c r="H1589" s="56">
        <v>0</v>
      </c>
      <c r="I1589" s="58">
        <f t="shared" si="150"/>
        <v>4.9500000000000455</v>
      </c>
      <c r="J1589" s="14">
        <f t="shared" si="144"/>
        <v>0.61875000000000568</v>
      </c>
      <c r="K1589" s="56">
        <v>1.96</v>
      </c>
      <c r="L1589" s="15">
        <f t="shared" si="145"/>
        <v>0</v>
      </c>
      <c r="M1589" s="16">
        <f t="shared" si="146"/>
        <v>190.68565600000002</v>
      </c>
      <c r="N1589" s="17">
        <f t="shared" si="147"/>
        <v>1.96</v>
      </c>
      <c r="O1589" s="17">
        <f t="shared" si="148"/>
        <v>1568</v>
      </c>
      <c r="P1589" s="18">
        <f t="shared" si="149"/>
        <v>152548.52480000001</v>
      </c>
    </row>
    <row r="1590" spans="2:18" ht="12.75">
      <c r="B1590" s="10">
        <v>46103</v>
      </c>
      <c r="C1590" s="11">
        <f>VLOOKUP(B:B,'Курс валют'!A:D,4,0)</f>
        <v>97.288600000000002</v>
      </c>
      <c r="D1590" s="57" t="s">
        <v>1306</v>
      </c>
      <c r="E1590" s="50" t="s">
        <v>50</v>
      </c>
      <c r="F1590" s="58">
        <v>800</v>
      </c>
      <c r="G1590" s="58">
        <v>804.95</v>
      </c>
      <c r="H1590" s="56">
        <v>0</v>
      </c>
      <c r="I1590" s="58">
        <f t="shared" si="150"/>
        <v>4.9500000000000455</v>
      </c>
      <c r="J1590" s="14">
        <f t="shared" si="144"/>
        <v>0.61875000000000568</v>
      </c>
      <c r="K1590" s="56">
        <v>1.97</v>
      </c>
      <c r="L1590" s="15">
        <f t="shared" si="145"/>
        <v>0</v>
      </c>
      <c r="M1590" s="16">
        <f t="shared" si="146"/>
        <v>191.65854200000001</v>
      </c>
      <c r="N1590" s="17">
        <f t="shared" si="147"/>
        <v>1.97</v>
      </c>
      <c r="O1590" s="17">
        <f t="shared" si="148"/>
        <v>1576</v>
      </c>
      <c r="P1590" s="18">
        <f t="shared" si="149"/>
        <v>153326.83360000001</v>
      </c>
    </row>
    <row r="1591" spans="2:18" ht="12.75">
      <c r="B1591" s="10">
        <v>46103</v>
      </c>
      <c r="C1591" s="11">
        <f>VLOOKUP(B:B,'Курс валют'!A:D,4,0)</f>
        <v>97.288600000000002</v>
      </c>
      <c r="D1591" s="57" t="s">
        <v>1307</v>
      </c>
      <c r="E1591" s="50" t="s">
        <v>50</v>
      </c>
      <c r="F1591" s="58">
        <v>800</v>
      </c>
      <c r="G1591" s="58">
        <v>804.95</v>
      </c>
      <c r="H1591" s="56">
        <v>0</v>
      </c>
      <c r="I1591" s="58">
        <f t="shared" si="150"/>
        <v>4.9500000000000455</v>
      </c>
      <c r="J1591" s="14">
        <f t="shared" si="144"/>
        <v>0.61875000000000568</v>
      </c>
      <c r="K1591" s="56">
        <v>1.96</v>
      </c>
      <c r="L1591" s="15">
        <f t="shared" si="145"/>
        <v>0</v>
      </c>
      <c r="M1591" s="16">
        <f t="shared" si="146"/>
        <v>190.68565600000002</v>
      </c>
      <c r="N1591" s="17">
        <f t="shared" si="147"/>
        <v>1.96</v>
      </c>
      <c r="O1591" s="17">
        <f t="shared" si="148"/>
        <v>1568</v>
      </c>
      <c r="P1591" s="18">
        <f t="shared" si="149"/>
        <v>152548.52480000001</v>
      </c>
    </row>
    <row r="1592" spans="2:18" ht="12.75">
      <c r="B1592" s="10">
        <v>46103</v>
      </c>
      <c r="C1592" s="11">
        <f>VLOOKUP(B:B,'Курс валют'!A:D,4,0)</f>
        <v>97.288600000000002</v>
      </c>
      <c r="D1592" s="57" t="s">
        <v>1308</v>
      </c>
      <c r="E1592" s="50" t="s">
        <v>50</v>
      </c>
      <c r="F1592" s="58">
        <v>800</v>
      </c>
      <c r="G1592" s="58">
        <v>804.95</v>
      </c>
      <c r="H1592" s="56">
        <v>0</v>
      </c>
      <c r="I1592" s="58">
        <f t="shared" si="150"/>
        <v>4.9500000000000455</v>
      </c>
      <c r="J1592" s="14">
        <f t="shared" si="144"/>
        <v>0.61875000000000568</v>
      </c>
      <c r="K1592" s="56">
        <v>1.96</v>
      </c>
      <c r="L1592" s="15">
        <f t="shared" si="145"/>
        <v>0</v>
      </c>
      <c r="M1592" s="16">
        <f t="shared" si="146"/>
        <v>190.68565600000002</v>
      </c>
      <c r="N1592" s="17">
        <f t="shared" si="147"/>
        <v>1.96</v>
      </c>
      <c r="O1592" s="17">
        <f t="shared" si="148"/>
        <v>1568</v>
      </c>
      <c r="P1592" s="18">
        <f t="shared" si="149"/>
        <v>152548.52480000001</v>
      </c>
    </row>
    <row r="1593" spans="2:18" ht="12.75">
      <c r="B1593" s="10">
        <v>46103</v>
      </c>
      <c r="C1593" s="11">
        <f>VLOOKUP(B:B,'Курс валют'!A:D,4,0)</f>
        <v>97.288600000000002</v>
      </c>
      <c r="D1593" s="57" t="s">
        <v>1309</v>
      </c>
      <c r="E1593" s="50" t="s">
        <v>50</v>
      </c>
      <c r="F1593" s="58">
        <v>800</v>
      </c>
      <c r="G1593" s="58">
        <v>804.95</v>
      </c>
      <c r="H1593" s="56">
        <v>0</v>
      </c>
      <c r="I1593" s="58">
        <f t="shared" si="150"/>
        <v>4.9500000000000455</v>
      </c>
      <c r="J1593" s="14">
        <f t="shared" si="144"/>
        <v>0.61875000000000568</v>
      </c>
      <c r="K1593" s="56">
        <v>1.97</v>
      </c>
      <c r="L1593" s="15">
        <f t="shared" si="145"/>
        <v>0</v>
      </c>
      <c r="M1593" s="16">
        <f t="shared" si="146"/>
        <v>191.65854200000001</v>
      </c>
      <c r="N1593" s="17">
        <f t="shared" si="147"/>
        <v>1.97</v>
      </c>
      <c r="O1593" s="17">
        <f t="shared" si="148"/>
        <v>1576</v>
      </c>
      <c r="P1593" s="18">
        <f t="shared" si="149"/>
        <v>153326.83360000001</v>
      </c>
    </row>
    <row r="1594" spans="2:18" ht="12.75">
      <c r="B1594" s="10">
        <v>46103</v>
      </c>
      <c r="C1594" s="11">
        <f>VLOOKUP(B:B,'Курс валют'!A:D,4,0)</f>
        <v>97.288600000000002</v>
      </c>
      <c r="D1594" s="57" t="s">
        <v>1310</v>
      </c>
      <c r="E1594" s="50" t="s">
        <v>50</v>
      </c>
      <c r="F1594" s="58">
        <v>800</v>
      </c>
      <c r="G1594" s="58">
        <v>804.95</v>
      </c>
      <c r="H1594" s="56">
        <v>0</v>
      </c>
      <c r="I1594" s="58">
        <f t="shared" si="150"/>
        <v>4.9500000000000455</v>
      </c>
      <c r="J1594" s="14">
        <f t="shared" si="144"/>
        <v>0.61875000000000568</v>
      </c>
      <c r="K1594" s="56">
        <v>1.96</v>
      </c>
      <c r="L1594" s="15">
        <f t="shared" si="145"/>
        <v>0</v>
      </c>
      <c r="M1594" s="16">
        <f t="shared" si="146"/>
        <v>190.68565600000002</v>
      </c>
      <c r="N1594" s="17">
        <f t="shared" si="147"/>
        <v>1.96</v>
      </c>
      <c r="O1594" s="17">
        <f t="shared" si="148"/>
        <v>1568</v>
      </c>
      <c r="P1594" s="18">
        <f t="shared" si="149"/>
        <v>152548.52480000001</v>
      </c>
    </row>
    <row r="1595" spans="2:18" ht="12.75">
      <c r="B1595" s="10">
        <v>46103</v>
      </c>
      <c r="C1595" s="11">
        <f>VLOOKUP(B:B,'Курс валют'!A:D,4,0)</f>
        <v>97.288600000000002</v>
      </c>
      <c r="D1595" s="57" t="s">
        <v>1311</v>
      </c>
      <c r="E1595" s="50" t="s">
        <v>50</v>
      </c>
      <c r="F1595" s="58">
        <v>800</v>
      </c>
      <c r="G1595" s="58">
        <v>804.95</v>
      </c>
      <c r="H1595" s="56">
        <v>0</v>
      </c>
      <c r="I1595" s="58">
        <f t="shared" si="150"/>
        <v>4.9500000000000455</v>
      </c>
      <c r="J1595" s="14">
        <f t="shared" si="144"/>
        <v>0.61875000000000568</v>
      </c>
      <c r="K1595" s="56">
        <v>1.97</v>
      </c>
      <c r="L1595" s="15">
        <f t="shared" si="145"/>
        <v>0</v>
      </c>
      <c r="M1595" s="16">
        <f t="shared" si="146"/>
        <v>191.65854200000001</v>
      </c>
      <c r="N1595" s="17">
        <f t="shared" si="147"/>
        <v>1.97</v>
      </c>
      <c r="O1595" s="17">
        <f t="shared" si="148"/>
        <v>1576</v>
      </c>
      <c r="P1595" s="18">
        <f t="shared" si="149"/>
        <v>153326.83360000001</v>
      </c>
    </row>
    <row r="1596" spans="2:18" ht="12.75">
      <c r="B1596" s="10">
        <v>46103</v>
      </c>
      <c r="C1596" s="11">
        <f>VLOOKUP(B:B,'Курс валют'!A:D,4,0)</f>
        <v>97.288600000000002</v>
      </c>
      <c r="D1596" s="57" t="s">
        <v>1312</v>
      </c>
      <c r="E1596" s="50" t="s">
        <v>101</v>
      </c>
      <c r="F1596" s="58">
        <v>800</v>
      </c>
      <c r="G1596" s="58">
        <v>806.95</v>
      </c>
      <c r="H1596" s="56">
        <v>0</v>
      </c>
      <c r="I1596" s="58">
        <f t="shared" si="150"/>
        <v>6.9500000000000455</v>
      </c>
      <c r="J1596" s="14">
        <f t="shared" si="144"/>
        <v>0.86875000000000568</v>
      </c>
      <c r="K1596" s="56">
        <v>2.5</v>
      </c>
      <c r="L1596" s="15">
        <f t="shared" si="145"/>
        <v>0</v>
      </c>
      <c r="M1596" s="16">
        <f t="shared" si="146"/>
        <v>243.22150000000002</v>
      </c>
      <c r="N1596" s="17">
        <f t="shared" si="147"/>
        <v>2.5</v>
      </c>
      <c r="O1596" s="17">
        <f t="shared" si="148"/>
        <v>2000</v>
      </c>
      <c r="P1596" s="18">
        <f t="shared" si="149"/>
        <v>194577.2</v>
      </c>
    </row>
    <row r="1597" spans="2:18" ht="12.75">
      <c r="B1597" s="10">
        <v>46103</v>
      </c>
      <c r="C1597" s="11">
        <f>VLOOKUP(B:B,'Курс валют'!A:D,4,0)</f>
        <v>97.288600000000002</v>
      </c>
      <c r="D1597" s="57" t="s">
        <v>1313</v>
      </c>
      <c r="E1597" s="50" t="s">
        <v>101</v>
      </c>
      <c r="F1597" s="58">
        <v>800</v>
      </c>
      <c r="G1597" s="58">
        <v>806.95</v>
      </c>
      <c r="H1597" s="56">
        <v>0</v>
      </c>
      <c r="I1597" s="58">
        <f t="shared" si="150"/>
        <v>6.9500000000000455</v>
      </c>
      <c r="J1597" s="14">
        <f t="shared" si="144"/>
        <v>0.86875000000000568</v>
      </c>
      <c r="K1597" s="56">
        <v>2.5</v>
      </c>
      <c r="L1597" s="15">
        <f t="shared" si="145"/>
        <v>0</v>
      </c>
      <c r="M1597" s="16">
        <f t="shared" si="146"/>
        <v>243.22150000000002</v>
      </c>
      <c r="N1597" s="17">
        <f t="shared" si="147"/>
        <v>2.5</v>
      </c>
      <c r="O1597" s="17">
        <f t="shared" si="148"/>
        <v>2000</v>
      </c>
      <c r="P1597" s="18">
        <f t="shared" si="149"/>
        <v>194577.2</v>
      </c>
    </row>
    <row r="1598" spans="2:18" ht="12.75">
      <c r="B1598" s="10">
        <v>46103</v>
      </c>
      <c r="C1598" s="11">
        <f>VLOOKUP(B:B,'Курс валют'!A:D,4,0)</f>
        <v>97.288600000000002</v>
      </c>
      <c r="D1598" s="57" t="s">
        <v>1314</v>
      </c>
      <c r="E1598" s="50" t="s">
        <v>101</v>
      </c>
      <c r="F1598" s="58">
        <v>800</v>
      </c>
      <c r="G1598" s="58">
        <v>806.95</v>
      </c>
      <c r="H1598" s="56">
        <v>0</v>
      </c>
      <c r="I1598" s="58">
        <f t="shared" si="150"/>
        <v>6.9500000000000455</v>
      </c>
      <c r="J1598" s="14">
        <f t="shared" si="144"/>
        <v>0.86875000000000568</v>
      </c>
      <c r="K1598" s="56">
        <v>2.5</v>
      </c>
      <c r="L1598" s="15">
        <f t="shared" si="145"/>
        <v>0</v>
      </c>
      <c r="M1598" s="16">
        <f t="shared" si="146"/>
        <v>243.22150000000002</v>
      </c>
      <c r="N1598" s="17">
        <f t="shared" si="147"/>
        <v>2.5</v>
      </c>
      <c r="O1598" s="17">
        <f t="shared" si="148"/>
        <v>2000</v>
      </c>
      <c r="P1598" s="18">
        <f t="shared" si="149"/>
        <v>194577.2</v>
      </c>
    </row>
    <row r="1599" spans="2:18" ht="12.75">
      <c r="B1599" s="10">
        <v>46103</v>
      </c>
      <c r="C1599" s="11">
        <f>VLOOKUP(B:B,'Курс валют'!A:D,4,0)</f>
        <v>97.288600000000002</v>
      </c>
      <c r="D1599" s="57" t="s">
        <v>1315</v>
      </c>
      <c r="E1599" s="50" t="s">
        <v>101</v>
      </c>
      <c r="F1599" s="58">
        <v>800</v>
      </c>
      <c r="G1599" s="58">
        <v>806.95</v>
      </c>
      <c r="H1599" s="56">
        <v>0</v>
      </c>
      <c r="I1599" s="58">
        <f t="shared" si="150"/>
        <v>6.9500000000000455</v>
      </c>
      <c r="J1599" s="14">
        <f t="shared" si="144"/>
        <v>0.86875000000000568</v>
      </c>
      <c r="K1599" s="56">
        <v>2.5</v>
      </c>
      <c r="L1599" s="15">
        <f t="shared" si="145"/>
        <v>0</v>
      </c>
      <c r="M1599" s="16">
        <f t="shared" si="146"/>
        <v>243.22150000000002</v>
      </c>
      <c r="N1599" s="17">
        <f t="shared" si="147"/>
        <v>2.5</v>
      </c>
      <c r="O1599" s="17">
        <f t="shared" si="148"/>
        <v>2000</v>
      </c>
      <c r="P1599" s="18">
        <f t="shared" si="149"/>
        <v>194577.2</v>
      </c>
    </row>
    <row r="1600" spans="2:18" ht="12.75">
      <c r="B1600" s="10">
        <v>46105</v>
      </c>
      <c r="C1600" s="11">
        <f>VLOOKUP(B:B,'Курс валют'!A:D,4,0)</f>
        <v>94.726399999999998</v>
      </c>
      <c r="D1600" s="57" t="s">
        <v>1316</v>
      </c>
      <c r="E1600" s="50" t="s">
        <v>207</v>
      </c>
      <c r="F1600" s="58">
        <v>200</v>
      </c>
      <c r="G1600" s="58">
        <v>200</v>
      </c>
      <c r="H1600" s="56">
        <v>0</v>
      </c>
      <c r="I1600" s="58">
        <f t="shared" si="150"/>
        <v>0</v>
      </c>
      <c r="J1600" s="14">
        <f t="shared" si="144"/>
        <v>0</v>
      </c>
      <c r="K1600" s="56">
        <v>2.7</v>
      </c>
      <c r="L1600" s="15">
        <f t="shared" si="145"/>
        <v>0</v>
      </c>
      <c r="M1600" s="16">
        <f t="shared" si="146"/>
        <v>255.76128</v>
      </c>
      <c r="N1600" s="17">
        <f t="shared" si="147"/>
        <v>2.7</v>
      </c>
      <c r="O1600" s="17">
        <f t="shared" si="148"/>
        <v>540</v>
      </c>
      <c r="P1600" s="18">
        <f t="shared" si="149"/>
        <v>51152.256000000001</v>
      </c>
      <c r="R1600" s="33" t="s">
        <v>1317</v>
      </c>
    </row>
    <row r="1601" spans="2:18" ht="12.75">
      <c r="B1601" s="10">
        <v>46105</v>
      </c>
      <c r="C1601" s="11">
        <f>VLOOKUP(B:B,'Курс валют'!A:D,4,0)</f>
        <v>94.726399999999998</v>
      </c>
      <c r="D1601" s="57" t="s">
        <v>1318</v>
      </c>
      <c r="E1601" s="50" t="s">
        <v>70</v>
      </c>
      <c r="F1601" s="58">
        <v>16</v>
      </c>
      <c r="G1601" s="58">
        <v>16</v>
      </c>
      <c r="H1601" s="56">
        <v>0</v>
      </c>
      <c r="I1601" s="58">
        <f t="shared" si="150"/>
        <v>0</v>
      </c>
      <c r="J1601" s="14">
        <f t="shared" si="144"/>
        <v>0</v>
      </c>
      <c r="K1601" s="56">
        <v>2.69</v>
      </c>
      <c r="L1601" s="15">
        <f t="shared" si="145"/>
        <v>0</v>
      </c>
      <c r="M1601" s="16">
        <f t="shared" si="146"/>
        <v>254.81401599999998</v>
      </c>
      <c r="N1601" s="17">
        <f t="shared" si="147"/>
        <v>2.69</v>
      </c>
      <c r="O1601" s="17">
        <f t="shared" si="148"/>
        <v>43.04</v>
      </c>
      <c r="P1601" s="18">
        <f t="shared" si="149"/>
        <v>4077.0242559999997</v>
      </c>
      <c r="R1601" s="33" t="s">
        <v>1319</v>
      </c>
    </row>
    <row r="1602" spans="2:18" ht="12.75">
      <c r="B1602" s="10">
        <v>46105</v>
      </c>
      <c r="C1602" s="11">
        <f>VLOOKUP(B:B,'Курс валют'!A:D,4,0)</f>
        <v>94.726399999999998</v>
      </c>
      <c r="D1602" s="57" t="s">
        <v>1320</v>
      </c>
      <c r="E1602" s="50" t="s">
        <v>79</v>
      </c>
      <c r="F1602" s="58">
        <v>940</v>
      </c>
      <c r="G1602" s="58">
        <v>940</v>
      </c>
      <c r="H1602" s="56">
        <v>0</v>
      </c>
      <c r="I1602" s="58">
        <f t="shared" si="150"/>
        <v>0</v>
      </c>
      <c r="J1602" s="14">
        <f t="shared" si="144"/>
        <v>0</v>
      </c>
      <c r="K1602" s="56">
        <v>2.62</v>
      </c>
      <c r="L1602" s="15">
        <f t="shared" si="145"/>
        <v>0</v>
      </c>
      <c r="M1602" s="16">
        <f t="shared" si="146"/>
        <v>248.18316800000002</v>
      </c>
      <c r="N1602" s="17">
        <f t="shared" si="147"/>
        <v>2.62</v>
      </c>
      <c r="O1602" s="17">
        <f t="shared" si="148"/>
        <v>2462.8000000000002</v>
      </c>
      <c r="P1602" s="18">
        <f t="shared" si="149"/>
        <v>233292.17792000002</v>
      </c>
      <c r="R1602" s="33" t="s">
        <v>1321</v>
      </c>
    </row>
    <row r="1603" spans="2:18" ht="12.75">
      <c r="B1603" s="10">
        <v>46106</v>
      </c>
      <c r="C1603" s="11">
        <f>VLOOKUP(B:B,'Курс валют'!A:D,4,0)</f>
        <v>93.924700000000001</v>
      </c>
      <c r="D1603" s="57" t="s">
        <v>1322</v>
      </c>
      <c r="E1603" s="50" t="s">
        <v>51</v>
      </c>
      <c r="F1603" s="58">
        <v>800</v>
      </c>
      <c r="G1603" s="58">
        <v>805.04</v>
      </c>
      <c r="H1603" s="56">
        <v>0</v>
      </c>
      <c r="I1603" s="58">
        <f t="shared" si="150"/>
        <v>5.0399999999999636</v>
      </c>
      <c r="J1603" s="14">
        <f t="shared" si="144"/>
        <v>0.62999999999999545</v>
      </c>
      <c r="K1603" s="56">
        <v>2</v>
      </c>
      <c r="L1603" s="15">
        <f t="shared" si="145"/>
        <v>0</v>
      </c>
      <c r="M1603" s="16">
        <f t="shared" si="146"/>
        <v>187.84939999999997</v>
      </c>
      <c r="N1603" s="17">
        <f t="shared" si="147"/>
        <v>2</v>
      </c>
      <c r="O1603" s="17">
        <f t="shared" si="148"/>
        <v>1600</v>
      </c>
      <c r="P1603" s="18">
        <f t="shared" si="149"/>
        <v>150279.51999999999</v>
      </c>
    </row>
    <row r="1604" spans="2:18" ht="12.75">
      <c r="B1604" s="10">
        <v>46106</v>
      </c>
      <c r="C1604" s="11">
        <f>VLOOKUP(B:B,'Курс валют'!A:D,4,0)</f>
        <v>93.924700000000001</v>
      </c>
      <c r="D1604" s="57" t="s">
        <v>1323</v>
      </c>
      <c r="E1604" s="50" t="s">
        <v>51</v>
      </c>
      <c r="F1604" s="58">
        <v>800</v>
      </c>
      <c r="G1604" s="58">
        <v>805.04</v>
      </c>
      <c r="H1604" s="56">
        <v>0</v>
      </c>
      <c r="I1604" s="58">
        <f t="shared" si="150"/>
        <v>5.0399999999999636</v>
      </c>
      <c r="J1604" s="14">
        <f t="shared" si="144"/>
        <v>0.62999999999999545</v>
      </c>
      <c r="K1604" s="56">
        <v>1.99</v>
      </c>
      <c r="L1604" s="15">
        <f t="shared" si="145"/>
        <v>0</v>
      </c>
      <c r="M1604" s="16">
        <f t="shared" si="146"/>
        <v>186.91015299999998</v>
      </c>
      <c r="N1604" s="17">
        <f t="shared" si="147"/>
        <v>1.99</v>
      </c>
      <c r="O1604" s="17">
        <f t="shared" si="148"/>
        <v>1592</v>
      </c>
      <c r="P1604" s="18">
        <f t="shared" si="149"/>
        <v>149528.12239999999</v>
      </c>
    </row>
    <row r="1605" spans="2:18" ht="12.75">
      <c r="B1605" s="10">
        <v>46106</v>
      </c>
      <c r="C1605" s="11">
        <f>VLOOKUP(B:B,'Курс валют'!A:D,4,0)</f>
        <v>93.924700000000001</v>
      </c>
      <c r="D1605" s="57" t="s">
        <v>1324</v>
      </c>
      <c r="E1605" s="50" t="s">
        <v>51</v>
      </c>
      <c r="F1605" s="58">
        <v>800</v>
      </c>
      <c r="G1605" s="58">
        <v>805.04</v>
      </c>
      <c r="H1605" s="56">
        <v>0</v>
      </c>
      <c r="I1605" s="58">
        <f t="shared" si="150"/>
        <v>5.0399999999999636</v>
      </c>
      <c r="J1605" s="14">
        <f t="shared" si="144"/>
        <v>0.62999999999999545</v>
      </c>
      <c r="K1605" s="56">
        <v>1.98</v>
      </c>
      <c r="L1605" s="15">
        <f t="shared" si="145"/>
        <v>0</v>
      </c>
      <c r="M1605" s="16">
        <f t="shared" si="146"/>
        <v>185.97090599999999</v>
      </c>
      <c r="N1605" s="17">
        <f t="shared" si="147"/>
        <v>1.98</v>
      </c>
      <c r="O1605" s="17">
        <f t="shared" si="148"/>
        <v>1584</v>
      </c>
      <c r="P1605" s="18">
        <f t="shared" si="149"/>
        <v>148776.7248</v>
      </c>
    </row>
    <row r="1606" spans="2:18" ht="12.75">
      <c r="B1606" s="10">
        <v>46106</v>
      </c>
      <c r="C1606" s="11">
        <f>VLOOKUP(B:B,'Курс валют'!A:D,4,0)</f>
        <v>93.924700000000001</v>
      </c>
      <c r="D1606" s="57" t="s">
        <v>1325</v>
      </c>
      <c r="E1606" s="50" t="s">
        <v>51</v>
      </c>
      <c r="F1606" s="58">
        <v>800</v>
      </c>
      <c r="G1606" s="58">
        <v>805.04</v>
      </c>
      <c r="H1606" s="56">
        <v>0</v>
      </c>
      <c r="I1606" s="58">
        <f t="shared" si="150"/>
        <v>5.0399999999999636</v>
      </c>
      <c r="J1606" s="14">
        <f t="shared" si="144"/>
        <v>0.62999999999999545</v>
      </c>
      <c r="K1606" s="56">
        <v>1.92</v>
      </c>
      <c r="L1606" s="15">
        <f t="shared" si="145"/>
        <v>0</v>
      </c>
      <c r="M1606" s="16">
        <f t="shared" si="146"/>
        <v>180.33542399999999</v>
      </c>
      <c r="N1606" s="17">
        <f t="shared" si="147"/>
        <v>1.92</v>
      </c>
      <c r="O1606" s="17">
        <f t="shared" si="148"/>
        <v>1536</v>
      </c>
      <c r="P1606" s="18">
        <f t="shared" si="149"/>
        <v>144268.33919999999</v>
      </c>
    </row>
    <row r="1607" spans="2:18" ht="12.75">
      <c r="B1607" s="10">
        <v>46106</v>
      </c>
      <c r="C1607" s="11">
        <f>VLOOKUP(B:B,'Курс валют'!A:D,4,0)</f>
        <v>93.924700000000001</v>
      </c>
      <c r="D1607" s="57" t="s">
        <v>1326</v>
      </c>
      <c r="E1607" s="50" t="s">
        <v>51</v>
      </c>
      <c r="F1607" s="58">
        <v>800</v>
      </c>
      <c r="G1607" s="58">
        <v>805.04</v>
      </c>
      <c r="H1607" s="56">
        <v>0</v>
      </c>
      <c r="I1607" s="58">
        <f t="shared" si="150"/>
        <v>5.0399999999999636</v>
      </c>
      <c r="J1607" s="14">
        <f t="shared" si="144"/>
        <v>0.62999999999999545</v>
      </c>
      <c r="K1607" s="56">
        <v>1.93</v>
      </c>
      <c r="L1607" s="15">
        <f t="shared" si="145"/>
        <v>0</v>
      </c>
      <c r="M1607" s="16">
        <f t="shared" si="146"/>
        <v>181.27467100000001</v>
      </c>
      <c r="N1607" s="17">
        <f t="shared" si="147"/>
        <v>1.93</v>
      </c>
      <c r="O1607" s="17">
        <f t="shared" si="148"/>
        <v>1544</v>
      </c>
      <c r="P1607" s="18">
        <f t="shared" si="149"/>
        <v>145019.73680000001</v>
      </c>
    </row>
    <row r="1608" spans="2:18" ht="12.75">
      <c r="B1608" s="10">
        <v>46106</v>
      </c>
      <c r="C1608" s="11">
        <f>VLOOKUP(B:B,'Курс валют'!A:D,4,0)</f>
        <v>93.924700000000001</v>
      </c>
      <c r="D1608" s="57" t="s">
        <v>1327</v>
      </c>
      <c r="E1608" s="50" t="s">
        <v>51</v>
      </c>
      <c r="F1608" s="58">
        <v>800</v>
      </c>
      <c r="G1608" s="58">
        <v>805.04</v>
      </c>
      <c r="H1608" s="56">
        <v>0</v>
      </c>
      <c r="I1608" s="58">
        <f t="shared" si="150"/>
        <v>5.0399999999999636</v>
      </c>
      <c r="J1608" s="14">
        <f t="shared" si="144"/>
        <v>0.62999999999999545</v>
      </c>
      <c r="K1608" s="56">
        <v>1.92</v>
      </c>
      <c r="L1608" s="15">
        <f t="shared" si="145"/>
        <v>0</v>
      </c>
      <c r="M1608" s="16">
        <f t="shared" si="146"/>
        <v>180.33542399999999</v>
      </c>
      <c r="N1608" s="17">
        <f t="shared" si="147"/>
        <v>1.92</v>
      </c>
      <c r="O1608" s="17">
        <f t="shared" si="148"/>
        <v>1536</v>
      </c>
      <c r="P1608" s="18">
        <f t="shared" si="149"/>
        <v>144268.33919999999</v>
      </c>
    </row>
    <row r="1609" spans="2:18" ht="12.75">
      <c r="B1609" s="10">
        <v>46106</v>
      </c>
      <c r="C1609" s="11">
        <f>VLOOKUP(B:B,'Курс валют'!A:D,4,0)</f>
        <v>93.924700000000001</v>
      </c>
      <c r="D1609" s="57" t="s">
        <v>1328</v>
      </c>
      <c r="E1609" s="50" t="s">
        <v>51</v>
      </c>
      <c r="F1609" s="58">
        <v>800</v>
      </c>
      <c r="G1609" s="58">
        <v>805.04</v>
      </c>
      <c r="H1609" s="56">
        <v>0</v>
      </c>
      <c r="I1609" s="58">
        <f t="shared" si="150"/>
        <v>5.0399999999999636</v>
      </c>
      <c r="J1609" s="14">
        <f t="shared" si="144"/>
        <v>0.62999999999999545</v>
      </c>
      <c r="K1609" s="56">
        <v>1.92</v>
      </c>
      <c r="L1609" s="15">
        <f t="shared" si="145"/>
        <v>0</v>
      </c>
      <c r="M1609" s="16">
        <f t="shared" si="146"/>
        <v>180.33542399999999</v>
      </c>
      <c r="N1609" s="17">
        <f t="shared" si="147"/>
        <v>1.92</v>
      </c>
      <c r="O1609" s="17">
        <f t="shared" si="148"/>
        <v>1536</v>
      </c>
      <c r="P1609" s="18">
        <f t="shared" si="149"/>
        <v>144268.33919999999</v>
      </c>
    </row>
    <row r="1610" spans="2:18" ht="12.75">
      <c r="B1610" s="10">
        <v>46106</v>
      </c>
      <c r="C1610" s="11">
        <f>VLOOKUP(B:B,'Курс валют'!A:D,4,0)</f>
        <v>93.924700000000001</v>
      </c>
      <c r="D1610" s="57" t="s">
        <v>1329</v>
      </c>
      <c r="E1610" s="50" t="s">
        <v>51</v>
      </c>
      <c r="F1610" s="58">
        <v>800</v>
      </c>
      <c r="G1610" s="58">
        <v>805.04</v>
      </c>
      <c r="H1610" s="56">
        <v>0</v>
      </c>
      <c r="I1610" s="58">
        <f t="shared" si="150"/>
        <v>5.0399999999999636</v>
      </c>
      <c r="J1610" s="14">
        <f t="shared" si="144"/>
        <v>0.62999999999999545</v>
      </c>
      <c r="K1610" s="56">
        <v>1.93</v>
      </c>
      <c r="L1610" s="15">
        <f t="shared" si="145"/>
        <v>0</v>
      </c>
      <c r="M1610" s="16">
        <f t="shared" si="146"/>
        <v>181.27467100000001</v>
      </c>
      <c r="N1610" s="17">
        <f t="shared" si="147"/>
        <v>1.93</v>
      </c>
      <c r="O1610" s="17">
        <f t="shared" si="148"/>
        <v>1544</v>
      </c>
      <c r="P1610" s="18">
        <f t="shared" si="149"/>
        <v>145019.73680000001</v>
      </c>
    </row>
    <row r="1611" spans="2:18" ht="12.75">
      <c r="B1611" s="10">
        <v>46106</v>
      </c>
      <c r="C1611" s="11">
        <f>VLOOKUP(B:B,'Курс валют'!A:D,4,0)</f>
        <v>93.924700000000001</v>
      </c>
      <c r="D1611" s="57" t="s">
        <v>1330</v>
      </c>
      <c r="E1611" s="50" t="s">
        <v>51</v>
      </c>
      <c r="F1611" s="58">
        <v>800</v>
      </c>
      <c r="G1611" s="58">
        <v>805.04</v>
      </c>
      <c r="H1611" s="56">
        <v>0</v>
      </c>
      <c r="I1611" s="58">
        <f t="shared" si="150"/>
        <v>5.0399999999999636</v>
      </c>
      <c r="J1611" s="14">
        <f t="shared" si="144"/>
        <v>0.62999999999999545</v>
      </c>
      <c r="K1611" s="56">
        <v>1.92</v>
      </c>
      <c r="L1611" s="15">
        <f t="shared" si="145"/>
        <v>0</v>
      </c>
      <c r="M1611" s="16">
        <f t="shared" si="146"/>
        <v>180.33542399999999</v>
      </c>
      <c r="N1611" s="17">
        <f t="shared" si="147"/>
        <v>1.92</v>
      </c>
      <c r="O1611" s="17">
        <f t="shared" si="148"/>
        <v>1536</v>
      </c>
      <c r="P1611" s="18">
        <f t="shared" si="149"/>
        <v>144268.33919999999</v>
      </c>
    </row>
    <row r="1612" spans="2:18" ht="12.75">
      <c r="B1612" s="10">
        <v>46106</v>
      </c>
      <c r="C1612" s="11">
        <f>VLOOKUP(B:B,'Курс валют'!A:D,4,0)</f>
        <v>93.924700000000001</v>
      </c>
      <c r="D1612" s="57" t="s">
        <v>1331</v>
      </c>
      <c r="E1612" s="50" t="s">
        <v>51</v>
      </c>
      <c r="F1612" s="58">
        <v>800</v>
      </c>
      <c r="G1612" s="58">
        <v>805.04</v>
      </c>
      <c r="H1612" s="56">
        <v>0</v>
      </c>
      <c r="I1612" s="58">
        <f t="shared" si="150"/>
        <v>5.0399999999999636</v>
      </c>
      <c r="J1612" s="14">
        <f t="shared" si="144"/>
        <v>0.62999999999999545</v>
      </c>
      <c r="K1612" s="56">
        <v>1.93</v>
      </c>
      <c r="L1612" s="15">
        <f t="shared" si="145"/>
        <v>0</v>
      </c>
      <c r="M1612" s="16">
        <f t="shared" si="146"/>
        <v>181.27467100000001</v>
      </c>
      <c r="N1612" s="17">
        <f t="shared" si="147"/>
        <v>1.93</v>
      </c>
      <c r="O1612" s="17">
        <f t="shared" si="148"/>
        <v>1544</v>
      </c>
      <c r="P1612" s="18">
        <f t="shared" si="149"/>
        <v>145019.73680000001</v>
      </c>
    </row>
    <row r="1613" spans="2:18" ht="12.75">
      <c r="B1613" s="10">
        <v>46106</v>
      </c>
      <c r="C1613" s="11">
        <f>VLOOKUP(B:B,'Курс валют'!A:D,4,0)</f>
        <v>93.924700000000001</v>
      </c>
      <c r="D1613" s="57" t="s">
        <v>1332</v>
      </c>
      <c r="E1613" s="50" t="s">
        <v>89</v>
      </c>
      <c r="F1613" s="58">
        <v>800</v>
      </c>
      <c r="G1613" s="58">
        <v>800</v>
      </c>
      <c r="H1613" s="56">
        <v>0</v>
      </c>
      <c r="I1613" s="58">
        <f t="shared" si="150"/>
        <v>0</v>
      </c>
      <c r="J1613" s="14">
        <f t="shared" si="144"/>
        <v>0</v>
      </c>
      <c r="K1613" s="56">
        <v>2.98</v>
      </c>
      <c r="L1613" s="15">
        <f t="shared" si="145"/>
        <v>0</v>
      </c>
      <c r="M1613" s="16">
        <f t="shared" si="146"/>
        <v>279.89560599999999</v>
      </c>
      <c r="N1613" s="17">
        <f t="shared" si="147"/>
        <v>2.98</v>
      </c>
      <c r="O1613" s="17">
        <f t="shared" si="148"/>
        <v>2384</v>
      </c>
      <c r="P1613" s="18">
        <f t="shared" si="149"/>
        <v>223916.48480000001</v>
      </c>
      <c r="R1613" s="33" t="s">
        <v>1333</v>
      </c>
    </row>
    <row r="1614" spans="2:18" ht="12.75">
      <c r="B1614" s="10">
        <v>46106</v>
      </c>
      <c r="C1614" s="11">
        <f>VLOOKUP(B:B,'Курс валют'!A:D,4,0)</f>
        <v>93.924700000000001</v>
      </c>
      <c r="D1614" s="57" t="s">
        <v>1332</v>
      </c>
      <c r="E1614" s="50" t="s">
        <v>1092</v>
      </c>
      <c r="F1614" s="58">
        <v>200</v>
      </c>
      <c r="G1614" s="58">
        <v>200</v>
      </c>
      <c r="H1614" s="56">
        <v>0</v>
      </c>
      <c r="I1614" s="58">
        <f t="shared" si="150"/>
        <v>0</v>
      </c>
      <c r="J1614" s="14">
        <f t="shared" si="144"/>
        <v>0</v>
      </c>
      <c r="K1614" s="56">
        <v>2.98</v>
      </c>
      <c r="L1614" s="15">
        <f t="shared" si="145"/>
        <v>0</v>
      </c>
      <c r="M1614" s="16">
        <f t="shared" si="146"/>
        <v>279.89560599999999</v>
      </c>
      <c r="N1614" s="17">
        <f t="shared" si="147"/>
        <v>2.98</v>
      </c>
      <c r="O1614" s="17">
        <f t="shared" si="148"/>
        <v>596</v>
      </c>
      <c r="P1614" s="18">
        <f t="shared" si="149"/>
        <v>55979.121200000001</v>
      </c>
      <c r="R1614" s="33" t="s">
        <v>1333</v>
      </c>
    </row>
    <row r="1615" spans="2:18" ht="12.75">
      <c r="B1615" s="10">
        <v>46106</v>
      </c>
      <c r="C1615" s="11">
        <f>VLOOKUP(B:B,'Курс валют'!A:D,4,0)</f>
        <v>93.924700000000001</v>
      </c>
      <c r="D1615" s="57" t="s">
        <v>1334</v>
      </c>
      <c r="E1615" s="50" t="s">
        <v>115</v>
      </c>
      <c r="F1615" s="58">
        <v>192.4</v>
      </c>
      <c r="G1615" s="58">
        <v>199.32</v>
      </c>
      <c r="H1615" s="56">
        <v>0</v>
      </c>
      <c r="I1615" s="58">
        <f t="shared" si="150"/>
        <v>6.9199999999999875</v>
      </c>
      <c r="J1615" s="14">
        <f t="shared" si="144"/>
        <v>3.5966735966735901</v>
      </c>
      <c r="K1615" s="56">
        <v>1.83</v>
      </c>
      <c r="L1615" s="15">
        <f t="shared" si="145"/>
        <v>0</v>
      </c>
      <c r="M1615" s="16">
        <f t="shared" si="146"/>
        <v>171.88220100000001</v>
      </c>
      <c r="N1615" s="17">
        <f t="shared" si="147"/>
        <v>1.83</v>
      </c>
      <c r="O1615" s="17">
        <f t="shared" si="148"/>
        <v>352.09200000000004</v>
      </c>
      <c r="P1615" s="18">
        <f t="shared" si="149"/>
        <v>33070.135472400005</v>
      </c>
    </row>
    <row r="1616" spans="2:18" ht="12.75">
      <c r="B1616" s="10">
        <v>46107</v>
      </c>
      <c r="C1616" s="11">
        <f>VLOOKUP(B:B,'Курс валют'!A:D,4,0)</f>
        <v>93.809700000000007</v>
      </c>
      <c r="D1616" s="57" t="s">
        <v>1335</v>
      </c>
      <c r="E1616" s="50" t="s">
        <v>15</v>
      </c>
      <c r="F1616" s="58">
        <v>1100</v>
      </c>
      <c r="G1616" s="13">
        <v>1104.7</v>
      </c>
      <c r="H1616" s="56">
        <v>484.5</v>
      </c>
      <c r="I1616" s="13">
        <f t="shared" si="150"/>
        <v>4.7000000000000455</v>
      </c>
      <c r="J1616" s="14">
        <f t="shared" si="144"/>
        <v>0.42727272727273141</v>
      </c>
      <c r="K1616" s="56">
        <v>3.53</v>
      </c>
      <c r="L1616" s="15">
        <f t="shared" si="145"/>
        <v>44.045454545454547</v>
      </c>
      <c r="M1616" s="16">
        <f t="shared" si="146"/>
        <v>205.5387583309091</v>
      </c>
      <c r="N1616" s="17">
        <f t="shared" si="147"/>
        <v>2.1910181818181815</v>
      </c>
      <c r="O1616" s="17">
        <f t="shared" si="148"/>
        <v>2410.12</v>
      </c>
      <c r="P1616" s="18">
        <f t="shared" si="149"/>
        <v>226092.63416400002</v>
      </c>
    </row>
    <row r="1617" spans="2:16" ht="12.75">
      <c r="B1617" s="10">
        <v>46107</v>
      </c>
      <c r="C1617" s="11">
        <f>VLOOKUP(B:B,'Курс валют'!A:D,4,0)</f>
        <v>93.809700000000007</v>
      </c>
      <c r="D1617" s="57" t="s">
        <v>1336</v>
      </c>
      <c r="E1617" s="50" t="s">
        <v>15</v>
      </c>
      <c r="F1617" s="58">
        <v>1100</v>
      </c>
      <c r="G1617" s="13">
        <v>1104.7</v>
      </c>
      <c r="H1617" s="56">
        <v>484.5</v>
      </c>
      <c r="I1617" s="13">
        <f t="shared" si="150"/>
        <v>4.7000000000000455</v>
      </c>
      <c r="J1617" s="14">
        <f t="shared" si="144"/>
        <v>0.42727272727273141</v>
      </c>
      <c r="K1617" s="56">
        <v>3.57</v>
      </c>
      <c r="L1617" s="15">
        <f t="shared" si="145"/>
        <v>44.045454545454547</v>
      </c>
      <c r="M1617" s="16">
        <f t="shared" si="146"/>
        <v>209.2911463309091</v>
      </c>
      <c r="N1617" s="17">
        <f t="shared" si="147"/>
        <v>2.2310181818181816</v>
      </c>
      <c r="O1617" s="17">
        <f t="shared" si="148"/>
        <v>2454.12</v>
      </c>
      <c r="P1617" s="18">
        <f t="shared" si="149"/>
        <v>230220.26096400002</v>
      </c>
    </row>
    <row r="1618" spans="2:16" ht="12.75">
      <c r="B1618" s="10">
        <v>46107</v>
      </c>
      <c r="C1618" s="11">
        <f>VLOOKUP(B:B,'Курс валют'!A:D,4,0)</f>
        <v>93.809700000000007</v>
      </c>
      <c r="D1618" s="57" t="s">
        <v>1337</v>
      </c>
      <c r="E1618" s="50" t="s">
        <v>15</v>
      </c>
      <c r="F1618" s="58">
        <v>1100</v>
      </c>
      <c r="G1618" s="13">
        <v>1104.7</v>
      </c>
      <c r="H1618" s="56">
        <v>484.5</v>
      </c>
      <c r="I1618" s="13">
        <f t="shared" si="150"/>
        <v>4.7000000000000455</v>
      </c>
      <c r="J1618" s="14">
        <f t="shared" si="144"/>
        <v>0.42727272727273141</v>
      </c>
      <c r="K1618" s="56">
        <v>3.61</v>
      </c>
      <c r="L1618" s="15">
        <f t="shared" si="145"/>
        <v>44.045454545454547</v>
      </c>
      <c r="M1618" s="16">
        <f t="shared" si="146"/>
        <v>213.0435343309091</v>
      </c>
      <c r="N1618" s="17">
        <f t="shared" si="147"/>
        <v>2.2710181818181816</v>
      </c>
      <c r="O1618" s="17">
        <f t="shared" si="148"/>
        <v>2498.12</v>
      </c>
      <c r="P1618" s="18">
        <f t="shared" si="149"/>
        <v>234347.88776400001</v>
      </c>
    </row>
    <row r="1619" spans="2:16" ht="12.75">
      <c r="B1619" s="10">
        <v>46107</v>
      </c>
      <c r="C1619" s="11">
        <f>VLOOKUP(B:B,'Курс валют'!A:D,4,0)</f>
        <v>93.809700000000007</v>
      </c>
      <c r="D1619" s="57" t="s">
        <v>1338</v>
      </c>
      <c r="E1619" s="50" t="s">
        <v>15</v>
      </c>
      <c r="F1619" s="58">
        <v>1100</v>
      </c>
      <c r="G1619" s="13">
        <v>1104.7</v>
      </c>
      <c r="H1619" s="56">
        <v>484.5</v>
      </c>
      <c r="I1619" s="13">
        <f t="shared" si="150"/>
        <v>4.7000000000000455</v>
      </c>
      <c r="J1619" s="14">
        <f t="shared" si="144"/>
        <v>0.42727272727273141</v>
      </c>
      <c r="K1619" s="56">
        <v>3.61</v>
      </c>
      <c r="L1619" s="15">
        <f t="shared" si="145"/>
        <v>44.045454545454547</v>
      </c>
      <c r="M1619" s="16">
        <f t="shared" si="146"/>
        <v>213.0435343309091</v>
      </c>
      <c r="N1619" s="17">
        <f t="shared" si="147"/>
        <v>2.2710181818181816</v>
      </c>
      <c r="O1619" s="17">
        <f t="shared" si="148"/>
        <v>2498.12</v>
      </c>
      <c r="P1619" s="18">
        <f t="shared" si="149"/>
        <v>234347.88776400001</v>
      </c>
    </row>
    <row r="1620" spans="2:16" ht="12.75">
      <c r="B1620" s="10">
        <v>46107</v>
      </c>
      <c r="C1620" s="11">
        <f>VLOOKUP(B:B,'Курс валют'!A:D,4,0)</f>
        <v>93.809700000000007</v>
      </c>
      <c r="D1620" s="57" t="s">
        <v>1339</v>
      </c>
      <c r="E1620" s="50" t="s">
        <v>15</v>
      </c>
      <c r="F1620" s="58">
        <v>1100</v>
      </c>
      <c r="G1620" s="13">
        <v>1104.7</v>
      </c>
      <c r="H1620" s="56">
        <v>484.5</v>
      </c>
      <c r="I1620" s="13">
        <f t="shared" si="150"/>
        <v>4.7000000000000455</v>
      </c>
      <c r="J1620" s="14">
        <f t="shared" si="144"/>
        <v>0.42727272727273141</v>
      </c>
      <c r="K1620" s="56">
        <v>3.61</v>
      </c>
      <c r="L1620" s="15">
        <f t="shared" si="145"/>
        <v>44.045454545454547</v>
      </c>
      <c r="M1620" s="16">
        <f t="shared" si="146"/>
        <v>213.0435343309091</v>
      </c>
      <c r="N1620" s="17">
        <f t="shared" si="147"/>
        <v>2.2710181818181816</v>
      </c>
      <c r="O1620" s="17">
        <f t="shared" si="148"/>
        <v>2498.12</v>
      </c>
      <c r="P1620" s="18">
        <f t="shared" si="149"/>
        <v>234347.88776400001</v>
      </c>
    </row>
    <row r="1621" spans="2:16" ht="12.75">
      <c r="B1621" s="10">
        <v>46107</v>
      </c>
      <c r="C1621" s="11">
        <f>VLOOKUP(B:B,'Курс валют'!A:D,4,0)</f>
        <v>93.809700000000007</v>
      </c>
      <c r="D1621" s="57" t="s">
        <v>1340</v>
      </c>
      <c r="E1621" s="50" t="s">
        <v>15</v>
      </c>
      <c r="F1621" s="58">
        <v>1100</v>
      </c>
      <c r="G1621" s="13">
        <v>1104.7</v>
      </c>
      <c r="H1621" s="56">
        <v>484.5</v>
      </c>
      <c r="I1621" s="13">
        <f t="shared" si="150"/>
        <v>4.7000000000000455</v>
      </c>
      <c r="J1621" s="14">
        <f t="shared" si="144"/>
        <v>0.42727272727273141</v>
      </c>
      <c r="K1621" s="56">
        <v>3.61</v>
      </c>
      <c r="L1621" s="15">
        <f t="shared" si="145"/>
        <v>44.045454545454547</v>
      </c>
      <c r="M1621" s="16">
        <f t="shared" si="146"/>
        <v>213.0435343309091</v>
      </c>
      <c r="N1621" s="17">
        <f t="shared" si="147"/>
        <v>2.2710181818181816</v>
      </c>
      <c r="O1621" s="17">
        <f t="shared" si="148"/>
        <v>2498.12</v>
      </c>
      <c r="P1621" s="18">
        <f t="shared" si="149"/>
        <v>234347.88776400001</v>
      </c>
    </row>
    <row r="1622" spans="2:16" ht="12.75">
      <c r="B1622" s="10">
        <v>46107</v>
      </c>
      <c r="C1622" s="11">
        <f>VLOOKUP(B:B,'Курс валют'!A:D,4,0)</f>
        <v>93.809700000000007</v>
      </c>
      <c r="D1622" s="57" t="s">
        <v>1341</v>
      </c>
      <c r="E1622" s="50" t="s">
        <v>15</v>
      </c>
      <c r="F1622" s="58">
        <v>1100</v>
      </c>
      <c r="G1622" s="13">
        <v>1104.7</v>
      </c>
      <c r="H1622" s="56">
        <v>484.5</v>
      </c>
      <c r="I1622" s="13">
        <f t="shared" si="150"/>
        <v>4.7000000000000455</v>
      </c>
      <c r="J1622" s="14">
        <f t="shared" si="144"/>
        <v>0.42727272727273141</v>
      </c>
      <c r="K1622" s="56">
        <v>3.61</v>
      </c>
      <c r="L1622" s="15">
        <f t="shared" si="145"/>
        <v>44.045454545454547</v>
      </c>
      <c r="M1622" s="16">
        <f t="shared" si="146"/>
        <v>213.0435343309091</v>
      </c>
      <c r="N1622" s="17">
        <f t="shared" si="147"/>
        <v>2.2710181818181816</v>
      </c>
      <c r="O1622" s="17">
        <f t="shared" si="148"/>
        <v>2498.12</v>
      </c>
      <c r="P1622" s="18">
        <f t="shared" si="149"/>
        <v>234347.88776400001</v>
      </c>
    </row>
    <row r="1623" spans="2:16" ht="12.75">
      <c r="B1623" s="10">
        <v>46107</v>
      </c>
      <c r="C1623" s="11">
        <f>VLOOKUP(B:B,'Курс валют'!A:D,4,0)</f>
        <v>93.809700000000007</v>
      </c>
      <c r="D1623" s="57" t="s">
        <v>1342</v>
      </c>
      <c r="E1623" s="50" t="s">
        <v>15</v>
      </c>
      <c r="F1623" s="58">
        <v>1100</v>
      </c>
      <c r="G1623" s="13">
        <v>1104.7</v>
      </c>
      <c r="H1623" s="56">
        <v>484.5</v>
      </c>
      <c r="I1623" s="13">
        <f t="shared" si="150"/>
        <v>4.7000000000000455</v>
      </c>
      <c r="J1623" s="14">
        <f t="shared" si="144"/>
        <v>0.42727272727273141</v>
      </c>
      <c r="K1623" s="56">
        <v>3.61</v>
      </c>
      <c r="L1623" s="15">
        <f t="shared" si="145"/>
        <v>44.045454545454547</v>
      </c>
      <c r="M1623" s="16">
        <f t="shared" si="146"/>
        <v>213.0435343309091</v>
      </c>
      <c r="N1623" s="17">
        <f t="shared" si="147"/>
        <v>2.2710181818181816</v>
      </c>
      <c r="O1623" s="17">
        <f t="shared" si="148"/>
        <v>2498.12</v>
      </c>
      <c r="P1623" s="18">
        <f t="shared" si="149"/>
        <v>234347.88776400001</v>
      </c>
    </row>
    <row r="1624" spans="2:16" ht="12.75">
      <c r="B1624" s="10">
        <v>46107</v>
      </c>
      <c r="C1624" s="11">
        <f>VLOOKUP(B:B,'Курс валют'!A:D,4,0)</f>
        <v>93.809700000000007</v>
      </c>
      <c r="D1624" s="57" t="s">
        <v>1343</v>
      </c>
      <c r="E1624" s="50" t="s">
        <v>15</v>
      </c>
      <c r="F1624" s="58">
        <v>1100</v>
      </c>
      <c r="G1624" s="13">
        <v>1104.7</v>
      </c>
      <c r="H1624" s="56">
        <v>484.5</v>
      </c>
      <c r="I1624" s="13">
        <f t="shared" si="150"/>
        <v>4.7000000000000455</v>
      </c>
      <c r="J1624" s="14">
        <f t="shared" si="144"/>
        <v>0.42727272727273141</v>
      </c>
      <c r="K1624" s="56">
        <v>3.61</v>
      </c>
      <c r="L1624" s="15">
        <f t="shared" si="145"/>
        <v>44.045454545454547</v>
      </c>
      <c r="M1624" s="16">
        <f t="shared" si="146"/>
        <v>213.0435343309091</v>
      </c>
      <c r="N1624" s="17">
        <f t="shared" si="147"/>
        <v>2.2710181818181816</v>
      </c>
      <c r="O1624" s="17">
        <f t="shared" si="148"/>
        <v>2498.12</v>
      </c>
      <c r="P1624" s="18">
        <f t="shared" si="149"/>
        <v>234347.88776400001</v>
      </c>
    </row>
    <row r="1625" spans="2:16" ht="12.75">
      <c r="B1625" s="10">
        <v>46107</v>
      </c>
      <c r="C1625" s="11">
        <f>VLOOKUP(B:B,'Курс валют'!A:D,4,0)</f>
        <v>93.809700000000007</v>
      </c>
      <c r="D1625" s="57" t="s">
        <v>1344</v>
      </c>
      <c r="E1625" s="50" t="s">
        <v>15</v>
      </c>
      <c r="F1625" s="58">
        <v>1100</v>
      </c>
      <c r="G1625" s="13">
        <v>1104.7</v>
      </c>
      <c r="H1625" s="56">
        <v>484.5</v>
      </c>
      <c r="I1625" s="13">
        <f t="shared" si="150"/>
        <v>4.7000000000000455</v>
      </c>
      <c r="J1625" s="14">
        <f t="shared" si="144"/>
        <v>0.42727272727273141</v>
      </c>
      <c r="K1625" s="56">
        <v>3.61</v>
      </c>
      <c r="L1625" s="15">
        <f t="shared" si="145"/>
        <v>44.045454545454547</v>
      </c>
      <c r="M1625" s="16">
        <f t="shared" si="146"/>
        <v>213.0435343309091</v>
      </c>
      <c r="N1625" s="17">
        <f t="shared" si="147"/>
        <v>2.2710181818181816</v>
      </c>
      <c r="O1625" s="17">
        <f t="shared" si="148"/>
        <v>2498.12</v>
      </c>
      <c r="P1625" s="18">
        <f t="shared" si="149"/>
        <v>234347.88776400001</v>
      </c>
    </row>
    <row r="1626" spans="2:16" ht="12.75">
      <c r="B1626" s="10">
        <v>46107</v>
      </c>
      <c r="C1626" s="11">
        <f>VLOOKUP(B:B,'Курс валют'!A:D,4,0)</f>
        <v>93.809700000000007</v>
      </c>
      <c r="D1626" s="57" t="s">
        <v>1345</v>
      </c>
      <c r="E1626" s="50" t="s">
        <v>15</v>
      </c>
      <c r="F1626" s="58">
        <v>1100</v>
      </c>
      <c r="G1626" s="13">
        <v>1104.7</v>
      </c>
      <c r="H1626" s="56">
        <v>484.5</v>
      </c>
      <c r="I1626" s="13">
        <f t="shared" si="150"/>
        <v>4.7000000000000455</v>
      </c>
      <c r="J1626" s="14">
        <f t="shared" si="144"/>
        <v>0.42727272727273141</v>
      </c>
      <c r="K1626" s="56">
        <v>3.61</v>
      </c>
      <c r="L1626" s="15">
        <f t="shared" si="145"/>
        <v>44.045454545454547</v>
      </c>
      <c r="M1626" s="16">
        <f t="shared" si="146"/>
        <v>213.0435343309091</v>
      </c>
      <c r="N1626" s="17">
        <f t="shared" si="147"/>
        <v>2.2710181818181816</v>
      </c>
      <c r="O1626" s="17">
        <f t="shared" si="148"/>
        <v>2498.12</v>
      </c>
      <c r="P1626" s="18">
        <f t="shared" si="149"/>
        <v>234347.88776400001</v>
      </c>
    </row>
    <row r="1627" spans="2:16" ht="12.75">
      <c r="B1627" s="10">
        <v>46107</v>
      </c>
      <c r="C1627" s="11">
        <f>VLOOKUP(B:B,'Курс валют'!A:D,4,0)</f>
        <v>93.809700000000007</v>
      </c>
      <c r="D1627" s="57" t="s">
        <v>1346</v>
      </c>
      <c r="E1627" s="50" t="s">
        <v>15</v>
      </c>
      <c r="F1627" s="58">
        <v>1100</v>
      </c>
      <c r="G1627" s="13">
        <v>1104.7</v>
      </c>
      <c r="H1627" s="56">
        <v>484.5</v>
      </c>
      <c r="I1627" s="13">
        <f t="shared" si="150"/>
        <v>4.7000000000000455</v>
      </c>
      <c r="J1627" s="14">
        <f t="shared" si="144"/>
        <v>0.42727272727273141</v>
      </c>
      <c r="K1627" s="56">
        <v>3.61</v>
      </c>
      <c r="L1627" s="15">
        <f t="shared" si="145"/>
        <v>44.045454545454547</v>
      </c>
      <c r="M1627" s="16">
        <f t="shared" si="146"/>
        <v>213.0435343309091</v>
      </c>
      <c r="N1627" s="17">
        <f t="shared" si="147"/>
        <v>2.2710181818181816</v>
      </c>
      <c r="O1627" s="17">
        <f t="shared" si="148"/>
        <v>2498.12</v>
      </c>
      <c r="P1627" s="18">
        <f t="shared" si="149"/>
        <v>234347.88776400001</v>
      </c>
    </row>
    <row r="1628" spans="2:16" ht="12.75">
      <c r="B1628" s="10">
        <v>46107</v>
      </c>
      <c r="C1628" s="11">
        <f>VLOOKUP(B:B,'Курс валют'!A:D,4,0)</f>
        <v>93.809700000000007</v>
      </c>
      <c r="D1628" s="57" t="s">
        <v>1347</v>
      </c>
      <c r="E1628" s="50" t="s">
        <v>15</v>
      </c>
      <c r="F1628" s="58">
        <v>1100</v>
      </c>
      <c r="G1628" s="13">
        <v>1104.7</v>
      </c>
      <c r="H1628" s="56">
        <v>484.5</v>
      </c>
      <c r="I1628" s="13">
        <f t="shared" si="150"/>
        <v>4.7000000000000455</v>
      </c>
      <c r="J1628" s="14">
        <f t="shared" si="144"/>
        <v>0.42727272727273141</v>
      </c>
      <c r="K1628" s="56">
        <v>3.61</v>
      </c>
      <c r="L1628" s="15">
        <f t="shared" si="145"/>
        <v>44.045454545454547</v>
      </c>
      <c r="M1628" s="16">
        <f t="shared" si="146"/>
        <v>213.0435343309091</v>
      </c>
      <c r="N1628" s="17">
        <f t="shared" si="147"/>
        <v>2.2710181818181816</v>
      </c>
      <c r="O1628" s="17">
        <f t="shared" si="148"/>
        <v>2498.12</v>
      </c>
      <c r="P1628" s="18">
        <f t="shared" si="149"/>
        <v>234347.88776400001</v>
      </c>
    </row>
    <row r="1629" spans="2:16" ht="12.75">
      <c r="B1629" s="10">
        <v>46107</v>
      </c>
      <c r="C1629" s="11">
        <f>VLOOKUP(B:B,'Курс валют'!A:D,4,0)</f>
        <v>93.809700000000007</v>
      </c>
      <c r="D1629" s="57" t="s">
        <v>1348</v>
      </c>
      <c r="E1629" s="50" t="s">
        <v>15</v>
      </c>
      <c r="F1629" s="58">
        <v>1100</v>
      </c>
      <c r="G1629" s="13">
        <v>1104.7</v>
      </c>
      <c r="H1629" s="56">
        <v>484.5</v>
      </c>
      <c r="I1629" s="13">
        <f t="shared" si="150"/>
        <v>4.7000000000000455</v>
      </c>
      <c r="J1629" s="14">
        <f t="shared" si="144"/>
        <v>0.42727272727273141</v>
      </c>
      <c r="K1629" s="56">
        <v>3.61</v>
      </c>
      <c r="L1629" s="15">
        <f t="shared" si="145"/>
        <v>44.045454545454547</v>
      </c>
      <c r="M1629" s="16">
        <f t="shared" si="146"/>
        <v>213.0435343309091</v>
      </c>
      <c r="N1629" s="17">
        <f t="shared" si="147"/>
        <v>2.2710181818181816</v>
      </c>
      <c r="O1629" s="17">
        <f t="shared" si="148"/>
        <v>2498.12</v>
      </c>
      <c r="P1629" s="18">
        <f t="shared" si="149"/>
        <v>234347.88776400001</v>
      </c>
    </row>
    <row r="1630" spans="2:16" ht="12.75">
      <c r="B1630" s="10">
        <v>46107</v>
      </c>
      <c r="C1630" s="11">
        <f>VLOOKUP(B:B,'Курс валют'!A:D,4,0)</f>
        <v>93.809700000000007</v>
      </c>
      <c r="D1630" s="57" t="s">
        <v>1349</v>
      </c>
      <c r="E1630" s="50" t="s">
        <v>15</v>
      </c>
      <c r="F1630" s="58">
        <v>1100</v>
      </c>
      <c r="G1630" s="13">
        <v>1104.7</v>
      </c>
      <c r="H1630" s="56">
        <v>484.5</v>
      </c>
      <c r="I1630" s="13">
        <f t="shared" si="150"/>
        <v>4.7000000000000455</v>
      </c>
      <c r="J1630" s="14">
        <f t="shared" si="144"/>
        <v>0.42727272727273141</v>
      </c>
      <c r="K1630" s="56">
        <v>3.61</v>
      </c>
      <c r="L1630" s="15">
        <f t="shared" si="145"/>
        <v>44.045454545454547</v>
      </c>
      <c r="M1630" s="16">
        <f t="shared" si="146"/>
        <v>213.0435343309091</v>
      </c>
      <c r="N1630" s="17">
        <f t="shared" si="147"/>
        <v>2.2710181818181816</v>
      </c>
      <c r="O1630" s="17">
        <f t="shared" si="148"/>
        <v>2498.12</v>
      </c>
      <c r="P1630" s="18">
        <f t="shared" si="149"/>
        <v>234347.88776400001</v>
      </c>
    </row>
    <row r="1631" spans="2:16" ht="12.75">
      <c r="B1631" s="10">
        <v>46107</v>
      </c>
      <c r="C1631" s="11">
        <f>VLOOKUP(B:B,'Курс валют'!A:D,4,0)</f>
        <v>93.809700000000007</v>
      </c>
      <c r="D1631" s="57" t="s">
        <v>1350</v>
      </c>
      <c r="E1631" s="50" t="s">
        <v>15</v>
      </c>
      <c r="F1631" s="58">
        <v>1100</v>
      </c>
      <c r="G1631" s="13">
        <v>1104.7</v>
      </c>
      <c r="H1631" s="56">
        <v>484.5</v>
      </c>
      <c r="I1631" s="13">
        <f t="shared" si="150"/>
        <v>4.7000000000000455</v>
      </c>
      <c r="J1631" s="14">
        <f t="shared" si="144"/>
        <v>0.42727272727273141</v>
      </c>
      <c r="K1631" s="56">
        <v>3.61</v>
      </c>
      <c r="L1631" s="15">
        <f t="shared" si="145"/>
        <v>44.045454545454547</v>
      </c>
      <c r="M1631" s="16">
        <f t="shared" si="146"/>
        <v>213.0435343309091</v>
      </c>
      <c r="N1631" s="17">
        <f t="shared" si="147"/>
        <v>2.2710181818181816</v>
      </c>
      <c r="O1631" s="17">
        <f t="shared" si="148"/>
        <v>2498.12</v>
      </c>
      <c r="P1631" s="18">
        <f t="shared" si="149"/>
        <v>234347.88776400001</v>
      </c>
    </row>
    <row r="1632" spans="2:16" ht="12.75">
      <c r="B1632" s="10">
        <v>46107</v>
      </c>
      <c r="C1632" s="11">
        <f>VLOOKUP(B:B,'Курс валют'!A:D,4,0)</f>
        <v>93.809700000000007</v>
      </c>
      <c r="D1632" s="57" t="s">
        <v>1351</v>
      </c>
      <c r="E1632" s="50" t="s">
        <v>15</v>
      </c>
      <c r="F1632" s="58">
        <v>1100</v>
      </c>
      <c r="G1632" s="13">
        <v>1104.7</v>
      </c>
      <c r="H1632" s="56">
        <v>484.5</v>
      </c>
      <c r="I1632" s="13">
        <f t="shared" si="150"/>
        <v>4.7000000000000455</v>
      </c>
      <c r="J1632" s="14">
        <f t="shared" si="144"/>
        <v>0.42727272727273141</v>
      </c>
      <c r="K1632" s="56">
        <v>3.61</v>
      </c>
      <c r="L1632" s="15">
        <f t="shared" si="145"/>
        <v>44.045454545454547</v>
      </c>
      <c r="M1632" s="16">
        <f t="shared" si="146"/>
        <v>213.0435343309091</v>
      </c>
      <c r="N1632" s="17">
        <f t="shared" si="147"/>
        <v>2.2710181818181816</v>
      </c>
      <c r="O1632" s="17">
        <f t="shared" si="148"/>
        <v>2498.12</v>
      </c>
      <c r="P1632" s="18">
        <f t="shared" si="149"/>
        <v>234347.88776400001</v>
      </c>
    </row>
    <row r="1633" spans="2:16" ht="12.75">
      <c r="B1633" s="10">
        <v>46107</v>
      </c>
      <c r="C1633" s="11">
        <f>VLOOKUP(B:B,'Курс валют'!A:D,4,0)</f>
        <v>93.809700000000007</v>
      </c>
      <c r="D1633" s="57" t="s">
        <v>1352</v>
      </c>
      <c r="E1633" s="50" t="s">
        <v>15</v>
      </c>
      <c r="F1633" s="58">
        <v>1100</v>
      </c>
      <c r="G1633" s="13">
        <v>1104.7</v>
      </c>
      <c r="H1633" s="56">
        <v>484.5</v>
      </c>
      <c r="I1633" s="13">
        <f t="shared" si="150"/>
        <v>4.7000000000000455</v>
      </c>
      <c r="J1633" s="14">
        <f t="shared" si="144"/>
        <v>0.42727272727273141</v>
      </c>
      <c r="K1633" s="56">
        <v>3.61</v>
      </c>
      <c r="L1633" s="15">
        <f t="shared" si="145"/>
        <v>44.045454545454547</v>
      </c>
      <c r="M1633" s="16">
        <f t="shared" si="146"/>
        <v>213.0435343309091</v>
      </c>
      <c r="N1633" s="17">
        <f t="shared" si="147"/>
        <v>2.2710181818181816</v>
      </c>
      <c r="O1633" s="17">
        <f t="shared" si="148"/>
        <v>2498.12</v>
      </c>
      <c r="P1633" s="18">
        <f t="shared" si="149"/>
        <v>234347.88776400001</v>
      </c>
    </row>
    <row r="1634" spans="2:16" ht="12.75">
      <c r="B1634" s="10">
        <v>46107</v>
      </c>
      <c r="C1634" s="11">
        <f>VLOOKUP(B:B,'Курс валют'!A:D,4,0)</f>
        <v>93.809700000000007</v>
      </c>
      <c r="D1634" s="57" t="s">
        <v>1353</v>
      </c>
      <c r="E1634" s="50" t="s">
        <v>15</v>
      </c>
      <c r="F1634" s="58">
        <v>1100</v>
      </c>
      <c r="G1634" s="13">
        <v>1104.7</v>
      </c>
      <c r="H1634" s="56">
        <v>484.5</v>
      </c>
      <c r="I1634" s="13">
        <f t="shared" si="150"/>
        <v>4.7000000000000455</v>
      </c>
      <c r="J1634" s="14">
        <f t="shared" si="144"/>
        <v>0.42727272727273141</v>
      </c>
      <c r="K1634" s="56">
        <v>3.61</v>
      </c>
      <c r="L1634" s="15">
        <f t="shared" si="145"/>
        <v>44.045454545454547</v>
      </c>
      <c r="M1634" s="16">
        <f t="shared" si="146"/>
        <v>213.0435343309091</v>
      </c>
      <c r="N1634" s="17">
        <f t="shared" si="147"/>
        <v>2.2710181818181816</v>
      </c>
      <c r="O1634" s="17">
        <f t="shared" si="148"/>
        <v>2498.12</v>
      </c>
      <c r="P1634" s="18">
        <f t="shared" si="149"/>
        <v>234347.88776400001</v>
      </c>
    </row>
    <row r="1635" spans="2:16" ht="12.75">
      <c r="B1635" s="10">
        <v>46107</v>
      </c>
      <c r="C1635" s="11">
        <f>VLOOKUP(B:B,'Курс валют'!A:D,4,0)</f>
        <v>93.809700000000007</v>
      </c>
      <c r="D1635" s="57" t="s">
        <v>1354</v>
      </c>
      <c r="E1635" s="50" t="s">
        <v>15</v>
      </c>
      <c r="F1635" s="58">
        <v>1100</v>
      </c>
      <c r="G1635" s="13">
        <v>1104.7</v>
      </c>
      <c r="H1635" s="56">
        <v>100.38</v>
      </c>
      <c r="I1635" s="13">
        <f t="shared" si="150"/>
        <v>4.7000000000000455</v>
      </c>
      <c r="J1635" s="14">
        <f t="shared" ref="J1635:J1702" si="151">I1635/F1635*100</f>
        <v>0.42727272727273141</v>
      </c>
      <c r="K1635" s="56">
        <v>2.56</v>
      </c>
      <c r="L1635" s="15">
        <f t="shared" ref="L1635:L1702" si="152">H1635/F1635*100</f>
        <v>9.125454545454545</v>
      </c>
      <c r="M1635" s="16">
        <f t="shared" ref="M1635:M1702" si="153">P1635/F1635</f>
        <v>214.1287249405091</v>
      </c>
      <c r="N1635" s="17">
        <f t="shared" ref="N1635:N1702" si="154">(F1635*K1635-H1635*3.04)/F1635</f>
        <v>2.2825861818181816</v>
      </c>
      <c r="O1635" s="17">
        <f t="shared" ref="O1635:O1702" si="155">N1635*F1635</f>
        <v>2510.8447999999999</v>
      </c>
      <c r="P1635" s="18">
        <f t="shared" ref="P1635:P1702" si="156">O1635*C1635</f>
        <v>235541.59743456001</v>
      </c>
    </row>
    <row r="1636" spans="2:16" ht="12.75">
      <c r="B1636" s="10">
        <v>46108</v>
      </c>
      <c r="C1636" s="11">
        <f>VLOOKUP(B:B,'Курс валют'!A:D,4,0)</f>
        <v>95.003799999999998</v>
      </c>
      <c r="D1636" s="57" t="s">
        <v>1355</v>
      </c>
      <c r="E1636" s="50" t="s">
        <v>15</v>
      </c>
      <c r="F1636" s="58">
        <v>1100</v>
      </c>
      <c r="G1636" s="13">
        <v>1104.7</v>
      </c>
      <c r="H1636" s="56">
        <v>0</v>
      </c>
      <c r="I1636" s="13">
        <f t="shared" si="150"/>
        <v>4.7000000000000455</v>
      </c>
      <c r="J1636" s="14">
        <f t="shared" si="151"/>
        <v>0.42727272727273141</v>
      </c>
      <c r="K1636" s="56">
        <v>2.29</v>
      </c>
      <c r="L1636" s="15">
        <f t="shared" si="152"/>
        <v>0</v>
      </c>
      <c r="M1636" s="16">
        <f t="shared" si="153"/>
        <v>217.55870199999998</v>
      </c>
      <c r="N1636" s="17">
        <f t="shared" si="154"/>
        <v>2.29</v>
      </c>
      <c r="O1636" s="17">
        <f t="shared" si="155"/>
        <v>2519</v>
      </c>
      <c r="P1636" s="18">
        <f t="shared" si="156"/>
        <v>239314.5722</v>
      </c>
    </row>
    <row r="1637" spans="2:16" ht="12.75">
      <c r="B1637" s="10">
        <v>46108</v>
      </c>
      <c r="C1637" s="11">
        <f>VLOOKUP(B:B,'Курс валют'!A:D,4,0)</f>
        <v>95.003799999999998</v>
      </c>
      <c r="D1637" s="57" t="s">
        <v>1356</v>
      </c>
      <c r="E1637" s="50" t="s">
        <v>15</v>
      </c>
      <c r="F1637" s="58">
        <v>1100</v>
      </c>
      <c r="G1637" s="13">
        <v>1104.7</v>
      </c>
      <c r="H1637" s="56">
        <v>0</v>
      </c>
      <c r="I1637" s="13">
        <f t="shared" si="150"/>
        <v>4.7000000000000455</v>
      </c>
      <c r="J1637" s="14">
        <f t="shared" si="151"/>
        <v>0.42727272727273141</v>
      </c>
      <c r="K1637" s="56">
        <v>2.2799999999999998</v>
      </c>
      <c r="L1637" s="15">
        <f t="shared" si="152"/>
        <v>0</v>
      </c>
      <c r="M1637" s="16">
        <f t="shared" si="153"/>
        <v>216.60866399999998</v>
      </c>
      <c r="N1637" s="17">
        <f t="shared" si="154"/>
        <v>2.2799999999999998</v>
      </c>
      <c r="O1637" s="17">
        <f t="shared" si="155"/>
        <v>2508</v>
      </c>
      <c r="P1637" s="18">
        <f t="shared" si="156"/>
        <v>238269.53039999999</v>
      </c>
    </row>
    <row r="1638" spans="2:16" ht="12.75">
      <c r="B1638" s="10">
        <v>46108</v>
      </c>
      <c r="C1638" s="11">
        <f>VLOOKUP(B:B,'Курс валют'!A:D,4,0)</f>
        <v>95.003799999999998</v>
      </c>
      <c r="D1638" s="57" t="s">
        <v>1357</v>
      </c>
      <c r="E1638" s="50" t="s">
        <v>15</v>
      </c>
      <c r="F1638" s="58">
        <v>1100</v>
      </c>
      <c r="G1638" s="13">
        <v>1104.7</v>
      </c>
      <c r="H1638" s="56">
        <v>0</v>
      </c>
      <c r="I1638" s="13">
        <f t="shared" si="150"/>
        <v>4.7000000000000455</v>
      </c>
      <c r="J1638" s="14">
        <f t="shared" si="151"/>
        <v>0.42727272727273141</v>
      </c>
      <c r="K1638" s="56">
        <v>2.2799999999999998</v>
      </c>
      <c r="L1638" s="15">
        <f t="shared" si="152"/>
        <v>0</v>
      </c>
      <c r="M1638" s="16">
        <f t="shared" si="153"/>
        <v>216.60866399999998</v>
      </c>
      <c r="N1638" s="17">
        <f t="shared" si="154"/>
        <v>2.2799999999999998</v>
      </c>
      <c r="O1638" s="17">
        <f t="shared" si="155"/>
        <v>2508</v>
      </c>
      <c r="P1638" s="18">
        <f t="shared" si="156"/>
        <v>238269.53039999999</v>
      </c>
    </row>
    <row r="1639" spans="2:16" ht="12.75">
      <c r="B1639" s="10">
        <v>46108</v>
      </c>
      <c r="C1639" s="11">
        <f>VLOOKUP(B:B,'Курс валют'!A:D,4,0)</f>
        <v>95.003799999999998</v>
      </c>
      <c r="D1639" s="57" t="s">
        <v>1358</v>
      </c>
      <c r="E1639" s="50" t="s">
        <v>15</v>
      </c>
      <c r="F1639" s="58">
        <v>1100</v>
      </c>
      <c r="G1639" s="13">
        <v>1104.7</v>
      </c>
      <c r="H1639" s="56">
        <v>0</v>
      </c>
      <c r="I1639" s="13">
        <f t="shared" si="150"/>
        <v>4.7000000000000455</v>
      </c>
      <c r="J1639" s="14">
        <f t="shared" si="151"/>
        <v>0.42727272727273141</v>
      </c>
      <c r="K1639" s="56">
        <v>2.29</v>
      </c>
      <c r="L1639" s="15">
        <f t="shared" si="152"/>
        <v>0</v>
      </c>
      <c r="M1639" s="16">
        <f t="shared" si="153"/>
        <v>217.55870199999998</v>
      </c>
      <c r="N1639" s="17">
        <f t="shared" si="154"/>
        <v>2.29</v>
      </c>
      <c r="O1639" s="17">
        <f t="shared" si="155"/>
        <v>2519</v>
      </c>
      <c r="P1639" s="18">
        <f t="shared" si="156"/>
        <v>239314.5722</v>
      </c>
    </row>
    <row r="1640" spans="2:16" ht="12.75">
      <c r="B1640" s="10">
        <v>46108</v>
      </c>
      <c r="C1640" s="11">
        <f>VLOOKUP(B:B,'Курс валют'!A:D,4,0)</f>
        <v>95.003799999999998</v>
      </c>
      <c r="D1640" s="57" t="s">
        <v>1359</v>
      </c>
      <c r="E1640" s="50" t="s">
        <v>15</v>
      </c>
      <c r="F1640" s="58">
        <v>1100</v>
      </c>
      <c r="G1640" s="13">
        <v>1104.7</v>
      </c>
      <c r="H1640" s="56">
        <v>0</v>
      </c>
      <c r="I1640" s="13">
        <f t="shared" si="150"/>
        <v>4.7000000000000455</v>
      </c>
      <c r="J1640" s="14">
        <f t="shared" si="151"/>
        <v>0.42727272727273141</v>
      </c>
      <c r="K1640" s="56">
        <v>2.29</v>
      </c>
      <c r="L1640" s="15">
        <f t="shared" si="152"/>
        <v>0</v>
      </c>
      <c r="M1640" s="16">
        <f t="shared" si="153"/>
        <v>217.55870199999998</v>
      </c>
      <c r="N1640" s="17">
        <f t="shared" si="154"/>
        <v>2.29</v>
      </c>
      <c r="O1640" s="17">
        <f t="shared" si="155"/>
        <v>2519</v>
      </c>
      <c r="P1640" s="18">
        <f t="shared" si="156"/>
        <v>239314.5722</v>
      </c>
    </row>
    <row r="1641" spans="2:16" ht="12.75">
      <c r="B1641" s="10">
        <v>46108</v>
      </c>
      <c r="C1641" s="11">
        <f>VLOOKUP(B:B,'Курс валют'!A:D,4,0)</f>
        <v>95.003799999999998</v>
      </c>
      <c r="D1641" s="57" t="s">
        <v>1360</v>
      </c>
      <c r="E1641" s="50" t="s">
        <v>15</v>
      </c>
      <c r="F1641" s="58">
        <v>1100</v>
      </c>
      <c r="G1641" s="13">
        <v>1104.7</v>
      </c>
      <c r="H1641" s="56">
        <v>0</v>
      </c>
      <c r="I1641" s="13">
        <f t="shared" si="150"/>
        <v>4.7000000000000455</v>
      </c>
      <c r="J1641" s="14">
        <f t="shared" si="151"/>
        <v>0.42727272727273141</v>
      </c>
      <c r="K1641" s="56">
        <v>2.2799999999999998</v>
      </c>
      <c r="L1641" s="15">
        <f t="shared" si="152"/>
        <v>0</v>
      </c>
      <c r="M1641" s="16">
        <f t="shared" si="153"/>
        <v>216.60866399999998</v>
      </c>
      <c r="N1641" s="17">
        <f t="shared" si="154"/>
        <v>2.2799999999999998</v>
      </c>
      <c r="O1641" s="17">
        <f t="shared" si="155"/>
        <v>2508</v>
      </c>
      <c r="P1641" s="18">
        <f t="shared" si="156"/>
        <v>238269.53039999999</v>
      </c>
    </row>
    <row r="1642" spans="2:16" ht="12.75">
      <c r="B1642" s="10">
        <v>46108</v>
      </c>
      <c r="C1642" s="11">
        <f>VLOOKUP(B:B,'Курс валют'!A:D,4,0)</f>
        <v>95.003799999999998</v>
      </c>
      <c r="D1642" s="57" t="s">
        <v>1361</v>
      </c>
      <c r="E1642" s="50" t="s">
        <v>15</v>
      </c>
      <c r="F1642" s="58">
        <v>1100</v>
      </c>
      <c r="G1642" s="13">
        <v>1104.7</v>
      </c>
      <c r="H1642" s="56">
        <v>0</v>
      </c>
      <c r="I1642" s="13">
        <f t="shared" si="150"/>
        <v>4.7000000000000455</v>
      </c>
      <c r="J1642" s="14">
        <f t="shared" si="151"/>
        <v>0.42727272727273141</v>
      </c>
      <c r="K1642" s="56">
        <v>2.29</v>
      </c>
      <c r="L1642" s="15">
        <f t="shared" si="152"/>
        <v>0</v>
      </c>
      <c r="M1642" s="16">
        <f t="shared" si="153"/>
        <v>217.55870199999998</v>
      </c>
      <c r="N1642" s="17">
        <f t="shared" si="154"/>
        <v>2.29</v>
      </c>
      <c r="O1642" s="17">
        <f t="shared" si="155"/>
        <v>2519</v>
      </c>
      <c r="P1642" s="18">
        <f t="shared" si="156"/>
        <v>239314.5722</v>
      </c>
    </row>
    <row r="1643" spans="2:16" ht="12.75">
      <c r="B1643" s="10">
        <v>46108</v>
      </c>
      <c r="C1643" s="11">
        <f>VLOOKUP(B:B,'Курс валют'!A:D,4,0)</f>
        <v>95.003799999999998</v>
      </c>
      <c r="D1643" s="57" t="s">
        <v>1362</v>
      </c>
      <c r="E1643" s="50" t="s">
        <v>15</v>
      </c>
      <c r="F1643" s="58">
        <v>1100</v>
      </c>
      <c r="G1643" s="13">
        <v>1104.7</v>
      </c>
      <c r="H1643" s="56">
        <v>0</v>
      </c>
      <c r="I1643" s="13">
        <f t="shared" si="150"/>
        <v>4.7000000000000455</v>
      </c>
      <c r="J1643" s="14">
        <f t="shared" si="151"/>
        <v>0.42727272727273141</v>
      </c>
      <c r="K1643" s="56">
        <v>2.2799999999999998</v>
      </c>
      <c r="L1643" s="15">
        <f t="shared" si="152"/>
        <v>0</v>
      </c>
      <c r="M1643" s="16">
        <f t="shared" si="153"/>
        <v>216.60866399999998</v>
      </c>
      <c r="N1643" s="17">
        <f t="shared" si="154"/>
        <v>2.2799999999999998</v>
      </c>
      <c r="O1643" s="17">
        <f t="shared" si="155"/>
        <v>2508</v>
      </c>
      <c r="P1643" s="18">
        <f t="shared" si="156"/>
        <v>238269.53039999999</v>
      </c>
    </row>
    <row r="1644" spans="2:16" ht="12.75">
      <c r="B1644" s="10">
        <v>46108</v>
      </c>
      <c r="C1644" s="11">
        <f>VLOOKUP(B:B,'Курс валют'!A:D,4,0)</f>
        <v>95.003799999999998</v>
      </c>
      <c r="D1644" s="57" t="s">
        <v>1363</v>
      </c>
      <c r="E1644" s="50" t="s">
        <v>15</v>
      </c>
      <c r="F1644" s="58">
        <v>1100</v>
      </c>
      <c r="G1644" s="13">
        <v>1104.7</v>
      </c>
      <c r="H1644" s="56">
        <v>0</v>
      </c>
      <c r="I1644" s="13">
        <f t="shared" si="150"/>
        <v>4.7000000000000455</v>
      </c>
      <c r="J1644" s="14">
        <f t="shared" si="151"/>
        <v>0.42727272727273141</v>
      </c>
      <c r="K1644" s="56">
        <v>2.2799999999999998</v>
      </c>
      <c r="L1644" s="15">
        <f t="shared" si="152"/>
        <v>0</v>
      </c>
      <c r="M1644" s="16">
        <f t="shared" si="153"/>
        <v>216.60866399999998</v>
      </c>
      <c r="N1644" s="17">
        <f t="shared" si="154"/>
        <v>2.2799999999999998</v>
      </c>
      <c r="O1644" s="17">
        <f t="shared" si="155"/>
        <v>2508</v>
      </c>
      <c r="P1644" s="18">
        <f t="shared" si="156"/>
        <v>238269.53039999999</v>
      </c>
    </row>
    <row r="1645" spans="2:16" ht="12.75">
      <c r="B1645" s="10">
        <v>46108</v>
      </c>
      <c r="C1645" s="11">
        <f>VLOOKUP(B:B,'Курс валют'!A:D,4,0)</f>
        <v>95.003799999999998</v>
      </c>
      <c r="D1645" s="57" t="s">
        <v>1364</v>
      </c>
      <c r="E1645" s="50" t="s">
        <v>15</v>
      </c>
      <c r="F1645" s="58">
        <v>1100</v>
      </c>
      <c r="G1645" s="13">
        <v>1104.7</v>
      </c>
      <c r="H1645" s="56">
        <v>0</v>
      </c>
      <c r="I1645" s="13">
        <f t="shared" si="150"/>
        <v>4.7000000000000455</v>
      </c>
      <c r="J1645" s="14">
        <f t="shared" si="151"/>
        <v>0.42727272727273141</v>
      </c>
      <c r="K1645" s="56">
        <v>2.29</v>
      </c>
      <c r="L1645" s="15">
        <f t="shared" si="152"/>
        <v>0</v>
      </c>
      <c r="M1645" s="16">
        <f t="shared" si="153"/>
        <v>217.55870199999998</v>
      </c>
      <c r="N1645" s="17">
        <f t="shared" si="154"/>
        <v>2.29</v>
      </c>
      <c r="O1645" s="17">
        <f t="shared" si="155"/>
        <v>2519</v>
      </c>
      <c r="P1645" s="18">
        <f t="shared" si="156"/>
        <v>239314.5722</v>
      </c>
    </row>
    <row r="1646" spans="2:16" ht="12.75">
      <c r="B1646" s="10">
        <v>46108</v>
      </c>
      <c r="C1646" s="11">
        <f>VLOOKUP(B:B,'Курс валют'!A:D,4,0)</f>
        <v>95.003799999999998</v>
      </c>
      <c r="D1646" s="57" t="s">
        <v>1365</v>
      </c>
      <c r="E1646" s="50" t="s">
        <v>15</v>
      </c>
      <c r="F1646" s="58">
        <v>1100</v>
      </c>
      <c r="G1646" s="13">
        <v>1104.7</v>
      </c>
      <c r="H1646" s="56">
        <v>0</v>
      </c>
      <c r="I1646" s="13">
        <f t="shared" si="150"/>
        <v>4.7000000000000455</v>
      </c>
      <c r="J1646" s="14">
        <f t="shared" si="151"/>
        <v>0.42727272727273141</v>
      </c>
      <c r="K1646" s="56">
        <v>2.29</v>
      </c>
      <c r="L1646" s="15">
        <f t="shared" si="152"/>
        <v>0</v>
      </c>
      <c r="M1646" s="16">
        <f t="shared" si="153"/>
        <v>217.55870199999998</v>
      </c>
      <c r="N1646" s="17">
        <f t="shared" si="154"/>
        <v>2.29</v>
      </c>
      <c r="O1646" s="17">
        <f t="shared" si="155"/>
        <v>2519</v>
      </c>
      <c r="P1646" s="18">
        <f t="shared" si="156"/>
        <v>239314.5722</v>
      </c>
    </row>
    <row r="1647" spans="2:16" ht="12.75">
      <c r="B1647" s="10">
        <v>46108</v>
      </c>
      <c r="C1647" s="11">
        <f>VLOOKUP(B:B,'Курс валют'!A:D,4,0)</f>
        <v>95.003799999999998</v>
      </c>
      <c r="D1647" s="57" t="s">
        <v>1366</v>
      </c>
      <c r="E1647" s="50" t="s">
        <v>15</v>
      </c>
      <c r="F1647" s="58">
        <v>1100</v>
      </c>
      <c r="G1647" s="13">
        <v>1104.7</v>
      </c>
      <c r="H1647" s="56">
        <v>0</v>
      </c>
      <c r="I1647" s="13">
        <f t="shared" si="150"/>
        <v>4.7000000000000455</v>
      </c>
      <c r="J1647" s="14">
        <f t="shared" si="151"/>
        <v>0.42727272727273141</v>
      </c>
      <c r="K1647" s="56">
        <v>2.2799999999999998</v>
      </c>
      <c r="L1647" s="15">
        <f t="shared" si="152"/>
        <v>0</v>
      </c>
      <c r="M1647" s="16">
        <f t="shared" si="153"/>
        <v>216.60866399999998</v>
      </c>
      <c r="N1647" s="17">
        <f t="shared" si="154"/>
        <v>2.2799999999999998</v>
      </c>
      <c r="O1647" s="17">
        <f t="shared" si="155"/>
        <v>2508</v>
      </c>
      <c r="P1647" s="18">
        <f t="shared" si="156"/>
        <v>238269.53039999999</v>
      </c>
    </row>
    <row r="1648" spans="2:16" ht="12.75">
      <c r="B1648" s="10">
        <v>46108</v>
      </c>
      <c r="C1648" s="11">
        <f>VLOOKUP(B:B,'Курс валют'!A:D,4,0)</f>
        <v>95.003799999999998</v>
      </c>
      <c r="D1648" s="57" t="s">
        <v>1367</v>
      </c>
      <c r="E1648" s="50" t="s">
        <v>15</v>
      </c>
      <c r="F1648" s="58">
        <v>1100</v>
      </c>
      <c r="G1648" s="13">
        <v>1104.7</v>
      </c>
      <c r="H1648" s="56">
        <v>0</v>
      </c>
      <c r="I1648" s="13">
        <f t="shared" si="150"/>
        <v>4.7000000000000455</v>
      </c>
      <c r="J1648" s="14">
        <f t="shared" si="151"/>
        <v>0.42727272727273141</v>
      </c>
      <c r="K1648" s="56">
        <v>2.2799999999999998</v>
      </c>
      <c r="L1648" s="15">
        <f t="shared" si="152"/>
        <v>0</v>
      </c>
      <c r="M1648" s="16">
        <f t="shared" si="153"/>
        <v>216.60866399999998</v>
      </c>
      <c r="N1648" s="17">
        <f t="shared" si="154"/>
        <v>2.2799999999999998</v>
      </c>
      <c r="O1648" s="17">
        <f t="shared" si="155"/>
        <v>2508</v>
      </c>
      <c r="P1648" s="18">
        <f t="shared" si="156"/>
        <v>238269.53039999999</v>
      </c>
    </row>
    <row r="1649" spans="2:16" ht="12.75">
      <c r="B1649" s="10">
        <v>46108</v>
      </c>
      <c r="C1649" s="11">
        <f>VLOOKUP(B:B,'Курс валют'!A:D,4,0)</f>
        <v>95.003799999999998</v>
      </c>
      <c r="D1649" s="57" t="s">
        <v>1368</v>
      </c>
      <c r="E1649" s="50" t="s">
        <v>15</v>
      </c>
      <c r="F1649" s="58">
        <v>1100</v>
      </c>
      <c r="G1649" s="13">
        <v>1104.7</v>
      </c>
      <c r="H1649" s="56">
        <v>0</v>
      </c>
      <c r="I1649" s="13">
        <f t="shared" si="150"/>
        <v>4.7000000000000455</v>
      </c>
      <c r="J1649" s="14">
        <f t="shared" si="151"/>
        <v>0.42727272727273141</v>
      </c>
      <c r="K1649" s="56">
        <v>2.29</v>
      </c>
      <c r="L1649" s="15">
        <f t="shared" si="152"/>
        <v>0</v>
      </c>
      <c r="M1649" s="16">
        <f t="shared" si="153"/>
        <v>217.55870199999998</v>
      </c>
      <c r="N1649" s="17">
        <f t="shared" si="154"/>
        <v>2.29</v>
      </c>
      <c r="O1649" s="17">
        <f t="shared" si="155"/>
        <v>2519</v>
      </c>
      <c r="P1649" s="18">
        <f t="shared" si="156"/>
        <v>239314.5722</v>
      </c>
    </row>
    <row r="1650" spans="2:16" ht="12.75">
      <c r="B1650" s="10">
        <v>46108</v>
      </c>
      <c r="C1650" s="11">
        <f>VLOOKUP(B:B,'Курс валют'!A:D,4,0)</f>
        <v>95.003799999999998</v>
      </c>
      <c r="D1650" s="57" t="s">
        <v>1369</v>
      </c>
      <c r="E1650" s="50" t="s">
        <v>15</v>
      </c>
      <c r="F1650" s="58">
        <v>1100</v>
      </c>
      <c r="G1650" s="13">
        <v>1104.7</v>
      </c>
      <c r="H1650" s="56">
        <v>0</v>
      </c>
      <c r="I1650" s="13">
        <f t="shared" si="150"/>
        <v>4.7000000000000455</v>
      </c>
      <c r="J1650" s="14">
        <f t="shared" si="151"/>
        <v>0.42727272727273141</v>
      </c>
      <c r="K1650" s="56">
        <v>2.29</v>
      </c>
      <c r="L1650" s="15">
        <f t="shared" si="152"/>
        <v>0</v>
      </c>
      <c r="M1650" s="16">
        <f t="shared" si="153"/>
        <v>217.55870199999998</v>
      </c>
      <c r="N1650" s="17">
        <f t="shared" si="154"/>
        <v>2.29</v>
      </c>
      <c r="O1650" s="17">
        <f t="shared" si="155"/>
        <v>2519</v>
      </c>
      <c r="P1650" s="18">
        <f t="shared" si="156"/>
        <v>239314.5722</v>
      </c>
    </row>
    <row r="1651" spans="2:16" ht="12.75">
      <c r="B1651" s="10">
        <v>46108</v>
      </c>
      <c r="C1651" s="11">
        <f>VLOOKUP(B:B,'Курс валют'!A:D,4,0)</f>
        <v>95.003799999999998</v>
      </c>
      <c r="D1651" s="57" t="s">
        <v>1370</v>
      </c>
      <c r="E1651" s="50" t="s">
        <v>15</v>
      </c>
      <c r="F1651" s="58">
        <v>1100</v>
      </c>
      <c r="G1651" s="13">
        <v>1104.7</v>
      </c>
      <c r="H1651" s="56">
        <v>0</v>
      </c>
      <c r="I1651" s="13">
        <f t="shared" si="150"/>
        <v>4.7000000000000455</v>
      </c>
      <c r="J1651" s="14">
        <f t="shared" si="151"/>
        <v>0.42727272727273141</v>
      </c>
      <c r="K1651" s="56">
        <v>2.2799999999999998</v>
      </c>
      <c r="L1651" s="15">
        <f t="shared" si="152"/>
        <v>0</v>
      </c>
      <c r="M1651" s="16">
        <f t="shared" si="153"/>
        <v>216.60866399999998</v>
      </c>
      <c r="N1651" s="17">
        <f t="shared" si="154"/>
        <v>2.2799999999999998</v>
      </c>
      <c r="O1651" s="17">
        <f t="shared" si="155"/>
        <v>2508</v>
      </c>
      <c r="P1651" s="18">
        <f t="shared" si="156"/>
        <v>238269.53039999999</v>
      </c>
    </row>
    <row r="1652" spans="2:16" ht="12.75">
      <c r="B1652" s="10">
        <v>46108</v>
      </c>
      <c r="C1652" s="11">
        <f>VLOOKUP(B:B,'Курс валют'!A:D,4,0)</f>
        <v>95.003799999999998</v>
      </c>
      <c r="D1652" s="57" t="s">
        <v>1371</v>
      </c>
      <c r="E1652" s="50" t="s">
        <v>15</v>
      </c>
      <c r="F1652" s="58">
        <v>1100</v>
      </c>
      <c r="G1652" s="13">
        <v>1104.7</v>
      </c>
      <c r="H1652" s="56">
        <v>0</v>
      </c>
      <c r="I1652" s="13">
        <f t="shared" si="150"/>
        <v>4.7000000000000455</v>
      </c>
      <c r="J1652" s="14">
        <f t="shared" si="151"/>
        <v>0.42727272727273141</v>
      </c>
      <c r="K1652" s="56">
        <v>2.2799999999999998</v>
      </c>
      <c r="L1652" s="15">
        <f t="shared" si="152"/>
        <v>0</v>
      </c>
      <c r="M1652" s="16">
        <f t="shared" si="153"/>
        <v>216.60866399999998</v>
      </c>
      <c r="N1652" s="17">
        <f t="shared" si="154"/>
        <v>2.2799999999999998</v>
      </c>
      <c r="O1652" s="17">
        <f t="shared" si="155"/>
        <v>2508</v>
      </c>
      <c r="P1652" s="18">
        <f t="shared" si="156"/>
        <v>238269.53039999999</v>
      </c>
    </row>
    <row r="1653" spans="2:16" ht="12.75">
      <c r="B1653" s="10">
        <v>46108</v>
      </c>
      <c r="C1653" s="11">
        <f>VLOOKUP(B:B,'Курс валют'!A:D,4,0)</f>
        <v>95.003799999999998</v>
      </c>
      <c r="D1653" s="57" t="s">
        <v>1372</v>
      </c>
      <c r="E1653" s="50" t="s">
        <v>15</v>
      </c>
      <c r="F1653" s="58">
        <v>1100</v>
      </c>
      <c r="G1653" s="13">
        <v>1104.7</v>
      </c>
      <c r="H1653" s="56">
        <v>0</v>
      </c>
      <c r="I1653" s="13">
        <f t="shared" si="150"/>
        <v>4.7000000000000455</v>
      </c>
      <c r="J1653" s="14">
        <f t="shared" si="151"/>
        <v>0.42727272727273141</v>
      </c>
      <c r="K1653" s="56">
        <v>2.2799999999999998</v>
      </c>
      <c r="L1653" s="15">
        <f t="shared" si="152"/>
        <v>0</v>
      </c>
      <c r="M1653" s="16">
        <f t="shared" si="153"/>
        <v>216.60866399999998</v>
      </c>
      <c r="N1653" s="17">
        <f t="shared" si="154"/>
        <v>2.2799999999999998</v>
      </c>
      <c r="O1653" s="17">
        <f t="shared" si="155"/>
        <v>2508</v>
      </c>
      <c r="P1653" s="18">
        <f t="shared" si="156"/>
        <v>238269.53039999999</v>
      </c>
    </row>
    <row r="1654" spans="2:16" ht="12.75">
      <c r="B1654" s="10">
        <v>46108</v>
      </c>
      <c r="C1654" s="11">
        <f>VLOOKUP(B:B,'Курс валют'!A:D,4,0)</f>
        <v>95.003799999999998</v>
      </c>
      <c r="D1654" s="57" t="s">
        <v>1373</v>
      </c>
      <c r="E1654" s="50" t="s">
        <v>15</v>
      </c>
      <c r="F1654" s="58">
        <v>1100</v>
      </c>
      <c r="G1654" s="13">
        <v>1104.7</v>
      </c>
      <c r="H1654" s="56">
        <v>0</v>
      </c>
      <c r="I1654" s="13">
        <f t="shared" si="150"/>
        <v>4.7000000000000455</v>
      </c>
      <c r="J1654" s="14">
        <f t="shared" si="151"/>
        <v>0.42727272727273141</v>
      </c>
      <c r="K1654" s="56">
        <v>2.2799999999999998</v>
      </c>
      <c r="L1654" s="15">
        <f t="shared" si="152"/>
        <v>0</v>
      </c>
      <c r="M1654" s="16">
        <f t="shared" si="153"/>
        <v>216.60866399999998</v>
      </c>
      <c r="N1654" s="17">
        <f t="shared" si="154"/>
        <v>2.2799999999999998</v>
      </c>
      <c r="O1654" s="17">
        <f t="shared" si="155"/>
        <v>2508</v>
      </c>
      <c r="P1654" s="18">
        <f t="shared" si="156"/>
        <v>238269.53039999999</v>
      </c>
    </row>
    <row r="1655" spans="2:16" ht="12.75">
      <c r="B1655" s="10">
        <v>46108</v>
      </c>
      <c r="C1655" s="11">
        <f>VLOOKUP(B:B,'Курс валют'!A:D,4,0)</f>
        <v>95.003799999999998</v>
      </c>
      <c r="D1655" s="57" t="s">
        <v>1374</v>
      </c>
      <c r="E1655" s="50" t="s">
        <v>15</v>
      </c>
      <c r="F1655" s="58">
        <v>1100</v>
      </c>
      <c r="G1655" s="13">
        <v>1104.7</v>
      </c>
      <c r="H1655" s="56">
        <v>0</v>
      </c>
      <c r="I1655" s="13">
        <f t="shared" si="150"/>
        <v>4.7000000000000455</v>
      </c>
      <c r="J1655" s="14">
        <f t="shared" si="151"/>
        <v>0.42727272727273141</v>
      </c>
      <c r="K1655" s="56">
        <v>2.29</v>
      </c>
      <c r="L1655" s="15">
        <f t="shared" si="152"/>
        <v>0</v>
      </c>
      <c r="M1655" s="16">
        <f t="shared" si="153"/>
        <v>217.55870199999998</v>
      </c>
      <c r="N1655" s="17">
        <f t="shared" si="154"/>
        <v>2.29</v>
      </c>
      <c r="O1655" s="17">
        <f t="shared" si="155"/>
        <v>2519</v>
      </c>
      <c r="P1655" s="18">
        <f t="shared" si="156"/>
        <v>239314.5722</v>
      </c>
    </row>
    <row r="1656" spans="2:16" ht="12.75">
      <c r="B1656" s="10">
        <v>46109</v>
      </c>
      <c r="C1656" s="11">
        <f>VLOOKUP(B:B,'Курс валют'!A:D,4,0)</f>
        <v>93.424700000000001</v>
      </c>
      <c r="D1656" s="57" t="s">
        <v>1375</v>
      </c>
      <c r="E1656" s="50" t="s">
        <v>15</v>
      </c>
      <c r="F1656" s="58">
        <v>1100</v>
      </c>
      <c r="G1656" s="13">
        <v>1104.7</v>
      </c>
      <c r="H1656" s="56">
        <v>0</v>
      </c>
      <c r="I1656" s="13">
        <f t="shared" si="150"/>
        <v>4.7000000000000455</v>
      </c>
      <c r="J1656" s="14">
        <f t="shared" si="151"/>
        <v>0.42727272727273141</v>
      </c>
      <c r="K1656" s="56">
        <v>2.29</v>
      </c>
      <c r="L1656" s="15">
        <f t="shared" si="152"/>
        <v>0</v>
      </c>
      <c r="M1656" s="16">
        <f t="shared" si="153"/>
        <v>213.94256300000001</v>
      </c>
      <c r="N1656" s="17">
        <f t="shared" si="154"/>
        <v>2.29</v>
      </c>
      <c r="O1656" s="17">
        <f t="shared" si="155"/>
        <v>2519</v>
      </c>
      <c r="P1656" s="18">
        <f t="shared" si="156"/>
        <v>235336.8193</v>
      </c>
    </row>
    <row r="1657" spans="2:16" ht="12.75">
      <c r="B1657" s="10">
        <v>46109</v>
      </c>
      <c r="C1657" s="11">
        <f>VLOOKUP(B:B,'Курс валют'!A:D,4,0)</f>
        <v>93.424700000000001</v>
      </c>
      <c r="D1657" s="57" t="s">
        <v>1376</v>
      </c>
      <c r="E1657" s="50" t="s">
        <v>15</v>
      </c>
      <c r="F1657" s="58">
        <v>1100</v>
      </c>
      <c r="G1657" s="13">
        <v>1104.7</v>
      </c>
      <c r="H1657" s="56">
        <v>0</v>
      </c>
      <c r="I1657" s="13">
        <f t="shared" si="150"/>
        <v>4.7000000000000455</v>
      </c>
      <c r="J1657" s="14">
        <f t="shared" si="151"/>
        <v>0.42727272727273141</v>
      </c>
      <c r="K1657" s="56">
        <v>2.2799999999999998</v>
      </c>
      <c r="L1657" s="15">
        <f t="shared" si="152"/>
        <v>0</v>
      </c>
      <c r="M1657" s="16">
        <f t="shared" si="153"/>
        <v>213.00831600000001</v>
      </c>
      <c r="N1657" s="17">
        <f t="shared" si="154"/>
        <v>2.2799999999999998</v>
      </c>
      <c r="O1657" s="17">
        <f t="shared" si="155"/>
        <v>2508</v>
      </c>
      <c r="P1657" s="18">
        <f t="shared" si="156"/>
        <v>234309.1476</v>
      </c>
    </row>
    <row r="1658" spans="2:16" ht="12.75">
      <c r="B1658" s="10">
        <v>46109</v>
      </c>
      <c r="C1658" s="11">
        <f>VLOOKUP(B:B,'Курс валют'!A:D,4,0)</f>
        <v>93.424700000000001</v>
      </c>
      <c r="D1658" s="57" t="s">
        <v>1377</v>
      </c>
      <c r="E1658" s="50" t="s">
        <v>15</v>
      </c>
      <c r="F1658" s="58">
        <v>1100</v>
      </c>
      <c r="G1658" s="13">
        <v>1104.7</v>
      </c>
      <c r="H1658" s="56">
        <v>0</v>
      </c>
      <c r="I1658" s="13">
        <f t="shared" si="150"/>
        <v>4.7000000000000455</v>
      </c>
      <c r="J1658" s="14">
        <f t="shared" si="151"/>
        <v>0.42727272727273141</v>
      </c>
      <c r="K1658" s="56">
        <v>2.2799999999999998</v>
      </c>
      <c r="L1658" s="15">
        <f t="shared" si="152"/>
        <v>0</v>
      </c>
      <c r="M1658" s="16">
        <f t="shared" si="153"/>
        <v>213.00831600000001</v>
      </c>
      <c r="N1658" s="17">
        <f t="shared" si="154"/>
        <v>2.2799999999999998</v>
      </c>
      <c r="O1658" s="17">
        <f t="shared" si="155"/>
        <v>2508</v>
      </c>
      <c r="P1658" s="18">
        <f t="shared" si="156"/>
        <v>234309.1476</v>
      </c>
    </row>
    <row r="1659" spans="2:16" ht="12.75">
      <c r="B1659" s="10">
        <v>46109</v>
      </c>
      <c r="C1659" s="11">
        <f>VLOOKUP(B:B,'Курс валют'!A:D,4,0)</f>
        <v>93.424700000000001</v>
      </c>
      <c r="D1659" s="57" t="s">
        <v>1378</v>
      </c>
      <c r="E1659" s="50" t="s">
        <v>15</v>
      </c>
      <c r="F1659" s="58">
        <v>1100</v>
      </c>
      <c r="G1659" s="13">
        <v>1104.7</v>
      </c>
      <c r="H1659" s="56">
        <v>0</v>
      </c>
      <c r="I1659" s="13">
        <f t="shared" ref="I1659:I1722" si="157">G1659-F1659</f>
        <v>4.7000000000000455</v>
      </c>
      <c r="J1659" s="14">
        <f t="shared" si="151"/>
        <v>0.42727272727273141</v>
      </c>
      <c r="K1659" s="56">
        <v>2.2799999999999998</v>
      </c>
      <c r="L1659" s="15">
        <f t="shared" si="152"/>
        <v>0</v>
      </c>
      <c r="M1659" s="16">
        <f t="shared" si="153"/>
        <v>213.00831600000001</v>
      </c>
      <c r="N1659" s="17">
        <f t="shared" si="154"/>
        <v>2.2799999999999998</v>
      </c>
      <c r="O1659" s="17">
        <f t="shared" si="155"/>
        <v>2508</v>
      </c>
      <c r="P1659" s="18">
        <f t="shared" si="156"/>
        <v>234309.1476</v>
      </c>
    </row>
    <row r="1660" spans="2:16" ht="12.75">
      <c r="B1660" s="10">
        <v>46109</v>
      </c>
      <c r="C1660" s="11">
        <f>VLOOKUP(B:B,'Курс валют'!A:D,4,0)</f>
        <v>93.424700000000001</v>
      </c>
      <c r="D1660" s="57" t="s">
        <v>1379</v>
      </c>
      <c r="E1660" s="50" t="s">
        <v>15</v>
      </c>
      <c r="F1660" s="58">
        <v>1100</v>
      </c>
      <c r="G1660" s="13">
        <v>1104.7</v>
      </c>
      <c r="H1660" s="56">
        <v>0</v>
      </c>
      <c r="I1660" s="13">
        <f t="shared" si="157"/>
        <v>4.7000000000000455</v>
      </c>
      <c r="J1660" s="14">
        <f t="shared" si="151"/>
        <v>0.42727272727273141</v>
      </c>
      <c r="K1660" s="56">
        <v>2.29</v>
      </c>
      <c r="L1660" s="15">
        <f t="shared" si="152"/>
        <v>0</v>
      </c>
      <c r="M1660" s="16">
        <f t="shared" si="153"/>
        <v>213.94256300000001</v>
      </c>
      <c r="N1660" s="17">
        <f t="shared" si="154"/>
        <v>2.29</v>
      </c>
      <c r="O1660" s="17">
        <f t="shared" si="155"/>
        <v>2519</v>
      </c>
      <c r="P1660" s="18">
        <f t="shared" si="156"/>
        <v>235336.8193</v>
      </c>
    </row>
    <row r="1661" spans="2:16" ht="12.75">
      <c r="B1661" s="10">
        <v>46109</v>
      </c>
      <c r="C1661" s="11">
        <f>VLOOKUP(B:B,'Курс валют'!A:D,4,0)</f>
        <v>93.424700000000001</v>
      </c>
      <c r="D1661" s="57" t="s">
        <v>1380</v>
      </c>
      <c r="E1661" s="50" t="s">
        <v>15</v>
      </c>
      <c r="F1661" s="58">
        <v>1100</v>
      </c>
      <c r="G1661" s="13">
        <v>1104.7</v>
      </c>
      <c r="H1661" s="56">
        <v>0</v>
      </c>
      <c r="I1661" s="13">
        <f t="shared" si="157"/>
        <v>4.7000000000000455</v>
      </c>
      <c r="J1661" s="14">
        <f t="shared" si="151"/>
        <v>0.42727272727273141</v>
      </c>
      <c r="K1661" s="56">
        <v>2.2799999999999998</v>
      </c>
      <c r="L1661" s="15">
        <f t="shared" si="152"/>
        <v>0</v>
      </c>
      <c r="M1661" s="16">
        <f t="shared" si="153"/>
        <v>213.00831600000001</v>
      </c>
      <c r="N1661" s="17">
        <f t="shared" si="154"/>
        <v>2.2799999999999998</v>
      </c>
      <c r="O1661" s="17">
        <f t="shared" si="155"/>
        <v>2508</v>
      </c>
      <c r="P1661" s="18">
        <f t="shared" si="156"/>
        <v>234309.1476</v>
      </c>
    </row>
    <row r="1662" spans="2:16" ht="12.75">
      <c r="B1662" s="10">
        <v>46109</v>
      </c>
      <c r="C1662" s="11">
        <f>VLOOKUP(B:B,'Курс валют'!A:D,4,0)</f>
        <v>93.424700000000001</v>
      </c>
      <c r="D1662" s="57" t="s">
        <v>1381</v>
      </c>
      <c r="E1662" s="50" t="s">
        <v>15</v>
      </c>
      <c r="F1662" s="58">
        <v>1100</v>
      </c>
      <c r="G1662" s="13">
        <v>1104.7</v>
      </c>
      <c r="H1662" s="56">
        <v>0</v>
      </c>
      <c r="I1662" s="13">
        <f t="shared" si="157"/>
        <v>4.7000000000000455</v>
      </c>
      <c r="J1662" s="14">
        <f t="shared" si="151"/>
        <v>0.42727272727273141</v>
      </c>
      <c r="K1662" s="56">
        <v>2.2799999999999998</v>
      </c>
      <c r="L1662" s="15">
        <f t="shared" si="152"/>
        <v>0</v>
      </c>
      <c r="M1662" s="16">
        <f t="shared" si="153"/>
        <v>213.00831600000001</v>
      </c>
      <c r="N1662" s="17">
        <f t="shared" si="154"/>
        <v>2.2799999999999998</v>
      </c>
      <c r="O1662" s="17">
        <f t="shared" si="155"/>
        <v>2508</v>
      </c>
      <c r="P1662" s="18">
        <f t="shared" si="156"/>
        <v>234309.1476</v>
      </c>
    </row>
    <row r="1663" spans="2:16" ht="12.75">
      <c r="B1663" s="10">
        <v>46109</v>
      </c>
      <c r="C1663" s="11">
        <f>VLOOKUP(B:B,'Курс валют'!A:D,4,0)</f>
        <v>93.424700000000001</v>
      </c>
      <c r="D1663" s="57" t="s">
        <v>1382</v>
      </c>
      <c r="E1663" s="50" t="s">
        <v>15</v>
      </c>
      <c r="F1663" s="58">
        <v>1100</v>
      </c>
      <c r="G1663" s="13">
        <v>1104.7</v>
      </c>
      <c r="H1663" s="56">
        <v>0</v>
      </c>
      <c r="I1663" s="13">
        <f t="shared" si="157"/>
        <v>4.7000000000000455</v>
      </c>
      <c r="J1663" s="14">
        <f t="shared" si="151"/>
        <v>0.42727272727273141</v>
      </c>
      <c r="K1663" s="56">
        <v>2.2799999999999998</v>
      </c>
      <c r="L1663" s="15">
        <f t="shared" si="152"/>
        <v>0</v>
      </c>
      <c r="M1663" s="16">
        <f t="shared" si="153"/>
        <v>213.00831600000001</v>
      </c>
      <c r="N1663" s="17">
        <f t="shared" si="154"/>
        <v>2.2799999999999998</v>
      </c>
      <c r="O1663" s="17">
        <f t="shared" si="155"/>
        <v>2508</v>
      </c>
      <c r="P1663" s="18">
        <f t="shared" si="156"/>
        <v>234309.1476</v>
      </c>
    </row>
    <row r="1664" spans="2:16" ht="12.75">
      <c r="B1664" s="10">
        <v>46109</v>
      </c>
      <c r="C1664" s="11">
        <f>VLOOKUP(B:B,'Курс валют'!A:D,4,0)</f>
        <v>93.424700000000001</v>
      </c>
      <c r="D1664" s="57" t="s">
        <v>1383</v>
      </c>
      <c r="E1664" s="50" t="s">
        <v>15</v>
      </c>
      <c r="F1664" s="58">
        <v>1100</v>
      </c>
      <c r="G1664" s="13">
        <v>1104.7</v>
      </c>
      <c r="H1664" s="56">
        <v>0</v>
      </c>
      <c r="I1664" s="13">
        <f t="shared" si="157"/>
        <v>4.7000000000000455</v>
      </c>
      <c r="J1664" s="14">
        <f t="shared" si="151"/>
        <v>0.42727272727273141</v>
      </c>
      <c r="K1664" s="56">
        <v>2.2799999999999998</v>
      </c>
      <c r="L1664" s="15">
        <f t="shared" si="152"/>
        <v>0</v>
      </c>
      <c r="M1664" s="16">
        <f t="shared" si="153"/>
        <v>213.00831600000001</v>
      </c>
      <c r="N1664" s="17">
        <f t="shared" si="154"/>
        <v>2.2799999999999998</v>
      </c>
      <c r="O1664" s="17">
        <f t="shared" si="155"/>
        <v>2508</v>
      </c>
      <c r="P1664" s="18">
        <f t="shared" si="156"/>
        <v>234309.1476</v>
      </c>
    </row>
    <row r="1665" spans="2:16" ht="12.75">
      <c r="B1665" s="10">
        <v>46109</v>
      </c>
      <c r="C1665" s="11">
        <f>VLOOKUP(B:B,'Курс валют'!A:D,4,0)</f>
        <v>93.424700000000001</v>
      </c>
      <c r="D1665" s="57" t="s">
        <v>1384</v>
      </c>
      <c r="E1665" s="50" t="s">
        <v>15</v>
      </c>
      <c r="F1665" s="58">
        <v>1100</v>
      </c>
      <c r="G1665" s="13">
        <v>1104.7</v>
      </c>
      <c r="H1665" s="56">
        <v>0</v>
      </c>
      <c r="I1665" s="13">
        <f t="shared" si="157"/>
        <v>4.7000000000000455</v>
      </c>
      <c r="J1665" s="14">
        <f t="shared" si="151"/>
        <v>0.42727272727273141</v>
      </c>
      <c r="K1665" s="56">
        <v>2.29</v>
      </c>
      <c r="L1665" s="15">
        <f t="shared" si="152"/>
        <v>0</v>
      </c>
      <c r="M1665" s="16">
        <f t="shared" si="153"/>
        <v>213.94256300000001</v>
      </c>
      <c r="N1665" s="17">
        <f t="shared" si="154"/>
        <v>2.29</v>
      </c>
      <c r="O1665" s="17">
        <f t="shared" si="155"/>
        <v>2519</v>
      </c>
      <c r="P1665" s="18">
        <f t="shared" si="156"/>
        <v>235336.8193</v>
      </c>
    </row>
    <row r="1666" spans="2:16" ht="12.75">
      <c r="B1666" s="10">
        <v>46109</v>
      </c>
      <c r="C1666" s="11">
        <f>VLOOKUP(B:B,'Курс валют'!A:D,4,0)</f>
        <v>93.424700000000001</v>
      </c>
      <c r="D1666" s="57" t="s">
        <v>1385</v>
      </c>
      <c r="E1666" s="50" t="s">
        <v>125</v>
      </c>
      <c r="F1666" s="58">
        <v>2200</v>
      </c>
      <c r="G1666" s="13">
        <v>2235.79</v>
      </c>
      <c r="H1666" s="56">
        <v>0</v>
      </c>
      <c r="I1666" s="13">
        <f t="shared" si="157"/>
        <v>35.789999999999964</v>
      </c>
      <c r="J1666" s="14">
        <f t="shared" si="151"/>
        <v>1.6268181818181804</v>
      </c>
      <c r="K1666" s="56">
        <v>2</v>
      </c>
      <c r="L1666" s="15">
        <f t="shared" si="152"/>
        <v>0</v>
      </c>
      <c r="M1666" s="16">
        <f t="shared" si="153"/>
        <v>186.8494</v>
      </c>
      <c r="N1666" s="17">
        <f t="shared" si="154"/>
        <v>2</v>
      </c>
      <c r="O1666" s="17">
        <f t="shared" si="155"/>
        <v>4400</v>
      </c>
      <c r="P1666" s="18">
        <f t="shared" si="156"/>
        <v>411068.68</v>
      </c>
    </row>
    <row r="1667" spans="2:16" ht="12.75">
      <c r="B1667" s="10">
        <v>46109</v>
      </c>
      <c r="C1667" s="11">
        <f>VLOOKUP(B:B,'Курс валют'!A:D,4,0)</f>
        <v>93.424700000000001</v>
      </c>
      <c r="D1667" s="57" t="s">
        <v>1386</v>
      </c>
      <c r="E1667" s="50" t="s">
        <v>113</v>
      </c>
      <c r="F1667" s="58">
        <v>60</v>
      </c>
      <c r="G1667" s="58">
        <v>63.09</v>
      </c>
      <c r="H1667" s="56">
        <v>0</v>
      </c>
      <c r="I1667" s="58">
        <f t="shared" si="157"/>
        <v>3.0900000000000034</v>
      </c>
      <c r="J1667" s="14">
        <f t="shared" si="151"/>
        <v>5.1500000000000057</v>
      </c>
      <c r="K1667" s="56">
        <v>2.63</v>
      </c>
      <c r="L1667" s="15">
        <f t="shared" si="152"/>
        <v>0</v>
      </c>
      <c r="M1667" s="16">
        <f t="shared" si="153"/>
        <v>245.70696099999998</v>
      </c>
      <c r="N1667" s="17">
        <f t="shared" si="154"/>
        <v>2.63</v>
      </c>
      <c r="O1667" s="17">
        <f t="shared" si="155"/>
        <v>157.79999999999998</v>
      </c>
      <c r="P1667" s="18">
        <f t="shared" si="156"/>
        <v>14742.417659999999</v>
      </c>
    </row>
    <row r="1668" spans="2:16" ht="12.75">
      <c r="B1668" s="10">
        <v>46110</v>
      </c>
      <c r="C1668" s="11">
        <f>VLOOKUP(B:B,'Курс валют'!A:D,4,0)</f>
        <v>93.424700000000001</v>
      </c>
      <c r="D1668" s="57" t="s">
        <v>1387</v>
      </c>
      <c r="E1668" s="50" t="s">
        <v>78</v>
      </c>
      <c r="F1668" s="58">
        <v>2000</v>
      </c>
      <c r="G1668" s="13">
        <v>2060.4499999999998</v>
      </c>
      <c r="H1668" s="56">
        <v>0</v>
      </c>
      <c r="I1668" s="13">
        <f t="shared" si="157"/>
        <v>60.449999999999818</v>
      </c>
      <c r="J1668" s="14">
        <f t="shared" si="151"/>
        <v>3.0224999999999906</v>
      </c>
      <c r="K1668" s="56">
        <v>2.36</v>
      </c>
      <c r="L1668" s="15">
        <f t="shared" si="152"/>
        <v>0</v>
      </c>
      <c r="M1668" s="16">
        <f t="shared" si="153"/>
        <v>220.48229200000003</v>
      </c>
      <c r="N1668" s="17">
        <f t="shared" si="154"/>
        <v>2.36</v>
      </c>
      <c r="O1668" s="17">
        <f t="shared" si="155"/>
        <v>4720</v>
      </c>
      <c r="P1668" s="18">
        <f t="shared" si="156"/>
        <v>440964.58400000003</v>
      </c>
    </row>
    <row r="1669" spans="2:16" ht="12.75">
      <c r="B1669" s="10">
        <v>46110</v>
      </c>
      <c r="C1669" s="11">
        <f>VLOOKUP(B:B,'Курс валют'!A:D,4,0)</f>
        <v>93.424700000000001</v>
      </c>
      <c r="D1669" s="57" t="s">
        <v>1388</v>
      </c>
      <c r="E1669" s="50" t="s">
        <v>112</v>
      </c>
      <c r="F1669" s="58">
        <v>60</v>
      </c>
      <c r="G1669" s="58">
        <v>63</v>
      </c>
      <c r="H1669" s="56">
        <v>0</v>
      </c>
      <c r="I1669" s="58">
        <f t="shared" si="157"/>
        <v>3</v>
      </c>
      <c r="J1669" s="14">
        <f t="shared" si="151"/>
        <v>5</v>
      </c>
      <c r="K1669" s="56">
        <v>2.82</v>
      </c>
      <c r="L1669" s="15">
        <f t="shared" si="152"/>
        <v>0</v>
      </c>
      <c r="M1669" s="16">
        <f t="shared" si="153"/>
        <v>263.45765399999999</v>
      </c>
      <c r="N1669" s="17">
        <f t="shared" si="154"/>
        <v>2.82</v>
      </c>
      <c r="O1669" s="17">
        <f t="shared" si="155"/>
        <v>169.2</v>
      </c>
      <c r="P1669" s="18">
        <f t="shared" si="156"/>
        <v>15807.459239999998</v>
      </c>
    </row>
    <row r="1670" spans="2:16" ht="12.75">
      <c r="B1670" s="10">
        <v>46110</v>
      </c>
      <c r="C1670" s="11">
        <f>VLOOKUP(B:B,'Курс валют'!A:D,4,0)</f>
        <v>93.424700000000001</v>
      </c>
      <c r="D1670" s="57" t="s">
        <v>1389</v>
      </c>
      <c r="E1670" s="50" t="s">
        <v>15</v>
      </c>
      <c r="F1670" s="58">
        <v>1100</v>
      </c>
      <c r="G1670" s="13">
        <v>1104.7</v>
      </c>
      <c r="H1670" s="56">
        <v>0</v>
      </c>
      <c r="I1670" s="13">
        <f t="shared" si="157"/>
        <v>4.7000000000000455</v>
      </c>
      <c r="J1670" s="14">
        <f t="shared" si="151"/>
        <v>0.42727272727273141</v>
      </c>
      <c r="K1670" s="56">
        <v>2.29</v>
      </c>
      <c r="L1670" s="15">
        <f t="shared" si="152"/>
        <v>0</v>
      </c>
      <c r="M1670" s="16">
        <f t="shared" si="153"/>
        <v>213.94256300000001</v>
      </c>
      <c r="N1670" s="17">
        <f t="shared" si="154"/>
        <v>2.29</v>
      </c>
      <c r="O1670" s="17">
        <f t="shared" si="155"/>
        <v>2519</v>
      </c>
      <c r="P1670" s="18">
        <f t="shared" si="156"/>
        <v>235336.8193</v>
      </c>
    </row>
    <row r="1671" spans="2:16" ht="12.75">
      <c r="B1671" s="10">
        <v>46110</v>
      </c>
      <c r="C1671" s="11">
        <f>VLOOKUP(B:B,'Курс валют'!A:D,4,0)</f>
        <v>93.424700000000001</v>
      </c>
      <c r="D1671" s="57" t="s">
        <v>1390</v>
      </c>
      <c r="E1671" s="50" t="s">
        <v>15</v>
      </c>
      <c r="F1671" s="58">
        <v>1100</v>
      </c>
      <c r="G1671" s="13">
        <v>1104.7</v>
      </c>
      <c r="H1671" s="56">
        <v>0</v>
      </c>
      <c r="I1671" s="13">
        <f t="shared" si="157"/>
        <v>4.7000000000000455</v>
      </c>
      <c r="J1671" s="14">
        <f t="shared" si="151"/>
        <v>0.42727272727273141</v>
      </c>
      <c r="K1671" s="56">
        <v>2.2799999999999998</v>
      </c>
      <c r="L1671" s="15">
        <f t="shared" si="152"/>
        <v>0</v>
      </c>
      <c r="M1671" s="16">
        <f t="shared" si="153"/>
        <v>213.00831600000001</v>
      </c>
      <c r="N1671" s="17">
        <f t="shared" si="154"/>
        <v>2.2799999999999998</v>
      </c>
      <c r="O1671" s="17">
        <f t="shared" si="155"/>
        <v>2508</v>
      </c>
      <c r="P1671" s="18">
        <f t="shared" si="156"/>
        <v>234309.1476</v>
      </c>
    </row>
    <row r="1672" spans="2:16" ht="12.75">
      <c r="B1672" s="10">
        <v>46110</v>
      </c>
      <c r="C1672" s="11">
        <f>VLOOKUP(B:B,'Курс валют'!A:D,4,0)</f>
        <v>93.424700000000001</v>
      </c>
      <c r="D1672" s="57" t="s">
        <v>1391</v>
      </c>
      <c r="E1672" s="50" t="s">
        <v>15</v>
      </c>
      <c r="F1672" s="58">
        <v>1100</v>
      </c>
      <c r="G1672" s="13">
        <v>1104.7</v>
      </c>
      <c r="H1672" s="56">
        <v>0</v>
      </c>
      <c r="I1672" s="13">
        <f t="shared" si="157"/>
        <v>4.7000000000000455</v>
      </c>
      <c r="J1672" s="14">
        <f t="shared" si="151"/>
        <v>0.42727272727273141</v>
      </c>
      <c r="K1672" s="56">
        <v>2.2799999999999998</v>
      </c>
      <c r="L1672" s="15">
        <f t="shared" si="152"/>
        <v>0</v>
      </c>
      <c r="M1672" s="16">
        <f t="shared" si="153"/>
        <v>213.00831600000001</v>
      </c>
      <c r="N1672" s="17">
        <f t="shared" si="154"/>
        <v>2.2799999999999998</v>
      </c>
      <c r="O1672" s="17">
        <f t="shared" si="155"/>
        <v>2508</v>
      </c>
      <c r="P1672" s="18">
        <f t="shared" si="156"/>
        <v>234309.1476</v>
      </c>
    </row>
    <row r="1673" spans="2:16" ht="12.75">
      <c r="B1673" s="10">
        <v>46110</v>
      </c>
      <c r="C1673" s="11">
        <f>VLOOKUP(B:B,'Курс валют'!A:D,4,0)</f>
        <v>93.424700000000001</v>
      </c>
      <c r="D1673" s="57" t="s">
        <v>1392</v>
      </c>
      <c r="E1673" s="50" t="s">
        <v>15</v>
      </c>
      <c r="F1673" s="58">
        <v>1100</v>
      </c>
      <c r="G1673" s="13">
        <v>1104.7</v>
      </c>
      <c r="H1673" s="56">
        <v>0</v>
      </c>
      <c r="I1673" s="13">
        <f t="shared" si="157"/>
        <v>4.7000000000000455</v>
      </c>
      <c r="J1673" s="14">
        <f t="shared" si="151"/>
        <v>0.42727272727273141</v>
      </c>
      <c r="K1673" s="56">
        <v>2.29</v>
      </c>
      <c r="L1673" s="15">
        <f t="shared" si="152"/>
        <v>0</v>
      </c>
      <c r="M1673" s="16">
        <f t="shared" si="153"/>
        <v>213.94256300000001</v>
      </c>
      <c r="N1673" s="17">
        <f t="shared" si="154"/>
        <v>2.29</v>
      </c>
      <c r="O1673" s="17">
        <f t="shared" si="155"/>
        <v>2519</v>
      </c>
      <c r="P1673" s="18">
        <f t="shared" si="156"/>
        <v>235336.8193</v>
      </c>
    </row>
    <row r="1674" spans="2:16" ht="12.75">
      <c r="B1674" s="10">
        <v>46110</v>
      </c>
      <c r="C1674" s="11">
        <f>VLOOKUP(B:B,'Курс валют'!A:D,4,0)</f>
        <v>93.424700000000001</v>
      </c>
      <c r="D1674" s="57" t="s">
        <v>1393</v>
      </c>
      <c r="E1674" s="50" t="s">
        <v>15</v>
      </c>
      <c r="F1674" s="58">
        <v>1100</v>
      </c>
      <c r="G1674" s="13">
        <v>1104.7</v>
      </c>
      <c r="H1674" s="56">
        <v>0</v>
      </c>
      <c r="I1674" s="13">
        <f t="shared" si="157"/>
        <v>4.7000000000000455</v>
      </c>
      <c r="J1674" s="14">
        <f t="shared" si="151"/>
        <v>0.42727272727273141</v>
      </c>
      <c r="K1674" s="56">
        <v>2.2799999999999998</v>
      </c>
      <c r="L1674" s="15">
        <f t="shared" si="152"/>
        <v>0</v>
      </c>
      <c r="M1674" s="16">
        <f t="shared" si="153"/>
        <v>213.00831600000001</v>
      </c>
      <c r="N1674" s="17">
        <f t="shared" si="154"/>
        <v>2.2799999999999998</v>
      </c>
      <c r="O1674" s="17">
        <f t="shared" si="155"/>
        <v>2508</v>
      </c>
      <c r="P1674" s="18">
        <f t="shared" si="156"/>
        <v>234309.1476</v>
      </c>
    </row>
    <row r="1675" spans="2:16" ht="12.75">
      <c r="B1675" s="10">
        <v>46110</v>
      </c>
      <c r="C1675" s="11">
        <f>VLOOKUP(B:B,'Курс валют'!A:D,4,0)</f>
        <v>93.424700000000001</v>
      </c>
      <c r="D1675" s="57" t="s">
        <v>1394</v>
      </c>
      <c r="E1675" s="50" t="s">
        <v>15</v>
      </c>
      <c r="F1675" s="58">
        <v>1100</v>
      </c>
      <c r="G1675" s="13">
        <v>1104.7</v>
      </c>
      <c r="H1675" s="56">
        <v>0</v>
      </c>
      <c r="I1675" s="13">
        <f t="shared" si="157"/>
        <v>4.7000000000000455</v>
      </c>
      <c r="J1675" s="14">
        <f t="shared" si="151"/>
        <v>0.42727272727273141</v>
      </c>
      <c r="K1675" s="56">
        <v>2.2799999999999998</v>
      </c>
      <c r="L1675" s="15">
        <f t="shared" si="152"/>
        <v>0</v>
      </c>
      <c r="M1675" s="16">
        <f t="shared" si="153"/>
        <v>213.00831600000001</v>
      </c>
      <c r="N1675" s="17">
        <f t="shared" si="154"/>
        <v>2.2799999999999998</v>
      </c>
      <c r="O1675" s="17">
        <f t="shared" si="155"/>
        <v>2508</v>
      </c>
      <c r="P1675" s="18">
        <f t="shared" si="156"/>
        <v>234309.1476</v>
      </c>
    </row>
    <row r="1676" spans="2:16" ht="12.75">
      <c r="B1676" s="10">
        <v>46110</v>
      </c>
      <c r="C1676" s="11">
        <f>VLOOKUP(B:B,'Курс валют'!A:D,4,0)</f>
        <v>93.424700000000001</v>
      </c>
      <c r="D1676" s="57" t="s">
        <v>1395</v>
      </c>
      <c r="E1676" s="50" t="s">
        <v>15</v>
      </c>
      <c r="F1676" s="58">
        <v>1100</v>
      </c>
      <c r="G1676" s="13">
        <v>1104.7</v>
      </c>
      <c r="H1676" s="56">
        <v>0</v>
      </c>
      <c r="I1676" s="13">
        <f t="shared" si="157"/>
        <v>4.7000000000000455</v>
      </c>
      <c r="J1676" s="14">
        <f t="shared" si="151"/>
        <v>0.42727272727273141</v>
      </c>
      <c r="K1676" s="56">
        <v>2.2799999999999998</v>
      </c>
      <c r="L1676" s="15">
        <f t="shared" si="152"/>
        <v>0</v>
      </c>
      <c r="M1676" s="16">
        <f t="shared" si="153"/>
        <v>213.00831600000001</v>
      </c>
      <c r="N1676" s="17">
        <f t="shared" si="154"/>
        <v>2.2799999999999998</v>
      </c>
      <c r="O1676" s="17">
        <f t="shared" si="155"/>
        <v>2508</v>
      </c>
      <c r="P1676" s="18">
        <f t="shared" si="156"/>
        <v>234309.1476</v>
      </c>
    </row>
    <row r="1677" spans="2:16" ht="12.75">
      <c r="B1677" s="10">
        <v>46110</v>
      </c>
      <c r="C1677" s="11">
        <f>VLOOKUP(B:B,'Курс валют'!A:D,4,0)</f>
        <v>93.424700000000001</v>
      </c>
      <c r="D1677" s="57" t="s">
        <v>1396</v>
      </c>
      <c r="E1677" s="50" t="s">
        <v>15</v>
      </c>
      <c r="F1677" s="58">
        <v>1100</v>
      </c>
      <c r="G1677" s="13">
        <v>1104.7</v>
      </c>
      <c r="H1677" s="56">
        <v>0</v>
      </c>
      <c r="I1677" s="13">
        <f t="shared" si="157"/>
        <v>4.7000000000000455</v>
      </c>
      <c r="J1677" s="14">
        <f t="shared" si="151"/>
        <v>0.42727272727273141</v>
      </c>
      <c r="K1677" s="56">
        <v>2.29</v>
      </c>
      <c r="L1677" s="15">
        <f t="shared" si="152"/>
        <v>0</v>
      </c>
      <c r="M1677" s="16">
        <f t="shared" si="153"/>
        <v>213.94256300000001</v>
      </c>
      <c r="N1677" s="17">
        <f t="shared" si="154"/>
        <v>2.29</v>
      </c>
      <c r="O1677" s="17">
        <f t="shared" si="155"/>
        <v>2519</v>
      </c>
      <c r="P1677" s="18">
        <f t="shared" si="156"/>
        <v>235336.8193</v>
      </c>
    </row>
    <row r="1678" spans="2:16" ht="12.75">
      <c r="B1678" s="10">
        <v>46110</v>
      </c>
      <c r="C1678" s="11">
        <f>VLOOKUP(B:B,'Курс валют'!A:D,4,0)</f>
        <v>93.424700000000001</v>
      </c>
      <c r="D1678" s="57" t="s">
        <v>1397</v>
      </c>
      <c r="E1678" s="50" t="s">
        <v>15</v>
      </c>
      <c r="F1678" s="58">
        <v>1100</v>
      </c>
      <c r="G1678" s="13">
        <v>1104.7</v>
      </c>
      <c r="H1678" s="56">
        <v>0</v>
      </c>
      <c r="I1678" s="13">
        <f t="shared" si="157"/>
        <v>4.7000000000000455</v>
      </c>
      <c r="J1678" s="14">
        <f t="shared" si="151"/>
        <v>0.42727272727273141</v>
      </c>
      <c r="K1678" s="56">
        <v>2.2799999999999998</v>
      </c>
      <c r="L1678" s="15">
        <f t="shared" si="152"/>
        <v>0</v>
      </c>
      <c r="M1678" s="16">
        <f t="shared" si="153"/>
        <v>213.00831600000001</v>
      </c>
      <c r="N1678" s="17">
        <f t="shared" si="154"/>
        <v>2.2799999999999998</v>
      </c>
      <c r="O1678" s="17">
        <f t="shared" si="155"/>
        <v>2508</v>
      </c>
      <c r="P1678" s="18">
        <f t="shared" si="156"/>
        <v>234309.1476</v>
      </c>
    </row>
    <row r="1679" spans="2:16" ht="12.75">
      <c r="B1679" s="10">
        <v>46110</v>
      </c>
      <c r="C1679" s="11">
        <f>VLOOKUP(B:B,'Курс валют'!A:D,4,0)</f>
        <v>93.424700000000001</v>
      </c>
      <c r="D1679" s="57" t="s">
        <v>1398</v>
      </c>
      <c r="E1679" s="50" t="s">
        <v>15</v>
      </c>
      <c r="F1679" s="58">
        <v>1100</v>
      </c>
      <c r="G1679" s="13">
        <v>1104.7</v>
      </c>
      <c r="H1679" s="56">
        <v>0</v>
      </c>
      <c r="I1679" s="13">
        <f t="shared" si="157"/>
        <v>4.7000000000000455</v>
      </c>
      <c r="J1679" s="14">
        <f t="shared" si="151"/>
        <v>0.42727272727273141</v>
      </c>
      <c r="K1679" s="56">
        <v>2.29</v>
      </c>
      <c r="L1679" s="15">
        <f t="shared" si="152"/>
        <v>0</v>
      </c>
      <c r="M1679" s="16">
        <f t="shared" si="153"/>
        <v>213.94256300000001</v>
      </c>
      <c r="N1679" s="17">
        <f t="shared" si="154"/>
        <v>2.29</v>
      </c>
      <c r="O1679" s="17">
        <f t="shared" si="155"/>
        <v>2519</v>
      </c>
      <c r="P1679" s="18">
        <f t="shared" si="156"/>
        <v>235336.8193</v>
      </c>
    </row>
    <row r="1680" spans="2:16" ht="12.75">
      <c r="B1680" s="10">
        <v>46111</v>
      </c>
      <c r="C1680" s="11">
        <f>VLOOKUP(B:B,'Курс валют'!A:D,4,0)</f>
        <v>93.424700000000001</v>
      </c>
      <c r="D1680" s="57" t="s">
        <v>1399</v>
      </c>
      <c r="E1680" s="50" t="s">
        <v>58</v>
      </c>
      <c r="F1680" s="58">
        <v>1100</v>
      </c>
      <c r="G1680" s="13">
        <v>1105.51</v>
      </c>
      <c r="H1680" s="56">
        <v>0</v>
      </c>
      <c r="I1680" s="13">
        <f t="shared" si="157"/>
        <v>5.5099999999999909</v>
      </c>
      <c r="J1680" s="14">
        <f t="shared" si="151"/>
        <v>0.50090909090909008</v>
      </c>
      <c r="K1680" s="56">
        <v>2.36</v>
      </c>
      <c r="L1680" s="15">
        <f t="shared" si="152"/>
        <v>0</v>
      </c>
      <c r="M1680" s="16">
        <f t="shared" si="153"/>
        <v>220.48229200000003</v>
      </c>
      <c r="N1680" s="17">
        <f t="shared" si="154"/>
        <v>2.36</v>
      </c>
      <c r="O1680" s="17">
        <f t="shared" si="155"/>
        <v>2596</v>
      </c>
      <c r="P1680" s="18">
        <f t="shared" si="156"/>
        <v>242530.52120000002</v>
      </c>
    </row>
    <row r="1681" spans="2:18" ht="12.75">
      <c r="B1681" s="10">
        <v>46111</v>
      </c>
      <c r="C1681" s="11">
        <f>VLOOKUP(B:B,'Курс валют'!A:D,4,0)</f>
        <v>93.424700000000001</v>
      </c>
      <c r="D1681" s="57" t="s">
        <v>1400</v>
      </c>
      <c r="E1681" s="50" t="s">
        <v>58</v>
      </c>
      <c r="F1681" s="58">
        <v>1100</v>
      </c>
      <c r="G1681" s="13">
        <v>1105.51</v>
      </c>
      <c r="H1681" s="56">
        <v>0</v>
      </c>
      <c r="I1681" s="13">
        <f t="shared" si="157"/>
        <v>5.5099999999999909</v>
      </c>
      <c r="J1681" s="14">
        <f t="shared" si="151"/>
        <v>0.50090909090909008</v>
      </c>
      <c r="K1681" s="56">
        <v>2.35</v>
      </c>
      <c r="L1681" s="15">
        <f t="shared" si="152"/>
        <v>0</v>
      </c>
      <c r="M1681" s="16">
        <f t="shared" si="153"/>
        <v>219.548045</v>
      </c>
      <c r="N1681" s="17">
        <f t="shared" si="154"/>
        <v>2.35</v>
      </c>
      <c r="O1681" s="17">
        <f t="shared" si="155"/>
        <v>2585</v>
      </c>
      <c r="P1681" s="18">
        <f t="shared" si="156"/>
        <v>241502.84950000001</v>
      </c>
    </row>
    <row r="1682" spans="2:18" ht="12.75">
      <c r="B1682" s="10">
        <v>46111</v>
      </c>
      <c r="C1682" s="11">
        <f>VLOOKUP(B:B,'Курс валют'!A:D,4,0)</f>
        <v>93.424700000000001</v>
      </c>
      <c r="D1682" s="57" t="s">
        <v>1401</v>
      </c>
      <c r="E1682" s="50" t="s">
        <v>58</v>
      </c>
      <c r="F1682" s="58">
        <v>1100</v>
      </c>
      <c r="G1682" s="13">
        <v>1105.51</v>
      </c>
      <c r="H1682" s="56">
        <v>0</v>
      </c>
      <c r="I1682" s="13">
        <f t="shared" si="157"/>
        <v>5.5099999999999909</v>
      </c>
      <c r="J1682" s="14">
        <f t="shared" si="151"/>
        <v>0.50090909090909008</v>
      </c>
      <c r="K1682" s="56">
        <v>2.35</v>
      </c>
      <c r="L1682" s="15">
        <f t="shared" si="152"/>
        <v>0</v>
      </c>
      <c r="M1682" s="16">
        <f t="shared" si="153"/>
        <v>219.548045</v>
      </c>
      <c r="N1682" s="17">
        <f t="shared" si="154"/>
        <v>2.35</v>
      </c>
      <c r="O1682" s="17">
        <f t="shared" si="155"/>
        <v>2585</v>
      </c>
      <c r="P1682" s="18">
        <f t="shared" si="156"/>
        <v>241502.84950000001</v>
      </c>
    </row>
    <row r="1683" spans="2:18" ht="12.75">
      <c r="B1683" s="10">
        <v>46111</v>
      </c>
      <c r="C1683" s="11">
        <f>VLOOKUP(B:B,'Курс валют'!A:D,4,0)</f>
        <v>93.424700000000001</v>
      </c>
      <c r="D1683" s="57" t="s">
        <v>1402</v>
      </c>
      <c r="E1683" s="50" t="s">
        <v>58</v>
      </c>
      <c r="F1683" s="58">
        <v>1100</v>
      </c>
      <c r="G1683" s="13">
        <v>1105.51</v>
      </c>
      <c r="H1683" s="56">
        <v>0</v>
      </c>
      <c r="I1683" s="13">
        <f t="shared" si="157"/>
        <v>5.5099999999999909</v>
      </c>
      <c r="J1683" s="14">
        <f t="shared" si="151"/>
        <v>0.50090909090909008</v>
      </c>
      <c r="K1683" s="56">
        <v>2.36</v>
      </c>
      <c r="L1683" s="15">
        <f t="shared" si="152"/>
        <v>0</v>
      </c>
      <c r="M1683" s="16">
        <f t="shared" si="153"/>
        <v>220.48229200000003</v>
      </c>
      <c r="N1683" s="17">
        <f t="shared" si="154"/>
        <v>2.36</v>
      </c>
      <c r="O1683" s="17">
        <f t="shared" si="155"/>
        <v>2596</v>
      </c>
      <c r="P1683" s="18">
        <f t="shared" si="156"/>
        <v>242530.52120000002</v>
      </c>
    </row>
    <row r="1684" spans="2:18" ht="12.75">
      <c r="B1684" s="10">
        <v>46111</v>
      </c>
      <c r="C1684" s="11">
        <f>VLOOKUP(B:B,'Курс валют'!A:D,4,0)</f>
        <v>93.424700000000001</v>
      </c>
      <c r="D1684" s="57" t="s">
        <v>1403</v>
      </c>
      <c r="E1684" s="50" t="s">
        <v>58</v>
      </c>
      <c r="F1684" s="58">
        <v>1100</v>
      </c>
      <c r="G1684" s="13">
        <v>1105.51</v>
      </c>
      <c r="H1684" s="56">
        <v>0</v>
      </c>
      <c r="I1684" s="13">
        <f t="shared" si="157"/>
        <v>5.5099999999999909</v>
      </c>
      <c r="J1684" s="14">
        <f t="shared" si="151"/>
        <v>0.50090909090909008</v>
      </c>
      <c r="K1684" s="56">
        <v>2.35</v>
      </c>
      <c r="L1684" s="15">
        <f t="shared" si="152"/>
        <v>0</v>
      </c>
      <c r="M1684" s="16">
        <f t="shared" si="153"/>
        <v>219.548045</v>
      </c>
      <c r="N1684" s="17">
        <f t="shared" si="154"/>
        <v>2.35</v>
      </c>
      <c r="O1684" s="17">
        <f t="shared" si="155"/>
        <v>2585</v>
      </c>
      <c r="P1684" s="18">
        <f t="shared" si="156"/>
        <v>241502.84950000001</v>
      </c>
    </row>
    <row r="1685" spans="2:18" ht="12.75">
      <c r="B1685" s="10">
        <v>46111</v>
      </c>
      <c r="C1685" s="11">
        <f>VLOOKUP(B:B,'Курс валют'!A:D,4,0)</f>
        <v>93.424700000000001</v>
      </c>
      <c r="D1685" s="57" t="s">
        <v>1404</v>
      </c>
      <c r="E1685" s="50" t="s">
        <v>58</v>
      </c>
      <c r="F1685" s="58">
        <v>1100</v>
      </c>
      <c r="G1685" s="13">
        <v>1105.51</v>
      </c>
      <c r="H1685" s="56">
        <v>0</v>
      </c>
      <c r="I1685" s="13">
        <f t="shared" si="157"/>
        <v>5.5099999999999909</v>
      </c>
      <c r="J1685" s="14">
        <f t="shared" si="151"/>
        <v>0.50090909090909008</v>
      </c>
      <c r="K1685" s="56">
        <v>2.35</v>
      </c>
      <c r="L1685" s="15">
        <f t="shared" si="152"/>
        <v>0</v>
      </c>
      <c r="M1685" s="16">
        <f t="shared" si="153"/>
        <v>219.548045</v>
      </c>
      <c r="N1685" s="17">
        <f t="shared" si="154"/>
        <v>2.35</v>
      </c>
      <c r="O1685" s="17">
        <f t="shared" si="155"/>
        <v>2585</v>
      </c>
      <c r="P1685" s="18">
        <f t="shared" si="156"/>
        <v>241502.84950000001</v>
      </c>
    </row>
    <row r="1686" spans="2:18" ht="12.75">
      <c r="B1686" s="10">
        <v>46111</v>
      </c>
      <c r="C1686" s="11">
        <f>VLOOKUP(B:B,'Курс валют'!A:D,4,0)</f>
        <v>93.424700000000001</v>
      </c>
      <c r="D1686" s="57" t="s">
        <v>1405</v>
      </c>
      <c r="E1686" s="50" t="s">
        <v>58</v>
      </c>
      <c r="F1686" s="58">
        <v>1100</v>
      </c>
      <c r="G1686" s="13">
        <v>1105.51</v>
      </c>
      <c r="H1686" s="56">
        <v>0</v>
      </c>
      <c r="I1686" s="13">
        <f t="shared" si="157"/>
        <v>5.5099999999999909</v>
      </c>
      <c r="J1686" s="14">
        <f t="shared" si="151"/>
        <v>0.50090909090909008</v>
      </c>
      <c r="K1686" s="56">
        <v>2.35</v>
      </c>
      <c r="L1686" s="15">
        <f t="shared" si="152"/>
        <v>0</v>
      </c>
      <c r="M1686" s="16">
        <f t="shared" si="153"/>
        <v>219.548045</v>
      </c>
      <c r="N1686" s="17">
        <f t="shared" si="154"/>
        <v>2.35</v>
      </c>
      <c r="O1686" s="17">
        <f t="shared" si="155"/>
        <v>2585</v>
      </c>
      <c r="P1686" s="18">
        <f t="shared" si="156"/>
        <v>241502.84950000001</v>
      </c>
    </row>
    <row r="1687" spans="2:18" ht="12.75">
      <c r="B1687" s="10">
        <v>46111</v>
      </c>
      <c r="C1687" s="11">
        <f>VLOOKUP(B:B,'Курс валют'!A:D,4,0)</f>
        <v>93.424700000000001</v>
      </c>
      <c r="D1687" s="57" t="s">
        <v>1406</v>
      </c>
      <c r="E1687" s="50" t="s">
        <v>126</v>
      </c>
      <c r="F1687" s="58">
        <v>23.18</v>
      </c>
      <c r="G1687" s="58">
        <v>23.18</v>
      </c>
      <c r="H1687" s="56">
        <v>0</v>
      </c>
      <c r="I1687" s="58">
        <f t="shared" si="157"/>
        <v>0</v>
      </c>
      <c r="J1687" s="14">
        <f t="shared" si="151"/>
        <v>0</v>
      </c>
      <c r="K1687" s="56">
        <v>1.98</v>
      </c>
      <c r="L1687" s="15">
        <f t="shared" si="152"/>
        <v>0</v>
      </c>
      <c r="M1687" s="16">
        <f t="shared" si="153"/>
        <v>184.980906</v>
      </c>
      <c r="N1687" s="17">
        <f t="shared" si="154"/>
        <v>1.98</v>
      </c>
      <c r="O1687" s="17">
        <f t="shared" si="155"/>
        <v>45.8964</v>
      </c>
      <c r="P1687" s="18">
        <f t="shared" si="156"/>
        <v>4287.8574010800003</v>
      </c>
      <c r="R1687" s="33" t="s">
        <v>1407</v>
      </c>
    </row>
    <row r="1688" spans="2:18" ht="12.75">
      <c r="B1688" s="10">
        <v>46111</v>
      </c>
      <c r="C1688" s="11">
        <f>VLOOKUP(B:B,'Курс валют'!A:D,4,0)</f>
        <v>93.424700000000001</v>
      </c>
      <c r="D1688" s="57" t="s">
        <v>1408</v>
      </c>
      <c r="E1688" s="50" t="s">
        <v>58</v>
      </c>
      <c r="F1688" s="58">
        <v>1100</v>
      </c>
      <c r="G1688" s="13">
        <v>1105.51</v>
      </c>
      <c r="H1688" s="56">
        <v>0</v>
      </c>
      <c r="I1688" s="13">
        <f t="shared" si="157"/>
        <v>5.5099999999999909</v>
      </c>
      <c r="J1688" s="14">
        <f t="shared" si="151"/>
        <v>0.50090909090909008</v>
      </c>
      <c r="K1688" s="56">
        <v>2.36</v>
      </c>
      <c r="L1688" s="15">
        <f t="shared" si="152"/>
        <v>0</v>
      </c>
      <c r="M1688" s="16">
        <f t="shared" si="153"/>
        <v>220.48229200000003</v>
      </c>
      <c r="N1688" s="17">
        <f t="shared" si="154"/>
        <v>2.36</v>
      </c>
      <c r="O1688" s="17">
        <f t="shared" si="155"/>
        <v>2596</v>
      </c>
      <c r="P1688" s="18">
        <f t="shared" si="156"/>
        <v>242530.52120000002</v>
      </c>
    </row>
    <row r="1689" spans="2:18" ht="12.75">
      <c r="B1689" s="10">
        <v>46111</v>
      </c>
      <c r="C1689" s="11">
        <f>VLOOKUP(B:B,'Курс валют'!A:D,4,0)</f>
        <v>93.424700000000001</v>
      </c>
      <c r="D1689" s="57" t="s">
        <v>1409</v>
      </c>
      <c r="E1689" s="50" t="s">
        <v>58</v>
      </c>
      <c r="F1689" s="58">
        <v>1100</v>
      </c>
      <c r="G1689" s="13">
        <v>1105.51</v>
      </c>
      <c r="H1689" s="56">
        <v>0</v>
      </c>
      <c r="I1689" s="13">
        <f t="shared" si="157"/>
        <v>5.5099999999999909</v>
      </c>
      <c r="J1689" s="14">
        <f t="shared" si="151"/>
        <v>0.50090909090909008</v>
      </c>
      <c r="K1689" s="56">
        <v>2.35</v>
      </c>
      <c r="L1689" s="15">
        <f t="shared" si="152"/>
        <v>0</v>
      </c>
      <c r="M1689" s="16">
        <f t="shared" si="153"/>
        <v>219.548045</v>
      </c>
      <c r="N1689" s="17">
        <f t="shared" si="154"/>
        <v>2.35</v>
      </c>
      <c r="O1689" s="17">
        <f t="shared" si="155"/>
        <v>2585</v>
      </c>
      <c r="P1689" s="18">
        <f t="shared" si="156"/>
        <v>241502.84950000001</v>
      </c>
    </row>
    <row r="1690" spans="2:18" ht="12.75">
      <c r="B1690" s="10">
        <v>46111</v>
      </c>
      <c r="C1690" s="11">
        <f>VLOOKUP(B:B,'Курс валют'!A:D,4,0)</f>
        <v>93.424700000000001</v>
      </c>
      <c r="D1690" s="57" t="s">
        <v>1410</v>
      </c>
      <c r="E1690" s="50" t="s">
        <v>58</v>
      </c>
      <c r="F1690" s="58">
        <v>1100</v>
      </c>
      <c r="G1690" s="13">
        <v>1105.51</v>
      </c>
      <c r="H1690" s="56">
        <v>0</v>
      </c>
      <c r="I1690" s="13">
        <f t="shared" si="157"/>
        <v>5.5099999999999909</v>
      </c>
      <c r="J1690" s="14">
        <f t="shared" si="151"/>
        <v>0.50090909090909008</v>
      </c>
      <c r="K1690" s="56">
        <v>2.35</v>
      </c>
      <c r="L1690" s="15">
        <f t="shared" si="152"/>
        <v>0</v>
      </c>
      <c r="M1690" s="16">
        <f t="shared" si="153"/>
        <v>219.548045</v>
      </c>
      <c r="N1690" s="17">
        <f t="shared" si="154"/>
        <v>2.35</v>
      </c>
      <c r="O1690" s="17">
        <f t="shared" si="155"/>
        <v>2585</v>
      </c>
      <c r="P1690" s="18">
        <f t="shared" si="156"/>
        <v>241502.84950000001</v>
      </c>
    </row>
    <row r="1691" spans="2:18" ht="12.75">
      <c r="B1691" s="10">
        <v>46111</v>
      </c>
      <c r="C1691" s="11">
        <f>VLOOKUP(B:B,'Курс валют'!A:D,4,0)</f>
        <v>93.424700000000001</v>
      </c>
      <c r="D1691" s="57" t="s">
        <v>1411</v>
      </c>
      <c r="E1691" s="50" t="s">
        <v>78</v>
      </c>
      <c r="F1691" s="58">
        <v>2000</v>
      </c>
      <c r="G1691" s="13">
        <v>2060.4499999999998</v>
      </c>
      <c r="H1691" s="56">
        <v>0</v>
      </c>
      <c r="I1691" s="13">
        <f t="shared" si="157"/>
        <v>60.449999999999818</v>
      </c>
      <c r="J1691" s="14">
        <f t="shared" si="151"/>
        <v>3.0224999999999906</v>
      </c>
      <c r="K1691" s="56">
        <v>2.36</v>
      </c>
      <c r="L1691" s="15">
        <f t="shared" si="152"/>
        <v>0</v>
      </c>
      <c r="M1691" s="16">
        <f t="shared" si="153"/>
        <v>220.48229200000003</v>
      </c>
      <c r="N1691" s="17">
        <f t="shared" si="154"/>
        <v>2.36</v>
      </c>
      <c r="O1691" s="17">
        <f t="shared" si="155"/>
        <v>4720</v>
      </c>
      <c r="P1691" s="18">
        <f t="shared" si="156"/>
        <v>440964.58400000003</v>
      </c>
    </row>
    <row r="1692" spans="2:18" ht="12.75">
      <c r="B1692" s="10">
        <v>46112</v>
      </c>
      <c r="C1692" s="11">
        <f>VLOOKUP(B:B,'Курс валют'!A:D,4,0)</f>
        <v>93.436899999999994</v>
      </c>
      <c r="D1692" s="57" t="s">
        <v>1412</v>
      </c>
      <c r="E1692" s="50" t="s">
        <v>15</v>
      </c>
      <c r="F1692" s="58">
        <v>1100</v>
      </c>
      <c r="G1692" s="13">
        <v>1107.7</v>
      </c>
      <c r="H1692" s="56">
        <v>0</v>
      </c>
      <c r="I1692" s="13">
        <f t="shared" si="157"/>
        <v>7.7000000000000455</v>
      </c>
      <c r="J1692" s="14">
        <f t="shared" si="151"/>
        <v>0.70000000000000406</v>
      </c>
      <c r="K1692" s="56">
        <v>2.2799999999999998</v>
      </c>
      <c r="L1692" s="15">
        <f t="shared" si="152"/>
        <v>0</v>
      </c>
      <c r="M1692" s="16">
        <f t="shared" si="153"/>
        <v>213.03613199999998</v>
      </c>
      <c r="N1692" s="17">
        <f t="shared" si="154"/>
        <v>2.2799999999999998</v>
      </c>
      <c r="O1692" s="17">
        <f t="shared" si="155"/>
        <v>2508</v>
      </c>
      <c r="P1692" s="18">
        <f t="shared" si="156"/>
        <v>234339.74519999998</v>
      </c>
    </row>
    <row r="1693" spans="2:18" ht="12.75">
      <c r="B1693" s="10">
        <v>46112</v>
      </c>
      <c r="C1693" s="11">
        <f>VLOOKUP(B:B,'Курс валют'!A:D,4,0)</f>
        <v>93.436899999999994</v>
      </c>
      <c r="D1693" s="57" t="s">
        <v>1413</v>
      </c>
      <c r="E1693" s="50" t="s">
        <v>15</v>
      </c>
      <c r="F1693" s="58">
        <v>1100</v>
      </c>
      <c r="G1693" s="13">
        <v>1107.7</v>
      </c>
      <c r="H1693" s="56">
        <v>0</v>
      </c>
      <c r="I1693" s="13">
        <f t="shared" si="157"/>
        <v>7.7000000000000455</v>
      </c>
      <c r="J1693" s="14">
        <f t="shared" si="151"/>
        <v>0.70000000000000406</v>
      </c>
      <c r="K1693" s="56">
        <v>2.27</v>
      </c>
      <c r="L1693" s="15">
        <f t="shared" si="152"/>
        <v>0</v>
      </c>
      <c r="M1693" s="16">
        <f t="shared" si="153"/>
        <v>212.10176300000001</v>
      </c>
      <c r="N1693" s="17">
        <f t="shared" si="154"/>
        <v>2.27</v>
      </c>
      <c r="O1693" s="17">
        <f t="shared" si="155"/>
        <v>2497</v>
      </c>
      <c r="P1693" s="18">
        <f t="shared" si="156"/>
        <v>233311.9393</v>
      </c>
    </row>
    <row r="1694" spans="2:18" ht="12.75">
      <c r="B1694" s="10">
        <v>46112</v>
      </c>
      <c r="C1694" s="11">
        <f>VLOOKUP(B:B,'Курс валют'!A:D,4,0)</f>
        <v>93.436899999999994</v>
      </c>
      <c r="D1694" s="57" t="s">
        <v>1414</v>
      </c>
      <c r="E1694" s="50" t="s">
        <v>15</v>
      </c>
      <c r="F1694" s="58">
        <v>1100</v>
      </c>
      <c r="G1694" s="13">
        <v>1107.7</v>
      </c>
      <c r="H1694" s="56">
        <v>0</v>
      </c>
      <c r="I1694" s="13">
        <f t="shared" si="157"/>
        <v>7.7000000000000455</v>
      </c>
      <c r="J1694" s="14">
        <f t="shared" si="151"/>
        <v>0.70000000000000406</v>
      </c>
      <c r="K1694" s="56">
        <v>2.2799999999999998</v>
      </c>
      <c r="L1694" s="15">
        <f t="shared" si="152"/>
        <v>0</v>
      </c>
      <c r="M1694" s="16">
        <f t="shared" si="153"/>
        <v>213.03613199999998</v>
      </c>
      <c r="N1694" s="17">
        <f t="shared" si="154"/>
        <v>2.2799999999999998</v>
      </c>
      <c r="O1694" s="17">
        <f t="shared" si="155"/>
        <v>2508</v>
      </c>
      <c r="P1694" s="18">
        <f t="shared" si="156"/>
        <v>234339.74519999998</v>
      </c>
    </row>
    <row r="1695" spans="2:18" ht="12.75">
      <c r="B1695" s="10">
        <v>46112</v>
      </c>
      <c r="C1695" s="11">
        <f>VLOOKUP(B:B,'Курс валют'!A:D,4,0)</f>
        <v>93.436899999999994</v>
      </c>
      <c r="D1695" s="57" t="s">
        <v>1415</v>
      </c>
      <c r="E1695" s="50" t="s">
        <v>15</v>
      </c>
      <c r="F1695" s="58">
        <v>1100</v>
      </c>
      <c r="G1695" s="13">
        <v>1107.7</v>
      </c>
      <c r="H1695" s="56">
        <v>0</v>
      </c>
      <c r="I1695" s="13">
        <f t="shared" si="157"/>
        <v>7.7000000000000455</v>
      </c>
      <c r="J1695" s="14">
        <f t="shared" si="151"/>
        <v>0.70000000000000406</v>
      </c>
      <c r="K1695" s="56">
        <v>2.27</v>
      </c>
      <c r="L1695" s="15">
        <f t="shared" si="152"/>
        <v>0</v>
      </c>
      <c r="M1695" s="16">
        <f t="shared" si="153"/>
        <v>212.10176300000001</v>
      </c>
      <c r="N1695" s="17">
        <f t="shared" si="154"/>
        <v>2.27</v>
      </c>
      <c r="O1695" s="17">
        <f t="shared" si="155"/>
        <v>2497</v>
      </c>
      <c r="P1695" s="18">
        <f t="shared" si="156"/>
        <v>233311.9393</v>
      </c>
    </row>
    <row r="1696" spans="2:18" ht="12.75">
      <c r="B1696" s="10">
        <v>46112</v>
      </c>
      <c r="C1696" s="11">
        <f>VLOOKUP(B:B,'Курс валют'!A:D,4,0)</f>
        <v>93.436899999999994</v>
      </c>
      <c r="D1696" s="57" t="s">
        <v>1416</v>
      </c>
      <c r="E1696" s="50" t="s">
        <v>15</v>
      </c>
      <c r="F1696" s="58">
        <v>1100</v>
      </c>
      <c r="G1696" s="13">
        <v>1107.7</v>
      </c>
      <c r="H1696" s="56">
        <v>0</v>
      </c>
      <c r="I1696" s="13">
        <f t="shared" si="157"/>
        <v>7.7000000000000455</v>
      </c>
      <c r="J1696" s="14">
        <f t="shared" si="151"/>
        <v>0.70000000000000406</v>
      </c>
      <c r="K1696" s="56">
        <v>2.2799999999999998</v>
      </c>
      <c r="L1696" s="15">
        <f t="shared" si="152"/>
        <v>0</v>
      </c>
      <c r="M1696" s="16">
        <f t="shared" si="153"/>
        <v>213.03613199999998</v>
      </c>
      <c r="N1696" s="17">
        <f t="shared" si="154"/>
        <v>2.2799999999999998</v>
      </c>
      <c r="O1696" s="17">
        <f t="shared" si="155"/>
        <v>2508</v>
      </c>
      <c r="P1696" s="18">
        <f t="shared" si="156"/>
        <v>234339.74519999998</v>
      </c>
    </row>
    <row r="1697" spans="1:27" ht="12.75">
      <c r="B1697" s="10">
        <v>46112</v>
      </c>
      <c r="C1697" s="11">
        <f>VLOOKUP(B:B,'Курс валют'!A:D,4,0)</f>
        <v>93.436899999999994</v>
      </c>
      <c r="D1697" s="57" t="s">
        <v>1417</v>
      </c>
      <c r="E1697" s="50" t="s">
        <v>15</v>
      </c>
      <c r="F1697" s="58">
        <v>1100</v>
      </c>
      <c r="G1697" s="13">
        <v>1107.7</v>
      </c>
      <c r="H1697" s="56">
        <v>0</v>
      </c>
      <c r="I1697" s="13">
        <f t="shared" si="157"/>
        <v>7.7000000000000455</v>
      </c>
      <c r="J1697" s="14">
        <f t="shared" si="151"/>
        <v>0.70000000000000406</v>
      </c>
      <c r="K1697" s="56">
        <v>2.27</v>
      </c>
      <c r="L1697" s="15">
        <f t="shared" si="152"/>
        <v>0</v>
      </c>
      <c r="M1697" s="16">
        <f t="shared" si="153"/>
        <v>212.10176300000001</v>
      </c>
      <c r="N1697" s="17">
        <f t="shared" si="154"/>
        <v>2.27</v>
      </c>
      <c r="O1697" s="17">
        <f t="shared" si="155"/>
        <v>2497</v>
      </c>
      <c r="P1697" s="18">
        <f t="shared" si="156"/>
        <v>233311.9393</v>
      </c>
    </row>
    <row r="1698" spans="1:27" ht="12.75">
      <c r="B1698" s="10">
        <v>46112</v>
      </c>
      <c r="C1698" s="11">
        <f>VLOOKUP(B:B,'Курс валют'!A:D,4,0)</f>
        <v>93.436899999999994</v>
      </c>
      <c r="D1698" s="57" t="s">
        <v>1418</v>
      </c>
      <c r="E1698" s="50" t="s">
        <v>15</v>
      </c>
      <c r="F1698" s="58">
        <v>1100</v>
      </c>
      <c r="G1698" s="13">
        <v>1107.7</v>
      </c>
      <c r="H1698" s="56">
        <v>0</v>
      </c>
      <c r="I1698" s="13">
        <f t="shared" si="157"/>
        <v>7.7000000000000455</v>
      </c>
      <c r="J1698" s="14">
        <f t="shared" si="151"/>
        <v>0.70000000000000406</v>
      </c>
      <c r="K1698" s="56">
        <v>2.27</v>
      </c>
      <c r="L1698" s="15">
        <f t="shared" si="152"/>
        <v>0</v>
      </c>
      <c r="M1698" s="16">
        <f t="shared" si="153"/>
        <v>212.10176300000001</v>
      </c>
      <c r="N1698" s="17">
        <f t="shared" si="154"/>
        <v>2.27</v>
      </c>
      <c r="O1698" s="17">
        <f t="shared" si="155"/>
        <v>2497</v>
      </c>
      <c r="P1698" s="18">
        <f t="shared" si="156"/>
        <v>233311.9393</v>
      </c>
    </row>
    <row r="1699" spans="1:27" ht="12.75">
      <c r="B1699" s="10">
        <v>46112</v>
      </c>
      <c r="C1699" s="11">
        <f>VLOOKUP(B:B,'Курс валют'!A:D,4,0)</f>
        <v>93.436899999999994</v>
      </c>
      <c r="D1699" s="57" t="s">
        <v>1419</v>
      </c>
      <c r="E1699" s="50" t="s">
        <v>15</v>
      </c>
      <c r="F1699" s="58">
        <v>1100</v>
      </c>
      <c r="G1699" s="13">
        <v>1107.7</v>
      </c>
      <c r="H1699" s="56">
        <v>0</v>
      </c>
      <c r="I1699" s="13">
        <f t="shared" si="157"/>
        <v>7.7000000000000455</v>
      </c>
      <c r="J1699" s="14">
        <f t="shared" si="151"/>
        <v>0.70000000000000406</v>
      </c>
      <c r="K1699" s="56">
        <v>2.27</v>
      </c>
      <c r="L1699" s="15">
        <f t="shared" si="152"/>
        <v>0</v>
      </c>
      <c r="M1699" s="16">
        <f t="shared" si="153"/>
        <v>212.10176300000001</v>
      </c>
      <c r="N1699" s="17">
        <f t="shared" si="154"/>
        <v>2.27</v>
      </c>
      <c r="O1699" s="17">
        <f t="shared" si="155"/>
        <v>2497</v>
      </c>
      <c r="P1699" s="18">
        <f t="shared" si="156"/>
        <v>233311.9393</v>
      </c>
    </row>
    <row r="1700" spans="1:27" ht="12.75">
      <c r="B1700" s="10">
        <v>46112</v>
      </c>
      <c r="C1700" s="11">
        <f>VLOOKUP(B:B,'Курс валют'!A:D,4,0)</f>
        <v>93.436899999999994</v>
      </c>
      <c r="D1700" s="57" t="s">
        <v>1420</v>
      </c>
      <c r="E1700" s="50" t="s">
        <v>15</v>
      </c>
      <c r="F1700" s="58">
        <v>1100</v>
      </c>
      <c r="G1700" s="13">
        <v>1107.7</v>
      </c>
      <c r="H1700" s="56">
        <v>0</v>
      </c>
      <c r="I1700" s="13">
        <f t="shared" si="157"/>
        <v>7.7000000000000455</v>
      </c>
      <c r="J1700" s="14">
        <f t="shared" si="151"/>
        <v>0.70000000000000406</v>
      </c>
      <c r="K1700" s="56">
        <v>2.27</v>
      </c>
      <c r="L1700" s="15">
        <f t="shared" si="152"/>
        <v>0</v>
      </c>
      <c r="M1700" s="16">
        <f t="shared" si="153"/>
        <v>212.10176300000001</v>
      </c>
      <c r="N1700" s="17">
        <f t="shared" si="154"/>
        <v>2.27</v>
      </c>
      <c r="O1700" s="17">
        <f t="shared" si="155"/>
        <v>2497</v>
      </c>
      <c r="P1700" s="18">
        <f t="shared" si="156"/>
        <v>233311.9393</v>
      </c>
    </row>
    <row r="1701" spans="1:27" ht="12.75">
      <c r="B1701" s="10">
        <v>46112</v>
      </c>
      <c r="C1701" s="11">
        <f>VLOOKUP(B:B,'Курс валют'!A:D,4,0)</f>
        <v>93.436899999999994</v>
      </c>
      <c r="D1701" s="57" t="s">
        <v>1421</v>
      </c>
      <c r="E1701" s="50" t="s">
        <v>15</v>
      </c>
      <c r="F1701" s="58">
        <v>1100</v>
      </c>
      <c r="G1701" s="13">
        <v>1107.7</v>
      </c>
      <c r="H1701" s="56">
        <v>0</v>
      </c>
      <c r="I1701" s="13">
        <f t="shared" si="157"/>
        <v>7.7000000000000455</v>
      </c>
      <c r="J1701" s="14">
        <f t="shared" si="151"/>
        <v>0.70000000000000406</v>
      </c>
      <c r="K1701" s="56">
        <v>2.29</v>
      </c>
      <c r="L1701" s="15">
        <f t="shared" si="152"/>
        <v>0</v>
      </c>
      <c r="M1701" s="16">
        <f t="shared" si="153"/>
        <v>213.97050099999998</v>
      </c>
      <c r="N1701" s="17">
        <f t="shared" si="154"/>
        <v>2.29</v>
      </c>
      <c r="O1701" s="17">
        <f t="shared" si="155"/>
        <v>2519</v>
      </c>
      <c r="P1701" s="18">
        <f t="shared" si="156"/>
        <v>235367.55109999998</v>
      </c>
    </row>
    <row r="1702" spans="1:27" ht="12.75">
      <c r="B1702" s="10">
        <v>46112</v>
      </c>
      <c r="C1702" s="11">
        <f>VLOOKUP(B:B,'Курс валют'!A:D,4,0)</f>
        <v>93.436899999999994</v>
      </c>
      <c r="D1702" s="57" t="s">
        <v>1422</v>
      </c>
      <c r="E1702" s="50" t="s">
        <v>56</v>
      </c>
      <c r="F1702" s="58">
        <v>2000</v>
      </c>
      <c r="G1702" s="13">
        <v>2056.5500000000002</v>
      </c>
      <c r="H1702" s="56">
        <v>0</v>
      </c>
      <c r="I1702" s="13">
        <f t="shared" si="157"/>
        <v>56.550000000000182</v>
      </c>
      <c r="J1702" s="14">
        <f t="shared" si="151"/>
        <v>2.827500000000009</v>
      </c>
      <c r="K1702" s="56">
        <v>2.37</v>
      </c>
      <c r="L1702" s="15">
        <f t="shared" si="152"/>
        <v>0</v>
      </c>
      <c r="M1702" s="16">
        <f t="shared" si="153"/>
        <v>221.44545299999999</v>
      </c>
      <c r="N1702" s="17">
        <f t="shared" si="154"/>
        <v>2.37</v>
      </c>
      <c r="O1702" s="17">
        <f t="shared" si="155"/>
        <v>4740</v>
      </c>
      <c r="P1702" s="18">
        <f t="shared" si="156"/>
        <v>442890.90599999996</v>
      </c>
    </row>
    <row r="1703" spans="1:27" ht="12.75">
      <c r="A1703" s="10"/>
      <c r="B1703" s="10">
        <v>46113</v>
      </c>
      <c r="C1703" s="11">
        <f>VLOOKUP(B:B,'Курс валют'!A:D,4,0)</f>
        <v>93.273899999999998</v>
      </c>
      <c r="D1703" s="45" t="s">
        <v>804</v>
      </c>
      <c r="E1703" s="50" t="s">
        <v>112</v>
      </c>
      <c r="F1703" s="11">
        <v>40</v>
      </c>
      <c r="G1703" s="15">
        <v>43.01</v>
      </c>
      <c r="H1703" s="56">
        <v>0</v>
      </c>
      <c r="I1703" s="13">
        <f t="shared" si="157"/>
        <v>3.009999999999998</v>
      </c>
      <c r="J1703" s="14">
        <f t="shared" ref="J1703:J1979" si="158">I1703/F1703*100</f>
        <v>7.5249999999999959</v>
      </c>
      <c r="K1703" s="46">
        <v>2.98</v>
      </c>
      <c r="L1703" s="15">
        <f t="shared" ref="L1703:L1979" si="159">H1703/F1703*100</f>
        <v>0</v>
      </c>
      <c r="M1703" s="16">
        <f t="shared" ref="M1703:M1979" si="160">P1703/F1703</f>
        <v>277.95622199999997</v>
      </c>
      <c r="N1703" s="17">
        <f t="shared" ref="N1703:N1955" si="161">(F1703*K1703-H1703*3.04)/F1703</f>
        <v>2.98</v>
      </c>
      <c r="O1703" s="17">
        <f t="shared" ref="O1703:O1979" si="162">N1703*F1703</f>
        <v>119.2</v>
      </c>
      <c r="P1703" s="18">
        <f t="shared" ref="P1703:P1979" si="163">O1703*C1703</f>
        <v>11118.248879999999</v>
      </c>
      <c r="R1703" s="66"/>
      <c r="S1703" s="19"/>
      <c r="T1703" s="20"/>
      <c r="U1703" s="20"/>
      <c r="V1703" s="20"/>
      <c r="W1703" s="20"/>
      <c r="X1703" s="20"/>
      <c r="Y1703" s="20"/>
      <c r="Z1703" s="20"/>
      <c r="AA1703" s="20"/>
    </row>
    <row r="1704" spans="1:27" ht="12.75">
      <c r="A1704" s="10"/>
      <c r="B1704" s="10">
        <v>46113</v>
      </c>
      <c r="C1704" s="11">
        <f>VLOOKUP(B:B,'Курс валют'!A:D,4,0)</f>
        <v>93.273899999999998</v>
      </c>
      <c r="D1704" s="57" t="s">
        <v>805</v>
      </c>
      <c r="E1704" s="12" t="s">
        <v>113</v>
      </c>
      <c r="F1704" s="58">
        <v>80</v>
      </c>
      <c r="G1704" s="58">
        <v>83</v>
      </c>
      <c r="H1704" s="56">
        <v>0</v>
      </c>
      <c r="I1704" s="58">
        <f t="shared" si="157"/>
        <v>3</v>
      </c>
      <c r="J1704" s="14">
        <f t="shared" si="158"/>
        <v>3.75</v>
      </c>
      <c r="K1704" s="56">
        <v>2.7</v>
      </c>
      <c r="L1704" s="15">
        <f t="shared" si="159"/>
        <v>0</v>
      </c>
      <c r="M1704" s="16">
        <f t="shared" si="160"/>
        <v>251.83953000000002</v>
      </c>
      <c r="N1704" s="17">
        <f t="shared" si="161"/>
        <v>2.7</v>
      </c>
      <c r="O1704" s="17">
        <f t="shared" si="162"/>
        <v>216</v>
      </c>
      <c r="P1704" s="18">
        <f t="shared" si="163"/>
        <v>20147.162400000001</v>
      </c>
      <c r="R1704" s="66"/>
      <c r="S1704" s="19"/>
      <c r="T1704" s="20"/>
      <c r="U1704" s="20"/>
      <c r="V1704" s="20"/>
      <c r="W1704" s="20"/>
      <c r="X1704" s="20"/>
      <c r="Y1704" s="20"/>
      <c r="Z1704" s="20"/>
      <c r="AA1704" s="20"/>
    </row>
    <row r="1705" spans="1:27" ht="12.75">
      <c r="A1705" s="10"/>
      <c r="B1705" s="10">
        <v>46113</v>
      </c>
      <c r="C1705" s="11">
        <f>VLOOKUP(B:B,'Курс валют'!A:D,4,0)</f>
        <v>93.273899999999998</v>
      </c>
      <c r="D1705" s="57" t="s">
        <v>806</v>
      </c>
      <c r="E1705" s="12" t="s">
        <v>103</v>
      </c>
      <c r="F1705" s="58">
        <v>800</v>
      </c>
      <c r="G1705" s="13">
        <v>804.5</v>
      </c>
      <c r="H1705" s="56">
        <v>0</v>
      </c>
      <c r="I1705" s="13">
        <f t="shared" si="157"/>
        <v>4.5</v>
      </c>
      <c r="J1705" s="14">
        <f t="shared" si="158"/>
        <v>0.5625</v>
      </c>
      <c r="K1705" s="56">
        <v>1.86</v>
      </c>
      <c r="L1705" s="15">
        <f t="shared" si="159"/>
        <v>0</v>
      </c>
      <c r="M1705" s="16">
        <f t="shared" si="160"/>
        <v>173.48945399999999</v>
      </c>
      <c r="N1705" s="17">
        <f t="shared" si="161"/>
        <v>1.86</v>
      </c>
      <c r="O1705" s="17">
        <f t="shared" si="162"/>
        <v>1488</v>
      </c>
      <c r="P1705" s="18">
        <f t="shared" si="163"/>
        <v>138791.5632</v>
      </c>
      <c r="R1705" s="66"/>
      <c r="S1705" s="19"/>
      <c r="T1705" s="20"/>
      <c r="U1705" s="20"/>
      <c r="V1705" s="20"/>
      <c r="W1705" s="20"/>
      <c r="X1705" s="20"/>
      <c r="Y1705" s="20"/>
      <c r="Z1705" s="20"/>
      <c r="AA1705" s="20"/>
    </row>
    <row r="1706" spans="1:27" ht="12.75">
      <c r="A1706" s="10"/>
      <c r="B1706" s="10">
        <v>46113</v>
      </c>
      <c r="C1706" s="11">
        <f>VLOOKUP(B:B,'Курс валют'!A:D,4,0)</f>
        <v>93.273899999999998</v>
      </c>
      <c r="D1706" s="57" t="s">
        <v>807</v>
      </c>
      <c r="E1706" s="12" t="s">
        <v>103</v>
      </c>
      <c r="F1706" s="58">
        <v>800</v>
      </c>
      <c r="G1706" s="13">
        <v>804.5</v>
      </c>
      <c r="H1706" s="56">
        <v>0</v>
      </c>
      <c r="I1706" s="13">
        <f t="shared" si="157"/>
        <v>4.5</v>
      </c>
      <c r="J1706" s="14">
        <f t="shared" si="158"/>
        <v>0.5625</v>
      </c>
      <c r="K1706" s="56">
        <v>1.85</v>
      </c>
      <c r="L1706" s="15">
        <f t="shared" si="159"/>
        <v>0</v>
      </c>
      <c r="M1706" s="16">
        <f t="shared" si="160"/>
        <v>172.556715</v>
      </c>
      <c r="N1706" s="17">
        <f t="shared" si="161"/>
        <v>1.85</v>
      </c>
      <c r="O1706" s="17">
        <f t="shared" si="162"/>
        <v>1480</v>
      </c>
      <c r="P1706" s="18">
        <f t="shared" si="163"/>
        <v>138045.372</v>
      </c>
      <c r="R1706" s="66"/>
      <c r="S1706" s="19"/>
      <c r="T1706" s="20"/>
      <c r="U1706" s="20"/>
      <c r="V1706" s="20"/>
      <c r="W1706" s="20"/>
      <c r="X1706" s="20"/>
      <c r="Y1706" s="20"/>
      <c r="Z1706" s="20"/>
      <c r="AA1706" s="20"/>
    </row>
    <row r="1707" spans="1:27" ht="12.75">
      <c r="A1707" s="10"/>
      <c r="B1707" s="10">
        <v>46113</v>
      </c>
      <c r="C1707" s="11">
        <f>VLOOKUP(B:B,'Курс валют'!A:D,4,0)</f>
        <v>93.273899999999998</v>
      </c>
      <c r="D1707" s="57" t="s">
        <v>808</v>
      </c>
      <c r="E1707" s="12" t="s">
        <v>103</v>
      </c>
      <c r="F1707" s="58">
        <v>800</v>
      </c>
      <c r="G1707" s="13">
        <v>804.5</v>
      </c>
      <c r="H1707" s="56">
        <v>0</v>
      </c>
      <c r="I1707" s="13">
        <f t="shared" si="157"/>
        <v>4.5</v>
      </c>
      <c r="J1707" s="14">
        <f t="shared" si="158"/>
        <v>0.5625</v>
      </c>
      <c r="K1707" s="56">
        <v>1.85</v>
      </c>
      <c r="L1707" s="15">
        <f t="shared" si="159"/>
        <v>0</v>
      </c>
      <c r="M1707" s="16">
        <f t="shared" si="160"/>
        <v>172.556715</v>
      </c>
      <c r="N1707" s="17">
        <f t="shared" si="161"/>
        <v>1.85</v>
      </c>
      <c r="O1707" s="17">
        <f t="shared" si="162"/>
        <v>1480</v>
      </c>
      <c r="P1707" s="18">
        <f t="shared" si="163"/>
        <v>138045.372</v>
      </c>
      <c r="R1707" s="66"/>
      <c r="S1707" s="19"/>
      <c r="T1707" s="20"/>
      <c r="U1707" s="20"/>
      <c r="V1707" s="20"/>
      <c r="W1707" s="20"/>
      <c r="X1707" s="20"/>
      <c r="Y1707" s="20"/>
      <c r="Z1707" s="20"/>
      <c r="AA1707" s="20"/>
    </row>
    <row r="1708" spans="1:27" ht="12.75">
      <c r="A1708" s="10"/>
      <c r="B1708" s="10">
        <v>46113</v>
      </c>
      <c r="C1708" s="11">
        <f>VLOOKUP(B:B,'Курс валют'!A:D,4,0)</f>
        <v>93.273899999999998</v>
      </c>
      <c r="D1708" s="57" t="s">
        <v>809</v>
      </c>
      <c r="E1708" s="12" t="s">
        <v>103</v>
      </c>
      <c r="F1708" s="58">
        <v>800</v>
      </c>
      <c r="G1708" s="13">
        <v>804.5</v>
      </c>
      <c r="H1708" s="56">
        <v>0</v>
      </c>
      <c r="I1708" s="13">
        <f t="shared" si="157"/>
        <v>4.5</v>
      </c>
      <c r="J1708" s="14">
        <f t="shared" si="158"/>
        <v>0.5625</v>
      </c>
      <c r="K1708" s="56">
        <v>1.85</v>
      </c>
      <c r="L1708" s="15">
        <f t="shared" si="159"/>
        <v>0</v>
      </c>
      <c r="M1708" s="16">
        <f t="shared" si="160"/>
        <v>172.556715</v>
      </c>
      <c r="N1708" s="17">
        <f t="shared" si="161"/>
        <v>1.85</v>
      </c>
      <c r="O1708" s="17">
        <f t="shared" si="162"/>
        <v>1480</v>
      </c>
      <c r="P1708" s="18">
        <f t="shared" si="163"/>
        <v>138045.372</v>
      </c>
      <c r="R1708" s="66"/>
      <c r="S1708" s="19"/>
      <c r="T1708" s="20"/>
      <c r="U1708" s="20"/>
      <c r="V1708" s="20"/>
      <c r="W1708" s="20"/>
      <c r="X1708" s="20"/>
      <c r="Y1708" s="20"/>
      <c r="Z1708" s="20"/>
      <c r="AA1708" s="20"/>
    </row>
    <row r="1709" spans="1:27" ht="12.75">
      <c r="A1709" s="10"/>
      <c r="B1709" s="10">
        <v>46113</v>
      </c>
      <c r="C1709" s="11">
        <f>VLOOKUP(B:B,'Курс валют'!A:D,4,0)</f>
        <v>93.273899999999998</v>
      </c>
      <c r="D1709" s="57" t="s">
        <v>810</v>
      </c>
      <c r="E1709" s="12" t="s">
        <v>103</v>
      </c>
      <c r="F1709" s="58">
        <v>800</v>
      </c>
      <c r="G1709" s="13">
        <v>804.5</v>
      </c>
      <c r="H1709" s="56">
        <v>0</v>
      </c>
      <c r="I1709" s="13">
        <f t="shared" si="157"/>
        <v>4.5</v>
      </c>
      <c r="J1709" s="14">
        <f t="shared" si="158"/>
        <v>0.5625</v>
      </c>
      <c r="K1709" s="56">
        <v>1.85</v>
      </c>
      <c r="L1709" s="15">
        <f t="shared" si="159"/>
        <v>0</v>
      </c>
      <c r="M1709" s="16">
        <f t="shared" si="160"/>
        <v>172.556715</v>
      </c>
      <c r="N1709" s="17">
        <f t="shared" si="161"/>
        <v>1.85</v>
      </c>
      <c r="O1709" s="17">
        <f t="shared" si="162"/>
        <v>1480</v>
      </c>
      <c r="P1709" s="18">
        <f t="shared" si="163"/>
        <v>138045.372</v>
      </c>
      <c r="R1709" s="66"/>
      <c r="S1709" s="19"/>
      <c r="T1709" s="20"/>
      <c r="U1709" s="20"/>
      <c r="V1709" s="20"/>
      <c r="W1709" s="20"/>
      <c r="X1709" s="20"/>
      <c r="Y1709" s="20"/>
      <c r="Z1709" s="20"/>
      <c r="AA1709" s="20"/>
    </row>
    <row r="1710" spans="1:27" ht="12.75">
      <c r="A1710" s="10"/>
      <c r="B1710" s="10">
        <v>46113</v>
      </c>
      <c r="C1710" s="11">
        <f>VLOOKUP(B:B,'Курс валют'!A:D,4,0)</f>
        <v>93.273899999999998</v>
      </c>
      <c r="D1710" s="57" t="s">
        <v>811</v>
      </c>
      <c r="E1710" s="12" t="s">
        <v>114</v>
      </c>
      <c r="F1710" s="58">
        <v>10</v>
      </c>
      <c r="G1710" s="13">
        <v>10</v>
      </c>
      <c r="H1710" s="56">
        <v>0</v>
      </c>
      <c r="I1710" s="13">
        <f t="shared" si="157"/>
        <v>0</v>
      </c>
      <c r="J1710" s="14">
        <f t="shared" si="158"/>
        <v>0</v>
      </c>
      <c r="K1710" s="56">
        <v>3.08</v>
      </c>
      <c r="L1710" s="15">
        <f t="shared" si="159"/>
        <v>0</v>
      </c>
      <c r="M1710" s="16">
        <f t="shared" si="160"/>
        <v>287.28361200000001</v>
      </c>
      <c r="N1710" s="17">
        <f t="shared" si="161"/>
        <v>3.08</v>
      </c>
      <c r="O1710" s="17">
        <f t="shared" si="162"/>
        <v>30.8</v>
      </c>
      <c r="P1710" s="18">
        <f t="shared" si="163"/>
        <v>2872.8361199999999</v>
      </c>
      <c r="R1710" s="66" t="s">
        <v>812</v>
      </c>
      <c r="S1710" s="19"/>
      <c r="T1710" s="20"/>
      <c r="U1710" s="20"/>
      <c r="V1710" s="20"/>
      <c r="W1710" s="20"/>
      <c r="X1710" s="20"/>
      <c r="Y1710" s="20"/>
      <c r="Z1710" s="20"/>
      <c r="AA1710" s="20"/>
    </row>
    <row r="1711" spans="1:27" ht="12.75">
      <c r="A1711" s="10"/>
      <c r="B1711" s="10">
        <v>46113</v>
      </c>
      <c r="C1711" s="11">
        <f>VLOOKUP(B:B,'Курс валют'!A:D,4,0)</f>
        <v>93.273899999999998</v>
      </c>
      <c r="D1711" s="57" t="s">
        <v>813</v>
      </c>
      <c r="E1711" s="12" t="s">
        <v>103</v>
      </c>
      <c r="F1711" s="58">
        <v>800</v>
      </c>
      <c r="G1711" s="13">
        <v>804.5</v>
      </c>
      <c r="H1711" s="56">
        <v>0</v>
      </c>
      <c r="I1711" s="13">
        <f t="shared" si="157"/>
        <v>4.5</v>
      </c>
      <c r="J1711" s="14">
        <f t="shared" si="158"/>
        <v>0.5625</v>
      </c>
      <c r="K1711" s="56">
        <v>1.85</v>
      </c>
      <c r="L1711" s="15">
        <f t="shared" si="159"/>
        <v>0</v>
      </c>
      <c r="M1711" s="16">
        <f t="shared" si="160"/>
        <v>172.556715</v>
      </c>
      <c r="N1711" s="17">
        <f t="shared" si="161"/>
        <v>1.85</v>
      </c>
      <c r="O1711" s="17">
        <f t="shared" si="162"/>
        <v>1480</v>
      </c>
      <c r="P1711" s="18">
        <f t="shared" si="163"/>
        <v>138045.372</v>
      </c>
      <c r="R1711" s="66"/>
      <c r="S1711" s="19"/>
      <c r="T1711" s="20"/>
      <c r="U1711" s="20"/>
      <c r="V1711" s="20"/>
      <c r="W1711" s="20"/>
      <c r="X1711" s="20"/>
      <c r="Y1711" s="20"/>
      <c r="Z1711" s="20"/>
      <c r="AA1711" s="20"/>
    </row>
    <row r="1712" spans="1:27" ht="12.75">
      <c r="A1712" s="10"/>
      <c r="B1712" s="10">
        <v>46113</v>
      </c>
      <c r="C1712" s="11">
        <f>VLOOKUP(B:B,'Курс валют'!A:D,4,0)</f>
        <v>93.273899999999998</v>
      </c>
      <c r="D1712" s="57" t="s">
        <v>814</v>
      </c>
      <c r="E1712" s="12" t="s">
        <v>56</v>
      </c>
      <c r="F1712" s="58">
        <v>2000</v>
      </c>
      <c r="G1712" s="13">
        <v>2056.5500000000002</v>
      </c>
      <c r="H1712" s="56">
        <v>0</v>
      </c>
      <c r="I1712" s="13">
        <f t="shared" si="157"/>
        <v>56.550000000000182</v>
      </c>
      <c r="J1712" s="14">
        <f t="shared" si="158"/>
        <v>2.827500000000009</v>
      </c>
      <c r="K1712" s="56">
        <v>2.37</v>
      </c>
      <c r="L1712" s="15">
        <f t="shared" si="159"/>
        <v>0</v>
      </c>
      <c r="M1712" s="16">
        <f t="shared" si="160"/>
        <v>221.05914299999998</v>
      </c>
      <c r="N1712" s="17">
        <f t="shared" si="161"/>
        <v>2.37</v>
      </c>
      <c r="O1712" s="17">
        <f t="shared" si="162"/>
        <v>4740</v>
      </c>
      <c r="P1712" s="18">
        <f t="shared" si="163"/>
        <v>442118.28599999996</v>
      </c>
      <c r="R1712" s="66"/>
      <c r="S1712" s="19"/>
      <c r="T1712" s="20"/>
      <c r="U1712" s="20"/>
      <c r="V1712" s="20"/>
      <c r="W1712" s="20"/>
      <c r="X1712" s="20"/>
      <c r="Y1712" s="20"/>
      <c r="Z1712" s="20"/>
      <c r="AA1712" s="20"/>
    </row>
    <row r="1713" spans="1:27" ht="12.75">
      <c r="A1713" s="10"/>
      <c r="B1713" s="10">
        <v>46113</v>
      </c>
      <c r="C1713" s="11">
        <f>VLOOKUP(B:B,'Курс валют'!A:D,4,0)</f>
        <v>93.273899999999998</v>
      </c>
      <c r="D1713" s="57" t="s">
        <v>815</v>
      </c>
      <c r="E1713" s="12" t="s">
        <v>103</v>
      </c>
      <c r="F1713" s="58">
        <v>800</v>
      </c>
      <c r="G1713" s="13">
        <v>804.5</v>
      </c>
      <c r="H1713" s="22">
        <v>0</v>
      </c>
      <c r="I1713" s="13">
        <f t="shared" si="157"/>
        <v>4.5</v>
      </c>
      <c r="J1713" s="14">
        <f t="shared" si="158"/>
        <v>0.5625</v>
      </c>
      <c r="K1713" s="56">
        <v>1.86</v>
      </c>
      <c r="L1713" s="15">
        <f t="shared" si="159"/>
        <v>0</v>
      </c>
      <c r="M1713" s="16">
        <f t="shared" si="160"/>
        <v>173.48945399999999</v>
      </c>
      <c r="N1713" s="17">
        <f t="shared" si="161"/>
        <v>1.86</v>
      </c>
      <c r="O1713" s="17">
        <f t="shared" si="162"/>
        <v>1488</v>
      </c>
      <c r="P1713" s="18">
        <f t="shared" si="163"/>
        <v>138791.5632</v>
      </c>
      <c r="R1713" s="66"/>
      <c r="S1713" s="19"/>
      <c r="T1713" s="20"/>
      <c r="U1713" s="20"/>
      <c r="V1713" s="20"/>
      <c r="W1713" s="20"/>
      <c r="X1713" s="20"/>
      <c r="Y1713" s="20"/>
      <c r="Z1713" s="20"/>
      <c r="AA1713" s="20"/>
    </row>
    <row r="1714" spans="1:27" ht="12.75">
      <c r="A1714" s="10"/>
      <c r="B1714" s="10">
        <v>46113</v>
      </c>
      <c r="C1714" s="11">
        <f>VLOOKUP(B:B,'Курс валют'!A:D,4,0)</f>
        <v>93.273899999999998</v>
      </c>
      <c r="D1714" s="57" t="s">
        <v>816</v>
      </c>
      <c r="E1714" s="12" t="s">
        <v>103</v>
      </c>
      <c r="F1714" s="58">
        <v>800</v>
      </c>
      <c r="G1714" s="13">
        <v>804.5</v>
      </c>
      <c r="H1714" s="22">
        <v>0</v>
      </c>
      <c r="I1714" s="13">
        <f t="shared" si="157"/>
        <v>4.5</v>
      </c>
      <c r="J1714" s="14">
        <f t="shared" si="158"/>
        <v>0.5625</v>
      </c>
      <c r="K1714" s="56">
        <v>1.85</v>
      </c>
      <c r="L1714" s="15">
        <f t="shared" si="159"/>
        <v>0</v>
      </c>
      <c r="M1714" s="16">
        <f t="shared" si="160"/>
        <v>172.556715</v>
      </c>
      <c r="N1714" s="23">
        <f t="shared" si="161"/>
        <v>1.85</v>
      </c>
      <c r="O1714" s="17">
        <f t="shared" si="162"/>
        <v>1480</v>
      </c>
      <c r="P1714" s="18">
        <f t="shared" si="163"/>
        <v>138045.372</v>
      </c>
      <c r="R1714" s="66"/>
      <c r="S1714" s="19"/>
      <c r="T1714" s="20"/>
      <c r="U1714" s="20"/>
      <c r="V1714" s="20"/>
      <c r="W1714" s="20"/>
      <c r="X1714" s="20"/>
      <c r="Y1714" s="20"/>
      <c r="Z1714" s="20"/>
      <c r="AA1714" s="20"/>
    </row>
    <row r="1715" spans="1:27" ht="12.75">
      <c r="A1715" s="10"/>
      <c r="B1715" s="10">
        <v>46113</v>
      </c>
      <c r="C1715" s="11">
        <f>VLOOKUP(B:B,'Курс валют'!A:D,4,0)</f>
        <v>93.273899999999998</v>
      </c>
      <c r="D1715" s="57" t="s">
        <v>817</v>
      </c>
      <c r="E1715" s="12" t="s">
        <v>103</v>
      </c>
      <c r="F1715" s="58">
        <v>800</v>
      </c>
      <c r="G1715" s="13">
        <v>804.5</v>
      </c>
      <c r="H1715" s="22">
        <v>0</v>
      </c>
      <c r="I1715" s="13">
        <f t="shared" si="157"/>
        <v>4.5</v>
      </c>
      <c r="J1715" s="14">
        <f t="shared" si="158"/>
        <v>0.5625</v>
      </c>
      <c r="K1715" s="56">
        <v>1.85</v>
      </c>
      <c r="L1715" s="15">
        <f t="shared" si="159"/>
        <v>0</v>
      </c>
      <c r="M1715" s="16">
        <f t="shared" si="160"/>
        <v>172.556715</v>
      </c>
      <c r="N1715" s="17">
        <f t="shared" si="161"/>
        <v>1.85</v>
      </c>
      <c r="O1715" s="17">
        <f t="shared" si="162"/>
        <v>1480</v>
      </c>
      <c r="P1715" s="18">
        <f t="shared" si="163"/>
        <v>138045.372</v>
      </c>
      <c r="R1715" s="66"/>
      <c r="S1715" s="19"/>
      <c r="T1715" s="20"/>
      <c r="U1715" s="20"/>
      <c r="V1715" s="20"/>
      <c r="W1715" s="20"/>
      <c r="X1715" s="20"/>
      <c r="Y1715" s="20"/>
      <c r="Z1715" s="20"/>
      <c r="AA1715" s="20"/>
    </row>
    <row r="1716" spans="1:27" ht="12.75">
      <c r="A1716" s="10"/>
      <c r="B1716" s="10">
        <v>46113</v>
      </c>
      <c r="C1716" s="11">
        <f>VLOOKUP(B:B,'Курс валют'!A:D,4,0)</f>
        <v>93.273899999999998</v>
      </c>
      <c r="D1716" s="57" t="s">
        <v>818</v>
      </c>
      <c r="E1716" s="12" t="s">
        <v>103</v>
      </c>
      <c r="F1716" s="58">
        <v>800</v>
      </c>
      <c r="G1716" s="13">
        <v>804.5</v>
      </c>
      <c r="H1716" s="22">
        <v>0</v>
      </c>
      <c r="I1716" s="13">
        <f t="shared" si="157"/>
        <v>4.5</v>
      </c>
      <c r="J1716" s="14">
        <f t="shared" si="158"/>
        <v>0.5625</v>
      </c>
      <c r="K1716" s="56">
        <v>1.85</v>
      </c>
      <c r="L1716" s="15">
        <f t="shared" si="159"/>
        <v>0</v>
      </c>
      <c r="M1716" s="16">
        <f t="shared" si="160"/>
        <v>172.556715</v>
      </c>
      <c r="N1716" s="17">
        <f t="shared" si="161"/>
        <v>1.85</v>
      </c>
      <c r="O1716" s="17">
        <f t="shared" si="162"/>
        <v>1480</v>
      </c>
      <c r="P1716" s="18">
        <f t="shared" si="163"/>
        <v>138045.372</v>
      </c>
      <c r="R1716" s="66"/>
      <c r="S1716" s="19"/>
      <c r="T1716" s="20"/>
      <c r="U1716" s="20"/>
      <c r="V1716" s="20"/>
      <c r="W1716" s="20"/>
      <c r="X1716" s="20"/>
      <c r="Y1716" s="20"/>
      <c r="Z1716" s="20"/>
      <c r="AA1716" s="20"/>
    </row>
    <row r="1717" spans="1:27" ht="12.75">
      <c r="A1717" s="10"/>
      <c r="B1717" s="10">
        <v>46114</v>
      </c>
      <c r="C1717" s="11">
        <f>VLOOKUP(B:B,'Курс валют'!A:D,4,0)</f>
        <v>93.444299999999998</v>
      </c>
      <c r="D1717" s="57" t="s">
        <v>819</v>
      </c>
      <c r="E1717" s="12" t="s">
        <v>51</v>
      </c>
      <c r="F1717" s="58">
        <v>800</v>
      </c>
      <c r="G1717" s="13">
        <v>805.14</v>
      </c>
      <c r="H1717" s="22">
        <v>0</v>
      </c>
      <c r="I1717" s="13">
        <f t="shared" si="157"/>
        <v>5.1399999999999864</v>
      </c>
      <c r="J1717" s="14">
        <f t="shared" si="158"/>
        <v>0.64249999999999829</v>
      </c>
      <c r="K1717" s="56">
        <v>1.93</v>
      </c>
      <c r="L1717" s="15">
        <f t="shared" si="159"/>
        <v>0</v>
      </c>
      <c r="M1717" s="16">
        <f t="shared" si="160"/>
        <v>180.347499</v>
      </c>
      <c r="N1717" s="23">
        <f t="shared" si="161"/>
        <v>1.93</v>
      </c>
      <c r="O1717" s="17">
        <f t="shared" si="162"/>
        <v>1544</v>
      </c>
      <c r="P1717" s="18">
        <f t="shared" si="163"/>
        <v>144277.99919999999</v>
      </c>
      <c r="R1717" s="66"/>
      <c r="S1717" s="19"/>
      <c r="T1717" s="20"/>
      <c r="U1717" s="20"/>
      <c r="V1717" s="20"/>
      <c r="W1717" s="20"/>
      <c r="X1717" s="20"/>
      <c r="Y1717" s="20"/>
      <c r="Z1717" s="20"/>
      <c r="AA1717" s="20"/>
    </row>
    <row r="1718" spans="1:27" ht="12.75">
      <c r="A1718" s="10"/>
      <c r="B1718" s="10">
        <v>46114</v>
      </c>
      <c r="C1718" s="11">
        <f>VLOOKUP(B:B,'Курс валют'!A:D,4,0)</f>
        <v>93.444299999999998</v>
      </c>
      <c r="D1718" s="57" t="s">
        <v>820</v>
      </c>
      <c r="E1718" s="12" t="s">
        <v>51</v>
      </c>
      <c r="F1718" s="58">
        <v>800</v>
      </c>
      <c r="G1718" s="13">
        <v>805.14</v>
      </c>
      <c r="H1718" s="22">
        <v>0</v>
      </c>
      <c r="I1718" s="13">
        <f t="shared" si="157"/>
        <v>5.1399999999999864</v>
      </c>
      <c r="J1718" s="14">
        <f t="shared" si="158"/>
        <v>0.64249999999999829</v>
      </c>
      <c r="K1718" s="56">
        <v>1.92</v>
      </c>
      <c r="L1718" s="15">
        <f t="shared" si="159"/>
        <v>0</v>
      </c>
      <c r="M1718" s="16">
        <f t="shared" si="160"/>
        <v>179.41305599999998</v>
      </c>
      <c r="N1718" s="23">
        <f t="shared" si="161"/>
        <v>1.92</v>
      </c>
      <c r="O1718" s="17">
        <f t="shared" si="162"/>
        <v>1536</v>
      </c>
      <c r="P1718" s="18">
        <f t="shared" si="163"/>
        <v>143530.4448</v>
      </c>
      <c r="R1718" s="66"/>
      <c r="S1718" s="19"/>
      <c r="T1718" s="20"/>
      <c r="U1718" s="20"/>
      <c r="V1718" s="20"/>
      <c r="W1718" s="20"/>
      <c r="X1718" s="20"/>
      <c r="Y1718" s="20"/>
      <c r="Z1718" s="20"/>
      <c r="AA1718" s="20"/>
    </row>
    <row r="1719" spans="1:27" ht="12.75">
      <c r="A1719" s="54"/>
      <c r="B1719" s="10">
        <v>46114</v>
      </c>
      <c r="C1719" s="11">
        <f>VLOOKUP(B:B,'Курс валют'!A:D,4,0)</f>
        <v>93.444299999999998</v>
      </c>
      <c r="D1719" s="57" t="s">
        <v>821</v>
      </c>
      <c r="E1719" s="12" t="s">
        <v>51</v>
      </c>
      <c r="F1719" s="58">
        <v>800</v>
      </c>
      <c r="G1719" s="13">
        <v>805.14</v>
      </c>
      <c r="H1719" s="22">
        <v>0</v>
      </c>
      <c r="I1719" s="13">
        <f t="shared" si="157"/>
        <v>5.1399999999999864</v>
      </c>
      <c r="J1719" s="14">
        <f t="shared" si="158"/>
        <v>0.64249999999999829</v>
      </c>
      <c r="K1719" s="56">
        <v>1.92</v>
      </c>
      <c r="L1719" s="15">
        <f t="shared" si="159"/>
        <v>0</v>
      </c>
      <c r="M1719" s="16">
        <f t="shared" si="160"/>
        <v>179.41305599999998</v>
      </c>
      <c r="N1719" s="17">
        <f t="shared" si="161"/>
        <v>1.92</v>
      </c>
      <c r="O1719" s="17">
        <f t="shared" si="162"/>
        <v>1536</v>
      </c>
      <c r="P1719" s="18">
        <f t="shared" si="163"/>
        <v>143530.4448</v>
      </c>
      <c r="R1719" s="65"/>
      <c r="S1719" s="19"/>
      <c r="T1719" s="24"/>
      <c r="U1719" s="24"/>
      <c r="V1719" s="24"/>
      <c r="W1719" s="24"/>
      <c r="X1719" s="24"/>
      <c r="Y1719" s="24"/>
      <c r="Z1719" s="24"/>
      <c r="AA1719" s="24"/>
    </row>
    <row r="1720" spans="1:27" ht="12.75">
      <c r="A1720" s="54"/>
      <c r="B1720" s="10">
        <v>46114</v>
      </c>
      <c r="C1720" s="11">
        <f>VLOOKUP(B:B,'Курс валют'!A:D,4,0)</f>
        <v>93.444299999999998</v>
      </c>
      <c r="D1720" s="57" t="s">
        <v>822</v>
      </c>
      <c r="E1720" s="12" t="s">
        <v>51</v>
      </c>
      <c r="F1720" s="58">
        <v>800</v>
      </c>
      <c r="G1720" s="13">
        <v>805.14</v>
      </c>
      <c r="H1720" s="22">
        <v>0</v>
      </c>
      <c r="I1720" s="13">
        <f t="shared" si="157"/>
        <v>5.1399999999999864</v>
      </c>
      <c r="J1720" s="14">
        <f t="shared" si="158"/>
        <v>0.64249999999999829</v>
      </c>
      <c r="K1720" s="56">
        <v>1.92</v>
      </c>
      <c r="L1720" s="15">
        <f t="shared" si="159"/>
        <v>0</v>
      </c>
      <c r="M1720" s="16">
        <f t="shared" si="160"/>
        <v>179.41305599999998</v>
      </c>
      <c r="N1720" s="17">
        <f t="shared" si="161"/>
        <v>1.92</v>
      </c>
      <c r="O1720" s="17">
        <f t="shared" si="162"/>
        <v>1536</v>
      </c>
      <c r="P1720" s="18">
        <f t="shared" si="163"/>
        <v>143530.4448</v>
      </c>
      <c r="R1720" s="65"/>
      <c r="S1720" s="19"/>
      <c r="T1720" s="20"/>
      <c r="U1720" s="20"/>
      <c r="V1720" s="20"/>
      <c r="W1720" s="20"/>
      <c r="X1720" s="20"/>
      <c r="Y1720" s="20"/>
      <c r="Z1720" s="20"/>
      <c r="AA1720" s="20"/>
    </row>
    <row r="1721" spans="1:27" ht="12.75">
      <c r="A1721" s="54"/>
      <c r="B1721" s="10">
        <v>46114</v>
      </c>
      <c r="C1721" s="11">
        <f>VLOOKUP(B:B,'Курс валют'!A:D,4,0)</f>
        <v>93.444299999999998</v>
      </c>
      <c r="D1721" s="57" t="s">
        <v>823</v>
      </c>
      <c r="E1721" s="12" t="s">
        <v>51</v>
      </c>
      <c r="F1721" s="58">
        <v>800</v>
      </c>
      <c r="G1721" s="13">
        <v>805.14</v>
      </c>
      <c r="H1721" s="22">
        <v>0</v>
      </c>
      <c r="I1721" s="13">
        <f t="shared" si="157"/>
        <v>5.1399999999999864</v>
      </c>
      <c r="J1721" s="14">
        <f t="shared" si="158"/>
        <v>0.64249999999999829</v>
      </c>
      <c r="K1721" s="56">
        <v>1.92</v>
      </c>
      <c r="L1721" s="15">
        <f t="shared" si="159"/>
        <v>0</v>
      </c>
      <c r="M1721" s="16">
        <f t="shared" si="160"/>
        <v>179.41305599999998</v>
      </c>
      <c r="N1721" s="17">
        <f t="shared" si="161"/>
        <v>1.92</v>
      </c>
      <c r="O1721" s="17">
        <f t="shared" si="162"/>
        <v>1536</v>
      </c>
      <c r="P1721" s="18">
        <f t="shared" si="163"/>
        <v>143530.4448</v>
      </c>
      <c r="R1721" s="65"/>
      <c r="S1721" s="19"/>
      <c r="T1721" s="20"/>
      <c r="U1721" s="20"/>
      <c r="V1721" s="20"/>
      <c r="W1721" s="20"/>
      <c r="X1721" s="20"/>
      <c r="Y1721" s="20"/>
      <c r="Z1721" s="20"/>
      <c r="AA1721" s="20"/>
    </row>
    <row r="1722" spans="1:27" ht="12.75">
      <c r="A1722" s="54"/>
      <c r="B1722" s="10">
        <v>46114</v>
      </c>
      <c r="C1722" s="11">
        <f>VLOOKUP(B:B,'Курс валют'!A:D,4,0)</f>
        <v>93.444299999999998</v>
      </c>
      <c r="D1722" s="57" t="s">
        <v>824</v>
      </c>
      <c r="E1722" s="12" t="s">
        <v>51</v>
      </c>
      <c r="F1722" s="58">
        <v>800</v>
      </c>
      <c r="G1722" s="13">
        <v>805.14</v>
      </c>
      <c r="H1722" s="22">
        <v>0</v>
      </c>
      <c r="I1722" s="13">
        <f t="shared" si="157"/>
        <v>5.1399999999999864</v>
      </c>
      <c r="J1722" s="14">
        <f t="shared" si="158"/>
        <v>0.64249999999999829</v>
      </c>
      <c r="K1722" s="56">
        <v>1.93</v>
      </c>
      <c r="L1722" s="15">
        <f t="shared" si="159"/>
        <v>0</v>
      </c>
      <c r="M1722" s="16">
        <f t="shared" si="160"/>
        <v>180.347499</v>
      </c>
      <c r="N1722" s="17">
        <f t="shared" si="161"/>
        <v>1.93</v>
      </c>
      <c r="O1722" s="17">
        <f t="shared" si="162"/>
        <v>1544</v>
      </c>
      <c r="P1722" s="18">
        <f t="shared" si="163"/>
        <v>144277.99919999999</v>
      </c>
      <c r="R1722" s="66"/>
      <c r="S1722" s="19"/>
      <c r="T1722" s="24"/>
      <c r="U1722" s="24"/>
      <c r="V1722" s="24"/>
      <c r="W1722" s="24"/>
      <c r="X1722" s="24"/>
      <c r="Y1722" s="24"/>
      <c r="Z1722" s="24"/>
      <c r="AA1722" s="24"/>
    </row>
    <row r="1723" spans="1:27" ht="12.75">
      <c r="A1723" s="54"/>
      <c r="B1723" s="10">
        <v>46114</v>
      </c>
      <c r="C1723" s="11">
        <f>VLOOKUP(B:B,'Курс валют'!A:D,4,0)</f>
        <v>93.444299999999998</v>
      </c>
      <c r="D1723" s="57" t="s">
        <v>825</v>
      </c>
      <c r="E1723" s="12" t="s">
        <v>51</v>
      </c>
      <c r="F1723" s="58">
        <v>800</v>
      </c>
      <c r="G1723" s="13">
        <v>805.14</v>
      </c>
      <c r="H1723" s="22">
        <v>0</v>
      </c>
      <c r="I1723" s="13">
        <f t="shared" ref="I1723:I1745" si="164">G1723-F1723</f>
        <v>5.1399999999999864</v>
      </c>
      <c r="J1723" s="14">
        <f t="shared" si="158"/>
        <v>0.64249999999999829</v>
      </c>
      <c r="K1723" s="56">
        <v>1.92</v>
      </c>
      <c r="L1723" s="15">
        <f t="shared" si="159"/>
        <v>0</v>
      </c>
      <c r="M1723" s="16">
        <f t="shared" si="160"/>
        <v>179.41305599999998</v>
      </c>
      <c r="N1723" s="17">
        <f t="shared" si="161"/>
        <v>1.92</v>
      </c>
      <c r="O1723" s="17">
        <f t="shared" si="162"/>
        <v>1536</v>
      </c>
      <c r="P1723" s="18">
        <f t="shared" si="163"/>
        <v>143530.4448</v>
      </c>
      <c r="R1723" s="65"/>
      <c r="S1723" s="19"/>
      <c r="T1723" s="24"/>
      <c r="U1723" s="24"/>
      <c r="V1723" s="24"/>
      <c r="W1723" s="24"/>
      <c r="X1723" s="24"/>
      <c r="Y1723" s="24"/>
      <c r="Z1723" s="24"/>
      <c r="AA1723" s="24"/>
    </row>
    <row r="1724" spans="1:27" ht="12.75">
      <c r="A1724" s="54"/>
      <c r="B1724" s="10">
        <v>46114</v>
      </c>
      <c r="C1724" s="11">
        <f>VLOOKUP(B:B,'Курс валют'!A:D,4,0)</f>
        <v>93.444299999999998</v>
      </c>
      <c r="D1724" s="57" t="s">
        <v>826</v>
      </c>
      <c r="E1724" s="12" t="s">
        <v>51</v>
      </c>
      <c r="F1724" s="58">
        <v>800</v>
      </c>
      <c r="G1724" s="13">
        <v>805.14</v>
      </c>
      <c r="H1724" s="22">
        <v>0</v>
      </c>
      <c r="I1724" s="13">
        <f t="shared" si="164"/>
        <v>5.1399999999999864</v>
      </c>
      <c r="J1724" s="14">
        <f t="shared" si="158"/>
        <v>0.64249999999999829</v>
      </c>
      <c r="K1724" s="56">
        <v>1.92</v>
      </c>
      <c r="L1724" s="15">
        <f t="shared" si="159"/>
        <v>0</v>
      </c>
      <c r="M1724" s="16">
        <f t="shared" si="160"/>
        <v>179.41305599999998</v>
      </c>
      <c r="N1724" s="17">
        <f t="shared" si="161"/>
        <v>1.92</v>
      </c>
      <c r="O1724" s="17">
        <f t="shared" si="162"/>
        <v>1536</v>
      </c>
      <c r="P1724" s="18">
        <f t="shared" si="163"/>
        <v>143530.4448</v>
      </c>
      <c r="R1724" s="66"/>
      <c r="S1724" s="19"/>
      <c r="T1724" s="24"/>
      <c r="U1724" s="24"/>
      <c r="V1724" s="24"/>
      <c r="W1724" s="24"/>
      <c r="X1724" s="24"/>
      <c r="Y1724" s="24"/>
      <c r="Z1724" s="24"/>
      <c r="AA1724" s="24"/>
    </row>
    <row r="1725" spans="1:27" ht="12.75">
      <c r="A1725" s="54"/>
      <c r="B1725" s="10">
        <v>46114</v>
      </c>
      <c r="C1725" s="11">
        <f>VLOOKUP(B:B,'Курс валют'!A:D,4,0)</f>
        <v>93.444299999999998</v>
      </c>
      <c r="D1725" s="57" t="s">
        <v>827</v>
      </c>
      <c r="E1725" s="12" t="s">
        <v>51</v>
      </c>
      <c r="F1725" s="58">
        <v>800</v>
      </c>
      <c r="G1725" s="13">
        <v>805.14</v>
      </c>
      <c r="H1725" s="22">
        <v>0</v>
      </c>
      <c r="I1725" s="13">
        <f t="shared" si="164"/>
        <v>5.1399999999999864</v>
      </c>
      <c r="J1725" s="14">
        <f t="shared" si="158"/>
        <v>0.64249999999999829</v>
      </c>
      <c r="K1725" s="56">
        <v>1.92</v>
      </c>
      <c r="L1725" s="15">
        <f t="shared" si="159"/>
        <v>0</v>
      </c>
      <c r="M1725" s="16">
        <f t="shared" si="160"/>
        <v>179.41305599999998</v>
      </c>
      <c r="N1725" s="17">
        <f t="shared" si="161"/>
        <v>1.92</v>
      </c>
      <c r="O1725" s="17">
        <f t="shared" si="162"/>
        <v>1536</v>
      </c>
      <c r="P1725" s="18">
        <f t="shared" si="163"/>
        <v>143530.4448</v>
      </c>
      <c r="R1725" s="66"/>
      <c r="S1725" s="19"/>
      <c r="T1725" s="20"/>
      <c r="U1725" s="20"/>
      <c r="V1725" s="20"/>
      <c r="W1725" s="20"/>
      <c r="X1725" s="20"/>
      <c r="Y1725" s="20"/>
      <c r="Z1725" s="20"/>
      <c r="AA1725" s="20"/>
    </row>
    <row r="1726" spans="1:27" ht="12.75">
      <c r="A1726" s="54"/>
      <c r="B1726" s="10">
        <v>46114</v>
      </c>
      <c r="C1726" s="11">
        <f>VLOOKUP(B:B,'Курс валют'!A:D,4,0)</f>
        <v>93.444299999999998</v>
      </c>
      <c r="D1726" s="57" t="s">
        <v>828</v>
      </c>
      <c r="E1726" s="12" t="s">
        <v>51</v>
      </c>
      <c r="F1726" s="58">
        <v>800</v>
      </c>
      <c r="G1726" s="13">
        <v>805.14</v>
      </c>
      <c r="H1726" s="22">
        <v>0</v>
      </c>
      <c r="I1726" s="58">
        <v>2.5</v>
      </c>
      <c r="J1726" s="14">
        <f t="shared" si="158"/>
        <v>0.3125</v>
      </c>
      <c r="K1726" s="56">
        <v>1.92</v>
      </c>
      <c r="L1726" s="15">
        <f t="shared" si="159"/>
        <v>0</v>
      </c>
      <c r="M1726" s="16">
        <f t="shared" si="160"/>
        <v>179.41305599999998</v>
      </c>
      <c r="N1726" s="17">
        <f t="shared" si="161"/>
        <v>1.92</v>
      </c>
      <c r="O1726" s="17">
        <f t="shared" si="162"/>
        <v>1536</v>
      </c>
      <c r="P1726" s="18">
        <f t="shared" si="163"/>
        <v>143530.4448</v>
      </c>
      <c r="R1726" s="66"/>
      <c r="S1726" s="19"/>
      <c r="T1726" s="20"/>
      <c r="U1726" s="20"/>
      <c r="V1726" s="20"/>
      <c r="W1726" s="20"/>
      <c r="X1726" s="20"/>
      <c r="Y1726" s="20"/>
      <c r="Z1726" s="20"/>
      <c r="AA1726" s="20"/>
    </row>
    <row r="1727" spans="1:27" ht="12.75">
      <c r="A1727" s="54"/>
      <c r="B1727" s="10">
        <v>46114</v>
      </c>
      <c r="C1727" s="11">
        <f>VLOOKUP(B:B,'Курс валют'!A:D,4,0)</f>
        <v>93.444299999999998</v>
      </c>
      <c r="D1727" s="57" t="s">
        <v>829</v>
      </c>
      <c r="E1727" s="21" t="s">
        <v>125</v>
      </c>
      <c r="F1727" s="58">
        <v>2200</v>
      </c>
      <c r="G1727" s="13">
        <v>2239.3049999999998</v>
      </c>
      <c r="H1727" s="56">
        <v>0</v>
      </c>
      <c r="I1727" s="13">
        <f t="shared" ref="I1727:I1759" si="165">G1727-F1727</f>
        <v>39.304999999999836</v>
      </c>
      <c r="J1727" s="14">
        <f t="shared" si="158"/>
        <v>1.7865909090909016</v>
      </c>
      <c r="K1727" s="56">
        <v>1.91</v>
      </c>
      <c r="L1727" s="15">
        <f t="shared" si="159"/>
        <v>0</v>
      </c>
      <c r="M1727" s="16">
        <f t="shared" si="160"/>
        <v>178.478613</v>
      </c>
      <c r="N1727" s="17">
        <f t="shared" si="161"/>
        <v>1.91</v>
      </c>
      <c r="O1727" s="17">
        <f t="shared" si="162"/>
        <v>4202</v>
      </c>
      <c r="P1727" s="18">
        <f t="shared" si="163"/>
        <v>392652.9486</v>
      </c>
      <c r="R1727" s="66"/>
      <c r="S1727" s="19"/>
      <c r="T1727" s="20"/>
      <c r="U1727" s="20"/>
      <c r="V1727" s="20"/>
      <c r="W1727" s="20"/>
      <c r="X1727" s="20"/>
      <c r="Y1727" s="20"/>
      <c r="Z1727" s="20"/>
      <c r="AA1727" s="20"/>
    </row>
    <row r="1728" spans="1:27" ht="12.75">
      <c r="A1728" s="54"/>
      <c r="B1728" s="10">
        <v>46115</v>
      </c>
      <c r="C1728" s="11">
        <f>VLOOKUP(B:B,'Курс валют'!A:D,4,0)</f>
        <v>92.732600000000005</v>
      </c>
      <c r="D1728" s="57" t="s">
        <v>830</v>
      </c>
      <c r="E1728" s="21" t="s">
        <v>50</v>
      </c>
      <c r="F1728" s="58">
        <v>800</v>
      </c>
      <c r="G1728" s="13">
        <v>805.12</v>
      </c>
      <c r="H1728" s="56">
        <v>0</v>
      </c>
      <c r="I1728" s="13">
        <f t="shared" si="165"/>
        <v>5.1200000000000045</v>
      </c>
      <c r="J1728" s="14">
        <f t="shared" si="158"/>
        <v>0.64000000000000057</v>
      </c>
      <c r="K1728" s="56">
        <v>1.9</v>
      </c>
      <c r="L1728" s="15">
        <f t="shared" si="159"/>
        <v>0</v>
      </c>
      <c r="M1728" s="16">
        <f t="shared" si="160"/>
        <v>176.19193999999999</v>
      </c>
      <c r="N1728" s="17">
        <f t="shared" si="161"/>
        <v>1.9</v>
      </c>
      <c r="O1728" s="17">
        <f t="shared" si="162"/>
        <v>1520</v>
      </c>
      <c r="P1728" s="18">
        <f t="shared" si="163"/>
        <v>140953.552</v>
      </c>
      <c r="R1728" s="66"/>
      <c r="S1728" s="20"/>
      <c r="T1728" s="20"/>
      <c r="U1728" s="20"/>
      <c r="V1728" s="20"/>
      <c r="W1728" s="20"/>
      <c r="X1728" s="20"/>
      <c r="Y1728" s="20"/>
      <c r="Z1728" s="20"/>
      <c r="AA1728" s="20"/>
    </row>
    <row r="1729" spans="1:27" ht="15" customHeight="1">
      <c r="A1729" s="54"/>
      <c r="B1729" s="10">
        <v>46115</v>
      </c>
      <c r="C1729" s="11">
        <f>VLOOKUP(B:B,'Курс валют'!A:D,4,0)</f>
        <v>92.732600000000005</v>
      </c>
      <c r="D1729" s="57" t="s">
        <v>831</v>
      </c>
      <c r="E1729" s="21" t="s">
        <v>50</v>
      </c>
      <c r="F1729" s="58">
        <v>800</v>
      </c>
      <c r="G1729" s="13">
        <v>805.12</v>
      </c>
      <c r="H1729" s="56">
        <v>0</v>
      </c>
      <c r="I1729" s="13">
        <f t="shared" si="165"/>
        <v>5.1200000000000045</v>
      </c>
      <c r="J1729" s="14">
        <f t="shared" si="158"/>
        <v>0.64000000000000057</v>
      </c>
      <c r="K1729" s="56">
        <v>1.89</v>
      </c>
      <c r="L1729" s="15">
        <f t="shared" si="159"/>
        <v>0</v>
      </c>
      <c r="M1729" s="16">
        <f t="shared" si="160"/>
        <v>175.26461399999999</v>
      </c>
      <c r="N1729" s="17">
        <f t="shared" si="161"/>
        <v>1.89</v>
      </c>
      <c r="O1729" s="17">
        <f t="shared" si="162"/>
        <v>1512</v>
      </c>
      <c r="P1729" s="18">
        <f t="shared" si="163"/>
        <v>140211.6912</v>
      </c>
      <c r="R1729" s="66"/>
      <c r="S1729" s="20"/>
      <c r="T1729" s="20"/>
      <c r="U1729" s="20"/>
      <c r="V1729" s="20"/>
      <c r="W1729" s="20"/>
      <c r="X1729" s="20"/>
      <c r="Y1729" s="20"/>
      <c r="Z1729" s="20"/>
      <c r="AA1729" s="20"/>
    </row>
    <row r="1730" spans="1:27" ht="12.75">
      <c r="A1730" s="54"/>
      <c r="B1730" s="10">
        <v>46115</v>
      </c>
      <c r="C1730" s="11">
        <f>VLOOKUP(B:B,'Курс валют'!A:D,4,0)</f>
        <v>92.732600000000005</v>
      </c>
      <c r="D1730" s="57" t="s">
        <v>832</v>
      </c>
      <c r="E1730" s="21" t="s">
        <v>50</v>
      </c>
      <c r="F1730" s="58">
        <v>800</v>
      </c>
      <c r="G1730" s="13">
        <v>805.12</v>
      </c>
      <c r="H1730" s="56">
        <v>0</v>
      </c>
      <c r="I1730" s="13">
        <f t="shared" si="165"/>
        <v>5.1200000000000045</v>
      </c>
      <c r="J1730" s="14">
        <f t="shared" si="158"/>
        <v>0.64000000000000057</v>
      </c>
      <c r="K1730" s="56">
        <v>1.89</v>
      </c>
      <c r="L1730" s="15">
        <f t="shared" si="159"/>
        <v>0</v>
      </c>
      <c r="M1730" s="16">
        <f t="shared" si="160"/>
        <v>175.26461399999999</v>
      </c>
      <c r="N1730" s="17">
        <f t="shared" si="161"/>
        <v>1.89</v>
      </c>
      <c r="O1730" s="17">
        <f t="shared" si="162"/>
        <v>1512</v>
      </c>
      <c r="P1730" s="18">
        <f t="shared" si="163"/>
        <v>140211.6912</v>
      </c>
      <c r="R1730" s="66"/>
      <c r="S1730" s="20"/>
      <c r="T1730" s="20"/>
      <c r="U1730" s="20"/>
      <c r="V1730" s="20"/>
      <c r="W1730" s="20"/>
      <c r="X1730" s="20"/>
      <c r="Y1730" s="20"/>
      <c r="Z1730" s="20"/>
      <c r="AA1730" s="20"/>
    </row>
    <row r="1731" spans="1:27" ht="12.75">
      <c r="A1731" s="54"/>
      <c r="B1731" s="10">
        <v>46115</v>
      </c>
      <c r="C1731" s="11">
        <f>VLOOKUP(B:B,'Курс валют'!A:D,4,0)</f>
        <v>92.732600000000005</v>
      </c>
      <c r="D1731" s="57" t="s">
        <v>833</v>
      </c>
      <c r="E1731" s="21" t="s">
        <v>50</v>
      </c>
      <c r="F1731" s="58">
        <v>800</v>
      </c>
      <c r="G1731" s="13">
        <v>805.12</v>
      </c>
      <c r="H1731" s="56">
        <v>0</v>
      </c>
      <c r="I1731" s="13">
        <f t="shared" si="165"/>
        <v>5.1200000000000045</v>
      </c>
      <c r="J1731" s="14">
        <f t="shared" si="158"/>
        <v>0.64000000000000057</v>
      </c>
      <c r="K1731" s="56">
        <v>1.86</v>
      </c>
      <c r="L1731" s="15">
        <f t="shared" si="159"/>
        <v>0</v>
      </c>
      <c r="M1731" s="16">
        <f t="shared" si="160"/>
        <v>172.48263600000001</v>
      </c>
      <c r="N1731" s="17">
        <f t="shared" si="161"/>
        <v>1.86</v>
      </c>
      <c r="O1731" s="17">
        <f t="shared" si="162"/>
        <v>1488</v>
      </c>
      <c r="P1731" s="18">
        <f t="shared" si="163"/>
        <v>137986.10880000002</v>
      </c>
      <c r="R1731" s="66"/>
      <c r="S1731" s="48"/>
      <c r="T1731" s="20"/>
      <c r="U1731" s="20"/>
      <c r="V1731" s="20"/>
      <c r="W1731" s="20"/>
      <c r="X1731" s="20"/>
      <c r="Y1731" s="20"/>
      <c r="Z1731" s="20"/>
      <c r="AA1731" s="20"/>
    </row>
    <row r="1732" spans="1:27" ht="12.75">
      <c r="A1732" s="54"/>
      <c r="B1732" s="10">
        <v>46115</v>
      </c>
      <c r="C1732" s="11">
        <f>VLOOKUP(B:B,'Курс валют'!A:D,4,0)</f>
        <v>92.732600000000005</v>
      </c>
      <c r="D1732" s="57" t="s">
        <v>834</v>
      </c>
      <c r="E1732" s="21" t="s">
        <v>50</v>
      </c>
      <c r="F1732" s="58">
        <v>800</v>
      </c>
      <c r="G1732" s="13">
        <v>805.12</v>
      </c>
      <c r="H1732" s="49">
        <v>0</v>
      </c>
      <c r="I1732" s="13">
        <f t="shared" si="165"/>
        <v>5.1200000000000045</v>
      </c>
      <c r="J1732" s="14">
        <f t="shared" si="158"/>
        <v>0.64000000000000057</v>
      </c>
      <c r="K1732" s="49">
        <v>1.86</v>
      </c>
      <c r="L1732" s="15">
        <f t="shared" si="159"/>
        <v>0</v>
      </c>
      <c r="M1732" s="16">
        <f t="shared" si="160"/>
        <v>172.48263600000001</v>
      </c>
      <c r="N1732" s="17">
        <f t="shared" si="161"/>
        <v>1.86</v>
      </c>
      <c r="O1732" s="17">
        <f t="shared" si="162"/>
        <v>1488</v>
      </c>
      <c r="P1732" s="18">
        <f t="shared" si="163"/>
        <v>137986.10880000002</v>
      </c>
      <c r="R1732" s="66"/>
      <c r="S1732" s="48"/>
      <c r="T1732" s="20"/>
      <c r="U1732" s="20"/>
      <c r="V1732" s="20"/>
      <c r="W1732" s="20"/>
      <c r="X1732" s="20"/>
      <c r="Y1732" s="20"/>
      <c r="Z1732" s="20"/>
      <c r="AA1732" s="20"/>
    </row>
    <row r="1733" spans="1:27" ht="12.75">
      <c r="A1733" s="54"/>
      <c r="B1733" s="10">
        <v>46115</v>
      </c>
      <c r="C1733" s="11">
        <f>VLOOKUP(B:B,'Курс валют'!A:D,4,0)</f>
        <v>92.732600000000005</v>
      </c>
      <c r="D1733" s="57" t="s">
        <v>835</v>
      </c>
      <c r="E1733" s="50" t="s">
        <v>50</v>
      </c>
      <c r="F1733" s="58">
        <v>800</v>
      </c>
      <c r="G1733" s="58">
        <v>805.12</v>
      </c>
      <c r="H1733" s="49">
        <v>0</v>
      </c>
      <c r="I1733" s="58">
        <f t="shared" si="165"/>
        <v>5.1200000000000045</v>
      </c>
      <c r="J1733" s="14">
        <f t="shared" si="158"/>
        <v>0.64000000000000057</v>
      </c>
      <c r="K1733" s="49">
        <v>1.9</v>
      </c>
      <c r="L1733" s="15">
        <f t="shared" si="159"/>
        <v>0</v>
      </c>
      <c r="M1733" s="16">
        <f t="shared" si="160"/>
        <v>176.19193999999999</v>
      </c>
      <c r="N1733" s="17">
        <f t="shared" si="161"/>
        <v>1.9</v>
      </c>
      <c r="O1733" s="17">
        <f t="shared" si="162"/>
        <v>1520</v>
      </c>
      <c r="P1733" s="18">
        <f t="shared" si="163"/>
        <v>140953.552</v>
      </c>
      <c r="R1733" s="66"/>
      <c r="S1733" s="48"/>
      <c r="T1733" s="20"/>
      <c r="U1733" s="20"/>
      <c r="V1733" s="20"/>
      <c r="W1733" s="20"/>
      <c r="X1733" s="20"/>
      <c r="Y1733" s="20"/>
      <c r="Z1733" s="20"/>
      <c r="AA1733" s="20"/>
    </row>
    <row r="1734" spans="1:27" ht="12.75">
      <c r="A1734" s="54"/>
      <c r="B1734" s="10">
        <v>46115</v>
      </c>
      <c r="C1734" s="11">
        <f>VLOOKUP(B:B,'Курс валют'!A:D,4,0)</f>
        <v>92.732600000000005</v>
      </c>
      <c r="D1734" s="57" t="s">
        <v>836</v>
      </c>
      <c r="E1734" s="50" t="s">
        <v>50</v>
      </c>
      <c r="F1734" s="58">
        <v>800</v>
      </c>
      <c r="G1734" s="58">
        <v>805.12</v>
      </c>
      <c r="H1734" s="49">
        <v>0</v>
      </c>
      <c r="I1734" s="58">
        <f t="shared" si="165"/>
        <v>5.1200000000000045</v>
      </c>
      <c r="J1734" s="14">
        <f t="shared" si="158"/>
        <v>0.64000000000000057</v>
      </c>
      <c r="K1734" s="49">
        <v>1.89</v>
      </c>
      <c r="L1734" s="15">
        <f t="shared" si="159"/>
        <v>0</v>
      </c>
      <c r="M1734" s="16">
        <f t="shared" si="160"/>
        <v>175.26461399999999</v>
      </c>
      <c r="N1734" s="17">
        <f t="shared" si="161"/>
        <v>1.89</v>
      </c>
      <c r="O1734" s="17">
        <f t="shared" si="162"/>
        <v>1512</v>
      </c>
      <c r="P1734" s="18">
        <f t="shared" si="163"/>
        <v>140211.6912</v>
      </c>
      <c r="R1734" s="66"/>
      <c r="S1734" s="48"/>
      <c r="T1734" s="20"/>
      <c r="U1734" s="20"/>
      <c r="V1734" s="20"/>
      <c r="W1734" s="20"/>
      <c r="X1734" s="20"/>
      <c r="Y1734" s="20"/>
      <c r="Z1734" s="20"/>
      <c r="AA1734" s="20"/>
    </row>
    <row r="1735" spans="1:27" ht="12.75">
      <c r="A1735" s="54"/>
      <c r="B1735" s="10">
        <v>46115</v>
      </c>
      <c r="C1735" s="11">
        <f>VLOOKUP(B:B,'Курс валют'!A:D,4,0)</f>
        <v>92.732600000000005</v>
      </c>
      <c r="D1735" s="57" t="s">
        <v>837</v>
      </c>
      <c r="E1735" s="50" t="s">
        <v>50</v>
      </c>
      <c r="F1735" s="58">
        <v>800</v>
      </c>
      <c r="G1735" s="58">
        <v>805.12</v>
      </c>
      <c r="H1735" s="49">
        <v>0</v>
      </c>
      <c r="I1735" s="58">
        <f t="shared" si="165"/>
        <v>5.1200000000000045</v>
      </c>
      <c r="J1735" s="14">
        <f t="shared" si="158"/>
        <v>0.64000000000000057</v>
      </c>
      <c r="K1735" s="49">
        <v>1.89</v>
      </c>
      <c r="L1735" s="15">
        <f t="shared" si="159"/>
        <v>0</v>
      </c>
      <c r="M1735" s="16">
        <f t="shared" si="160"/>
        <v>175.26461399999999</v>
      </c>
      <c r="N1735" s="17">
        <f t="shared" si="161"/>
        <v>1.89</v>
      </c>
      <c r="O1735" s="17">
        <f t="shared" si="162"/>
        <v>1512</v>
      </c>
      <c r="P1735" s="18">
        <f t="shared" si="163"/>
        <v>140211.6912</v>
      </c>
      <c r="R1735" s="66"/>
      <c r="S1735" s="48"/>
      <c r="T1735" s="20"/>
      <c r="U1735" s="20"/>
      <c r="V1735" s="20"/>
      <c r="W1735" s="20"/>
      <c r="X1735" s="20"/>
      <c r="Y1735" s="20"/>
      <c r="Z1735" s="20"/>
      <c r="AA1735" s="20"/>
    </row>
    <row r="1736" spans="1:27" ht="12.75">
      <c r="A1736" s="54"/>
      <c r="B1736" s="10">
        <v>46115</v>
      </c>
      <c r="C1736" s="11">
        <f>VLOOKUP(B:B,'Курс валют'!A:D,4,0)</f>
        <v>92.732600000000005</v>
      </c>
      <c r="D1736" s="57" t="s">
        <v>838</v>
      </c>
      <c r="E1736" s="50" t="s">
        <v>50</v>
      </c>
      <c r="F1736" s="58">
        <v>800</v>
      </c>
      <c r="G1736" s="58">
        <v>805.12</v>
      </c>
      <c r="H1736" s="49">
        <v>0</v>
      </c>
      <c r="I1736" s="58">
        <f t="shared" si="165"/>
        <v>5.1200000000000045</v>
      </c>
      <c r="J1736" s="14">
        <f t="shared" si="158"/>
        <v>0.64000000000000057</v>
      </c>
      <c r="K1736" s="49">
        <v>1.89</v>
      </c>
      <c r="L1736" s="15">
        <f t="shared" si="159"/>
        <v>0</v>
      </c>
      <c r="M1736" s="16">
        <f t="shared" si="160"/>
        <v>175.26461399999999</v>
      </c>
      <c r="N1736" s="17">
        <f t="shared" si="161"/>
        <v>1.89</v>
      </c>
      <c r="O1736" s="17">
        <f t="shared" si="162"/>
        <v>1512</v>
      </c>
      <c r="P1736" s="18">
        <f t="shared" si="163"/>
        <v>140211.6912</v>
      </c>
      <c r="R1736" s="66"/>
      <c r="S1736" s="48"/>
      <c r="T1736" s="20"/>
      <c r="U1736" s="20"/>
      <c r="V1736" s="20"/>
      <c r="W1736" s="20"/>
      <c r="X1736" s="20"/>
      <c r="Y1736" s="20"/>
      <c r="Z1736" s="20"/>
      <c r="AA1736" s="20"/>
    </row>
    <row r="1737" spans="1:27" ht="12.75">
      <c r="A1737" s="54"/>
      <c r="B1737" s="10">
        <v>46115</v>
      </c>
      <c r="C1737" s="11">
        <f>VLOOKUP(B:B,'Курс валют'!A:D,4,0)</f>
        <v>92.732600000000005</v>
      </c>
      <c r="D1737" s="57" t="s">
        <v>839</v>
      </c>
      <c r="E1737" s="50" t="s">
        <v>125</v>
      </c>
      <c r="F1737" s="58">
        <v>2200</v>
      </c>
      <c r="G1737" s="13">
        <v>2238.52</v>
      </c>
      <c r="H1737" s="56">
        <v>0</v>
      </c>
      <c r="I1737" s="13">
        <f t="shared" si="165"/>
        <v>38.519999999999982</v>
      </c>
      <c r="J1737" s="14">
        <f t="shared" si="158"/>
        <v>1.7509090909090901</v>
      </c>
      <c r="K1737" s="49">
        <v>1.95</v>
      </c>
      <c r="L1737" s="15">
        <f t="shared" si="159"/>
        <v>0</v>
      </c>
      <c r="M1737" s="16">
        <f t="shared" si="160"/>
        <v>180.82857000000001</v>
      </c>
      <c r="N1737" s="17">
        <f t="shared" si="161"/>
        <v>1.95</v>
      </c>
      <c r="O1737" s="17">
        <f t="shared" si="162"/>
        <v>4290</v>
      </c>
      <c r="P1737" s="18">
        <f t="shared" si="163"/>
        <v>397822.85400000005</v>
      </c>
      <c r="R1737" s="66"/>
      <c r="S1737" s="20"/>
      <c r="T1737" s="20"/>
      <c r="U1737" s="20"/>
      <c r="V1737" s="20"/>
      <c r="W1737" s="20"/>
      <c r="X1737" s="20"/>
      <c r="Y1737" s="20"/>
      <c r="Z1737" s="20"/>
      <c r="AA1737" s="20"/>
    </row>
    <row r="1738" spans="1:27" ht="12.75">
      <c r="A1738" s="54"/>
      <c r="B1738" s="10">
        <v>46115</v>
      </c>
      <c r="C1738" s="11">
        <f>VLOOKUP(B:B,'Курс валют'!A:D,4,0)</f>
        <v>92.732600000000005</v>
      </c>
      <c r="D1738" s="57" t="s">
        <v>840</v>
      </c>
      <c r="E1738" s="50" t="s">
        <v>50</v>
      </c>
      <c r="F1738" s="58">
        <v>800</v>
      </c>
      <c r="G1738" s="51">
        <v>805.12</v>
      </c>
      <c r="H1738" s="56">
        <v>0</v>
      </c>
      <c r="I1738" s="13">
        <f t="shared" si="165"/>
        <v>5.1200000000000045</v>
      </c>
      <c r="J1738" s="14">
        <f t="shared" si="158"/>
        <v>0.64000000000000057</v>
      </c>
      <c r="K1738" s="49">
        <v>1.89</v>
      </c>
      <c r="L1738" s="15">
        <f t="shared" si="159"/>
        <v>0</v>
      </c>
      <c r="M1738" s="16">
        <f t="shared" si="160"/>
        <v>175.26461399999999</v>
      </c>
      <c r="N1738" s="17">
        <f t="shared" si="161"/>
        <v>1.89</v>
      </c>
      <c r="O1738" s="17">
        <f t="shared" si="162"/>
        <v>1512</v>
      </c>
      <c r="P1738" s="18">
        <f t="shared" si="163"/>
        <v>140211.6912</v>
      </c>
      <c r="R1738" s="66"/>
      <c r="S1738" s="20"/>
      <c r="T1738" s="20"/>
      <c r="U1738" s="20"/>
      <c r="V1738" s="20"/>
      <c r="W1738" s="20"/>
      <c r="X1738" s="20"/>
      <c r="Y1738" s="20"/>
      <c r="Z1738" s="20"/>
      <c r="AA1738" s="20"/>
    </row>
    <row r="1739" spans="1:27" ht="12.75">
      <c r="A1739" s="54"/>
      <c r="B1739" s="10">
        <v>46116</v>
      </c>
      <c r="C1739" s="11">
        <f>VLOOKUP(B:B,'Курс валют'!A:D,4,0)</f>
        <v>92.191500000000005</v>
      </c>
      <c r="D1739" s="57" t="s">
        <v>841</v>
      </c>
      <c r="E1739" s="50" t="s">
        <v>125</v>
      </c>
      <c r="F1739" s="58">
        <v>2200</v>
      </c>
      <c r="G1739" s="13">
        <v>2233.52</v>
      </c>
      <c r="H1739" s="56">
        <v>0</v>
      </c>
      <c r="I1739" s="13">
        <f t="shared" si="165"/>
        <v>33.519999999999982</v>
      </c>
      <c r="J1739" s="14">
        <f t="shared" si="158"/>
        <v>1.5236363636363628</v>
      </c>
      <c r="K1739" s="49">
        <v>1.92</v>
      </c>
      <c r="L1739" s="15">
        <f t="shared" si="159"/>
        <v>0</v>
      </c>
      <c r="M1739" s="16">
        <f t="shared" si="160"/>
        <v>177.00767999999999</v>
      </c>
      <c r="N1739" s="17">
        <f t="shared" si="161"/>
        <v>1.92</v>
      </c>
      <c r="O1739" s="17">
        <f t="shared" si="162"/>
        <v>4224</v>
      </c>
      <c r="P1739" s="18">
        <f t="shared" si="163"/>
        <v>389416.89600000001</v>
      </c>
      <c r="R1739" s="66"/>
      <c r="S1739" s="19"/>
      <c r="T1739" s="20"/>
      <c r="U1739" s="20"/>
      <c r="V1739" s="20"/>
      <c r="W1739" s="20"/>
      <c r="X1739" s="20"/>
      <c r="Y1739" s="20"/>
      <c r="Z1739" s="20"/>
      <c r="AA1739" s="20"/>
    </row>
    <row r="1740" spans="1:27" ht="12.75">
      <c r="A1740" s="54"/>
      <c r="B1740" s="10">
        <v>46116</v>
      </c>
      <c r="C1740" s="11">
        <f>VLOOKUP(B:B,'Курс валют'!A:D,4,0)</f>
        <v>92.191500000000005</v>
      </c>
      <c r="D1740" s="57" t="s">
        <v>842</v>
      </c>
      <c r="E1740" s="50" t="s">
        <v>125</v>
      </c>
      <c r="F1740" s="58">
        <v>2200</v>
      </c>
      <c r="G1740" s="51">
        <v>2233.52</v>
      </c>
      <c r="H1740" s="56">
        <v>0</v>
      </c>
      <c r="I1740" s="13">
        <f t="shared" si="165"/>
        <v>33.519999999999982</v>
      </c>
      <c r="J1740" s="14">
        <f t="shared" si="158"/>
        <v>1.5236363636363628</v>
      </c>
      <c r="K1740" s="49">
        <v>1.92</v>
      </c>
      <c r="L1740" s="15">
        <f t="shared" si="159"/>
        <v>0</v>
      </c>
      <c r="M1740" s="16">
        <f t="shared" si="160"/>
        <v>177.00767999999999</v>
      </c>
      <c r="N1740" s="17">
        <f t="shared" si="161"/>
        <v>1.92</v>
      </c>
      <c r="O1740" s="17">
        <f t="shared" si="162"/>
        <v>4224</v>
      </c>
      <c r="P1740" s="18">
        <f t="shared" si="163"/>
        <v>389416.89600000001</v>
      </c>
      <c r="R1740" s="66"/>
      <c r="S1740" s="19"/>
      <c r="T1740" s="20"/>
      <c r="U1740" s="20"/>
      <c r="V1740" s="20"/>
      <c r="W1740" s="20"/>
      <c r="X1740" s="20"/>
      <c r="Y1740" s="20"/>
      <c r="Z1740" s="20"/>
      <c r="AA1740" s="20"/>
    </row>
    <row r="1741" spans="1:27" ht="12.75">
      <c r="A1741" s="54"/>
      <c r="B1741" s="10">
        <v>46116</v>
      </c>
      <c r="C1741" s="11">
        <f>VLOOKUP(B:B,'Курс валют'!A:D,4,0)</f>
        <v>92.191500000000005</v>
      </c>
      <c r="D1741" s="57" t="s">
        <v>843</v>
      </c>
      <c r="E1741" s="50" t="s">
        <v>15</v>
      </c>
      <c r="F1741" s="58">
        <v>1100</v>
      </c>
      <c r="G1741" s="51">
        <v>1107.5</v>
      </c>
      <c r="H1741" s="56">
        <v>0</v>
      </c>
      <c r="I1741" s="13">
        <f t="shared" si="165"/>
        <v>7.5</v>
      </c>
      <c r="J1741" s="14">
        <f t="shared" si="158"/>
        <v>0.68181818181818177</v>
      </c>
      <c r="K1741" s="56">
        <v>2.35</v>
      </c>
      <c r="L1741" s="15">
        <f t="shared" si="159"/>
        <v>0</v>
      </c>
      <c r="M1741" s="16">
        <f t="shared" si="160"/>
        <v>216.65002500000003</v>
      </c>
      <c r="N1741" s="17">
        <f t="shared" si="161"/>
        <v>2.35</v>
      </c>
      <c r="O1741" s="17">
        <f t="shared" si="162"/>
        <v>2585</v>
      </c>
      <c r="P1741" s="18">
        <f t="shared" si="163"/>
        <v>238315.02750000003</v>
      </c>
      <c r="R1741" s="66"/>
      <c r="S1741" s="19"/>
      <c r="T1741" s="20"/>
      <c r="U1741" s="20"/>
      <c r="V1741" s="20"/>
      <c r="W1741" s="20"/>
      <c r="X1741" s="20"/>
      <c r="Y1741" s="20"/>
      <c r="Z1741" s="20"/>
      <c r="AA1741" s="20"/>
    </row>
    <row r="1742" spans="1:27" ht="12.75">
      <c r="A1742" s="54"/>
      <c r="B1742" s="10">
        <v>46116</v>
      </c>
      <c r="C1742" s="11">
        <f>VLOOKUP(B:B,'Курс валют'!A:D,4,0)</f>
        <v>92.191500000000005</v>
      </c>
      <c r="D1742" s="57" t="s">
        <v>844</v>
      </c>
      <c r="E1742" s="50" t="s">
        <v>15</v>
      </c>
      <c r="F1742" s="58">
        <v>1100</v>
      </c>
      <c r="G1742" s="51">
        <v>1107.5</v>
      </c>
      <c r="H1742" s="56">
        <v>0</v>
      </c>
      <c r="I1742" s="13">
        <f t="shared" si="165"/>
        <v>7.5</v>
      </c>
      <c r="J1742" s="14">
        <f t="shared" si="158"/>
        <v>0.68181818181818177</v>
      </c>
      <c r="K1742" s="56">
        <v>2.34</v>
      </c>
      <c r="L1742" s="15">
        <f t="shared" si="159"/>
        <v>0</v>
      </c>
      <c r="M1742" s="16">
        <f t="shared" si="160"/>
        <v>215.72811000000002</v>
      </c>
      <c r="N1742" s="17">
        <f t="shared" si="161"/>
        <v>2.34</v>
      </c>
      <c r="O1742" s="17">
        <f t="shared" si="162"/>
        <v>2574</v>
      </c>
      <c r="P1742" s="18">
        <f t="shared" si="163"/>
        <v>237300.921</v>
      </c>
      <c r="R1742" s="66"/>
      <c r="S1742" s="19"/>
      <c r="T1742" s="20"/>
      <c r="U1742" s="20"/>
      <c r="V1742" s="20"/>
      <c r="W1742" s="20"/>
      <c r="X1742" s="20"/>
      <c r="Y1742" s="20"/>
      <c r="Z1742" s="20"/>
      <c r="AA1742" s="20"/>
    </row>
    <row r="1743" spans="1:27" ht="12.75">
      <c r="A1743" s="54"/>
      <c r="B1743" s="10">
        <v>46116</v>
      </c>
      <c r="C1743" s="11">
        <f>VLOOKUP(B:B,'Курс валют'!A:D,4,0)</f>
        <v>92.191500000000005</v>
      </c>
      <c r="D1743" s="57" t="s">
        <v>845</v>
      </c>
      <c r="E1743" s="50" t="s">
        <v>15</v>
      </c>
      <c r="F1743" s="58">
        <v>1100</v>
      </c>
      <c r="G1743" s="51">
        <v>1107.5</v>
      </c>
      <c r="H1743" s="56">
        <v>0</v>
      </c>
      <c r="I1743" s="13">
        <f t="shared" si="165"/>
        <v>7.5</v>
      </c>
      <c r="J1743" s="14">
        <f t="shared" si="158"/>
        <v>0.68181818181818177</v>
      </c>
      <c r="K1743" s="56">
        <v>2.34</v>
      </c>
      <c r="L1743" s="15">
        <f t="shared" si="159"/>
        <v>0</v>
      </c>
      <c r="M1743" s="16">
        <f t="shared" si="160"/>
        <v>215.72811000000002</v>
      </c>
      <c r="N1743" s="17">
        <f t="shared" si="161"/>
        <v>2.34</v>
      </c>
      <c r="O1743" s="17">
        <f t="shared" si="162"/>
        <v>2574</v>
      </c>
      <c r="P1743" s="18">
        <f t="shared" si="163"/>
        <v>237300.921</v>
      </c>
      <c r="R1743" s="66"/>
      <c r="S1743" s="19"/>
      <c r="T1743" s="20"/>
      <c r="U1743" s="20"/>
      <c r="V1743" s="20"/>
      <c r="W1743" s="20"/>
      <c r="X1743" s="20"/>
      <c r="Y1743" s="20"/>
      <c r="Z1743" s="20"/>
      <c r="AA1743" s="20"/>
    </row>
    <row r="1744" spans="1:27" ht="12.75">
      <c r="A1744" s="54"/>
      <c r="B1744" s="10">
        <v>46116</v>
      </c>
      <c r="C1744" s="11">
        <f>VLOOKUP(B:B,'Курс валют'!A:D,4,0)</f>
        <v>92.191500000000005</v>
      </c>
      <c r="D1744" s="57" t="s">
        <v>846</v>
      </c>
      <c r="E1744" s="50" t="s">
        <v>15</v>
      </c>
      <c r="F1744" s="58">
        <v>1100</v>
      </c>
      <c r="G1744" s="51">
        <v>1107.5</v>
      </c>
      <c r="H1744" s="56">
        <v>0</v>
      </c>
      <c r="I1744" s="13">
        <f t="shared" si="165"/>
        <v>7.5</v>
      </c>
      <c r="J1744" s="14">
        <f t="shared" si="158"/>
        <v>0.68181818181818177</v>
      </c>
      <c r="K1744" s="56">
        <v>2.34</v>
      </c>
      <c r="L1744" s="15">
        <f t="shared" si="159"/>
        <v>0</v>
      </c>
      <c r="M1744" s="16">
        <f t="shared" si="160"/>
        <v>215.72811000000002</v>
      </c>
      <c r="N1744" s="17">
        <f t="shared" si="161"/>
        <v>2.34</v>
      </c>
      <c r="O1744" s="17">
        <f t="shared" si="162"/>
        <v>2574</v>
      </c>
      <c r="P1744" s="18">
        <f t="shared" si="163"/>
        <v>237300.921</v>
      </c>
      <c r="R1744" s="66"/>
      <c r="S1744" s="19"/>
      <c r="T1744" s="20"/>
      <c r="U1744" s="20"/>
      <c r="V1744" s="20"/>
      <c r="W1744" s="20"/>
      <c r="X1744" s="20"/>
      <c r="Y1744" s="20"/>
      <c r="Z1744" s="20"/>
      <c r="AA1744" s="20"/>
    </row>
    <row r="1745" spans="1:27" ht="12.75">
      <c r="A1745" s="54"/>
      <c r="B1745" s="10">
        <v>46116</v>
      </c>
      <c r="C1745" s="11">
        <f>VLOOKUP(B:B,'Курс валют'!A:D,4,0)</f>
        <v>92.191500000000005</v>
      </c>
      <c r="D1745" s="57" t="s">
        <v>847</v>
      </c>
      <c r="E1745" s="50" t="s">
        <v>15</v>
      </c>
      <c r="F1745" s="58">
        <v>1100</v>
      </c>
      <c r="G1745" s="51">
        <v>1107.5</v>
      </c>
      <c r="H1745" s="56">
        <v>0</v>
      </c>
      <c r="I1745" s="13">
        <f t="shared" si="165"/>
        <v>7.5</v>
      </c>
      <c r="J1745" s="14">
        <f t="shared" si="158"/>
        <v>0.68181818181818177</v>
      </c>
      <c r="K1745" s="56">
        <v>2.35</v>
      </c>
      <c r="L1745" s="15">
        <f t="shared" si="159"/>
        <v>0</v>
      </c>
      <c r="M1745" s="16">
        <f t="shared" si="160"/>
        <v>216.65002500000003</v>
      </c>
      <c r="N1745" s="17">
        <f t="shared" si="161"/>
        <v>2.35</v>
      </c>
      <c r="O1745" s="17">
        <f t="shared" si="162"/>
        <v>2585</v>
      </c>
      <c r="P1745" s="18">
        <f t="shared" si="163"/>
        <v>238315.02750000003</v>
      </c>
      <c r="R1745" s="66"/>
      <c r="S1745" s="19"/>
      <c r="T1745" s="20"/>
      <c r="U1745" s="20"/>
      <c r="V1745" s="20"/>
      <c r="W1745" s="20"/>
      <c r="X1745" s="20"/>
      <c r="Y1745" s="20"/>
      <c r="Z1745" s="20"/>
      <c r="AA1745" s="20"/>
    </row>
    <row r="1746" spans="1:27" ht="12.75">
      <c r="A1746" s="54"/>
      <c r="B1746" s="10">
        <v>46116</v>
      </c>
      <c r="C1746" s="11">
        <f>VLOOKUP(B:B,'Курс валют'!A:D,4,0)</f>
        <v>92.191500000000005</v>
      </c>
      <c r="D1746" s="57" t="s">
        <v>848</v>
      </c>
      <c r="E1746" s="50" t="s">
        <v>15</v>
      </c>
      <c r="F1746" s="58">
        <v>1100</v>
      </c>
      <c r="G1746" s="51">
        <v>1107.5</v>
      </c>
      <c r="H1746" s="56">
        <v>0</v>
      </c>
      <c r="I1746" s="13">
        <f t="shared" si="165"/>
        <v>7.5</v>
      </c>
      <c r="J1746" s="14">
        <f t="shared" si="158"/>
        <v>0.68181818181818177</v>
      </c>
      <c r="K1746" s="56">
        <v>2.34</v>
      </c>
      <c r="L1746" s="15">
        <f t="shared" si="159"/>
        <v>0</v>
      </c>
      <c r="M1746" s="16">
        <f t="shared" si="160"/>
        <v>215.72811000000002</v>
      </c>
      <c r="N1746" s="17">
        <f t="shared" si="161"/>
        <v>2.34</v>
      </c>
      <c r="O1746" s="17">
        <f t="shared" si="162"/>
        <v>2574</v>
      </c>
      <c r="P1746" s="18">
        <f t="shared" si="163"/>
        <v>237300.921</v>
      </c>
      <c r="R1746" s="66"/>
      <c r="S1746" s="20"/>
      <c r="T1746" s="20"/>
      <c r="U1746" s="20"/>
      <c r="V1746" s="20"/>
      <c r="W1746" s="20"/>
      <c r="X1746" s="20"/>
      <c r="Y1746" s="20"/>
      <c r="Z1746" s="20"/>
      <c r="AA1746" s="20"/>
    </row>
    <row r="1747" spans="1:27" ht="12.75">
      <c r="A1747" s="54"/>
      <c r="B1747" s="10">
        <v>46116</v>
      </c>
      <c r="C1747" s="11">
        <f>VLOOKUP(B:B,'Курс валют'!A:D,4,0)</f>
        <v>92.191500000000005</v>
      </c>
      <c r="D1747" s="57" t="s">
        <v>849</v>
      </c>
      <c r="E1747" s="50" t="s">
        <v>15</v>
      </c>
      <c r="F1747" s="58">
        <v>1100</v>
      </c>
      <c r="G1747" s="51">
        <v>1107.5</v>
      </c>
      <c r="H1747" s="56">
        <v>0</v>
      </c>
      <c r="I1747" s="13">
        <f t="shared" si="165"/>
        <v>7.5</v>
      </c>
      <c r="J1747" s="14">
        <f t="shared" si="158"/>
        <v>0.68181818181818177</v>
      </c>
      <c r="K1747" s="56">
        <v>2.34</v>
      </c>
      <c r="L1747" s="15">
        <f t="shared" si="159"/>
        <v>0</v>
      </c>
      <c r="M1747" s="16">
        <f t="shared" si="160"/>
        <v>215.72811000000002</v>
      </c>
      <c r="N1747" s="17">
        <f t="shared" si="161"/>
        <v>2.34</v>
      </c>
      <c r="O1747" s="17">
        <f t="shared" si="162"/>
        <v>2574</v>
      </c>
      <c r="P1747" s="18">
        <f t="shared" si="163"/>
        <v>237300.921</v>
      </c>
      <c r="R1747" s="66"/>
      <c r="S1747" s="20"/>
      <c r="T1747" s="20"/>
      <c r="U1747" s="20"/>
      <c r="V1747" s="20"/>
      <c r="W1747" s="20"/>
      <c r="X1747" s="20"/>
      <c r="Y1747" s="20"/>
      <c r="Z1747" s="20"/>
      <c r="AA1747" s="20"/>
    </row>
    <row r="1748" spans="1:27" ht="12.75">
      <c r="A1748" s="54"/>
      <c r="B1748" s="10">
        <v>46117</v>
      </c>
      <c r="C1748" s="11">
        <f>VLOOKUP(B:B,'Курс валют'!A:D,4,0)</f>
        <v>92.191500000000005</v>
      </c>
      <c r="D1748" s="57" t="s">
        <v>850</v>
      </c>
      <c r="E1748" s="50" t="s">
        <v>125</v>
      </c>
      <c r="F1748" s="58">
        <v>2200</v>
      </c>
      <c r="G1748" s="52">
        <v>2233.52</v>
      </c>
      <c r="H1748" s="49">
        <v>0</v>
      </c>
      <c r="I1748" s="13">
        <f t="shared" si="165"/>
        <v>33.519999999999982</v>
      </c>
      <c r="J1748" s="14">
        <f t="shared" si="158"/>
        <v>1.5236363636363628</v>
      </c>
      <c r="K1748" s="56">
        <v>1.92</v>
      </c>
      <c r="L1748" s="15">
        <f t="shared" si="159"/>
        <v>0</v>
      </c>
      <c r="M1748" s="16">
        <f t="shared" si="160"/>
        <v>177.00767999999999</v>
      </c>
      <c r="N1748" s="17">
        <f t="shared" si="161"/>
        <v>1.92</v>
      </c>
      <c r="O1748" s="17">
        <f t="shared" si="162"/>
        <v>4224</v>
      </c>
      <c r="P1748" s="18">
        <f t="shared" si="163"/>
        <v>389416.89600000001</v>
      </c>
      <c r="R1748" s="66"/>
      <c r="S1748" s="19"/>
      <c r="T1748" s="20"/>
      <c r="U1748" s="20"/>
      <c r="V1748" s="20"/>
      <c r="W1748" s="20"/>
      <c r="X1748" s="20"/>
      <c r="Y1748" s="20"/>
      <c r="Z1748" s="20"/>
      <c r="AA1748" s="20"/>
    </row>
    <row r="1749" spans="1:27" ht="12.75">
      <c r="A1749" s="54"/>
      <c r="B1749" s="10">
        <v>46117</v>
      </c>
      <c r="C1749" s="11">
        <f>VLOOKUP(B:B,'Курс валют'!A:D,4,0)</f>
        <v>92.191500000000005</v>
      </c>
      <c r="D1749" s="57" t="s">
        <v>851</v>
      </c>
      <c r="E1749" s="50" t="s">
        <v>58</v>
      </c>
      <c r="F1749" s="58">
        <v>1100</v>
      </c>
      <c r="G1749" s="52">
        <v>1105.51</v>
      </c>
      <c r="H1749" s="49">
        <v>0</v>
      </c>
      <c r="I1749" s="13">
        <f t="shared" si="165"/>
        <v>5.5099999999999909</v>
      </c>
      <c r="J1749" s="14">
        <f t="shared" si="158"/>
        <v>0.50090909090909008</v>
      </c>
      <c r="K1749" s="56">
        <v>2.3199999999999998</v>
      </c>
      <c r="L1749" s="15">
        <f t="shared" si="159"/>
        <v>0</v>
      </c>
      <c r="M1749" s="16">
        <f t="shared" si="160"/>
        <v>213.88428000000002</v>
      </c>
      <c r="N1749" s="17">
        <f t="shared" si="161"/>
        <v>2.3199999999999998</v>
      </c>
      <c r="O1749" s="17">
        <f t="shared" si="162"/>
        <v>2552</v>
      </c>
      <c r="P1749" s="18">
        <f t="shared" si="163"/>
        <v>235272.70800000001</v>
      </c>
      <c r="R1749" s="66"/>
      <c r="S1749" s="19"/>
      <c r="T1749" s="20"/>
      <c r="U1749" s="20"/>
      <c r="V1749" s="20"/>
      <c r="W1749" s="20"/>
      <c r="X1749" s="20"/>
      <c r="Y1749" s="20"/>
      <c r="Z1749" s="20"/>
      <c r="AA1749" s="20"/>
    </row>
    <row r="1750" spans="1:27" ht="12.75">
      <c r="A1750" s="54"/>
      <c r="B1750" s="10">
        <v>46117</v>
      </c>
      <c r="C1750" s="11">
        <f>VLOOKUP(B:B,'Курс валют'!A:D,4,0)</f>
        <v>92.191500000000005</v>
      </c>
      <c r="D1750" s="57" t="s">
        <v>852</v>
      </c>
      <c r="E1750" s="50" t="s">
        <v>58</v>
      </c>
      <c r="F1750" s="58">
        <v>1100</v>
      </c>
      <c r="G1750" s="52">
        <v>1105.51</v>
      </c>
      <c r="H1750" s="49">
        <v>0</v>
      </c>
      <c r="I1750" s="13">
        <f t="shared" si="165"/>
        <v>5.5099999999999909</v>
      </c>
      <c r="J1750" s="14">
        <f t="shared" si="158"/>
        <v>0.50090909090909008</v>
      </c>
      <c r="K1750" s="56">
        <v>2.4</v>
      </c>
      <c r="L1750" s="15">
        <f t="shared" si="159"/>
        <v>0</v>
      </c>
      <c r="M1750" s="16">
        <f t="shared" si="160"/>
        <v>221.25960000000003</v>
      </c>
      <c r="N1750" s="17">
        <f t="shared" si="161"/>
        <v>2.4</v>
      </c>
      <c r="O1750" s="17">
        <f t="shared" si="162"/>
        <v>2640</v>
      </c>
      <c r="P1750" s="18">
        <f t="shared" si="163"/>
        <v>243385.56000000003</v>
      </c>
      <c r="R1750" s="66"/>
      <c r="S1750" s="19"/>
      <c r="T1750" s="20"/>
      <c r="U1750" s="20"/>
      <c r="V1750" s="20"/>
      <c r="W1750" s="20"/>
      <c r="X1750" s="20"/>
      <c r="Y1750" s="20"/>
      <c r="Z1750" s="20"/>
      <c r="AA1750" s="20"/>
    </row>
    <row r="1751" spans="1:27" ht="12.75">
      <c r="A1751" s="54"/>
      <c r="B1751" s="10">
        <v>46117</v>
      </c>
      <c r="C1751" s="11">
        <f>VLOOKUP(B:B,'Курс валют'!A:D,4,0)</f>
        <v>92.191500000000005</v>
      </c>
      <c r="D1751" s="57" t="s">
        <v>853</v>
      </c>
      <c r="E1751" s="50" t="s">
        <v>58</v>
      </c>
      <c r="F1751" s="58">
        <v>1100</v>
      </c>
      <c r="G1751" s="52">
        <v>1105.51</v>
      </c>
      <c r="H1751" s="49">
        <v>0</v>
      </c>
      <c r="I1751" s="13">
        <f t="shared" si="165"/>
        <v>5.5099999999999909</v>
      </c>
      <c r="J1751" s="14">
        <f t="shared" si="158"/>
        <v>0.50090909090909008</v>
      </c>
      <c r="K1751" s="56">
        <v>2.5</v>
      </c>
      <c r="L1751" s="15">
        <f t="shared" si="159"/>
        <v>0</v>
      </c>
      <c r="M1751" s="16">
        <f t="shared" si="160"/>
        <v>230.47874999999999</v>
      </c>
      <c r="N1751" s="17">
        <f t="shared" si="161"/>
        <v>2.5</v>
      </c>
      <c r="O1751" s="17">
        <f t="shared" si="162"/>
        <v>2750</v>
      </c>
      <c r="P1751" s="18">
        <f t="shared" si="163"/>
        <v>253526.625</v>
      </c>
      <c r="R1751" s="66"/>
      <c r="S1751" s="19"/>
      <c r="T1751" s="20"/>
      <c r="U1751" s="20"/>
      <c r="V1751" s="20"/>
      <c r="W1751" s="20"/>
      <c r="X1751" s="20"/>
      <c r="Y1751" s="20"/>
      <c r="Z1751" s="20"/>
      <c r="AA1751" s="20"/>
    </row>
    <row r="1752" spans="1:27" ht="12.75">
      <c r="A1752" s="54"/>
      <c r="B1752" s="10">
        <v>46117</v>
      </c>
      <c r="C1752" s="11">
        <f>VLOOKUP(B:B,'Курс валют'!A:D,4,0)</f>
        <v>92.191500000000005</v>
      </c>
      <c r="D1752" s="57" t="s">
        <v>854</v>
      </c>
      <c r="E1752" s="50" t="s">
        <v>58</v>
      </c>
      <c r="F1752" s="58">
        <v>1100</v>
      </c>
      <c r="G1752" s="52">
        <v>1105.51</v>
      </c>
      <c r="H1752" s="49">
        <v>0</v>
      </c>
      <c r="I1752" s="13">
        <f t="shared" si="165"/>
        <v>5.5099999999999909</v>
      </c>
      <c r="J1752" s="14">
        <f t="shared" si="158"/>
        <v>0.50090909090909008</v>
      </c>
      <c r="K1752" s="56">
        <v>2.5</v>
      </c>
      <c r="L1752" s="15">
        <f t="shared" si="159"/>
        <v>0</v>
      </c>
      <c r="M1752" s="16">
        <f t="shared" si="160"/>
        <v>230.47874999999999</v>
      </c>
      <c r="N1752" s="17">
        <f t="shared" si="161"/>
        <v>2.5</v>
      </c>
      <c r="O1752" s="17">
        <f t="shared" si="162"/>
        <v>2750</v>
      </c>
      <c r="P1752" s="18">
        <f t="shared" si="163"/>
        <v>253526.625</v>
      </c>
      <c r="R1752" s="65"/>
      <c r="S1752" s="19"/>
      <c r="T1752" s="20"/>
      <c r="U1752" s="20"/>
      <c r="V1752" s="20"/>
      <c r="W1752" s="20"/>
      <c r="X1752" s="20"/>
      <c r="Y1752" s="20"/>
      <c r="Z1752" s="20"/>
      <c r="AA1752" s="20"/>
    </row>
    <row r="1753" spans="1:27" ht="12.75">
      <c r="A1753" s="54"/>
      <c r="B1753" s="10">
        <v>46117</v>
      </c>
      <c r="C1753" s="11">
        <f>VLOOKUP(B:B,'Курс валют'!A:D,4,0)</f>
        <v>92.191500000000005</v>
      </c>
      <c r="D1753" s="57" t="s">
        <v>855</v>
      </c>
      <c r="E1753" s="50" t="s">
        <v>58</v>
      </c>
      <c r="F1753" s="58">
        <v>1100</v>
      </c>
      <c r="G1753" s="52">
        <v>1105.51</v>
      </c>
      <c r="H1753" s="49">
        <v>0</v>
      </c>
      <c r="I1753" s="13">
        <f t="shared" si="165"/>
        <v>5.5099999999999909</v>
      </c>
      <c r="J1753" s="14">
        <f t="shared" si="158"/>
        <v>0.50090909090909008</v>
      </c>
      <c r="K1753" s="56">
        <v>2.5</v>
      </c>
      <c r="L1753" s="15">
        <f t="shared" si="159"/>
        <v>0</v>
      </c>
      <c r="M1753" s="16">
        <f t="shared" si="160"/>
        <v>230.47874999999999</v>
      </c>
      <c r="N1753" s="17">
        <f t="shared" si="161"/>
        <v>2.5</v>
      </c>
      <c r="O1753" s="17">
        <f t="shared" si="162"/>
        <v>2750</v>
      </c>
      <c r="P1753" s="18">
        <f t="shared" si="163"/>
        <v>253526.625</v>
      </c>
      <c r="R1753" s="66"/>
      <c r="S1753" s="19"/>
      <c r="T1753" s="20"/>
      <c r="U1753" s="20"/>
      <c r="V1753" s="20"/>
      <c r="W1753" s="20"/>
      <c r="X1753" s="20"/>
      <c r="Y1753" s="20"/>
      <c r="Z1753" s="20"/>
      <c r="AA1753" s="20"/>
    </row>
    <row r="1754" spans="1:27" ht="12.75">
      <c r="A1754" s="54"/>
      <c r="B1754" s="10">
        <v>46117</v>
      </c>
      <c r="C1754" s="11">
        <f>VLOOKUP(B:B,'Курс валют'!A:D,4,0)</f>
        <v>92.191500000000005</v>
      </c>
      <c r="D1754" s="57" t="s">
        <v>856</v>
      </c>
      <c r="E1754" s="50" t="s">
        <v>58</v>
      </c>
      <c r="F1754" s="58">
        <v>1100</v>
      </c>
      <c r="G1754" s="52">
        <v>1105.51</v>
      </c>
      <c r="H1754" s="49">
        <v>0</v>
      </c>
      <c r="I1754" s="13">
        <f t="shared" si="165"/>
        <v>5.5099999999999909</v>
      </c>
      <c r="J1754" s="14">
        <f t="shared" si="158"/>
        <v>0.50090909090909008</v>
      </c>
      <c r="K1754" s="53">
        <v>2.5</v>
      </c>
      <c r="L1754" s="15">
        <f t="shared" si="159"/>
        <v>0</v>
      </c>
      <c r="M1754" s="16">
        <f t="shared" si="160"/>
        <v>230.47874999999999</v>
      </c>
      <c r="N1754" s="17">
        <f t="shared" si="161"/>
        <v>2.5</v>
      </c>
      <c r="O1754" s="17">
        <f t="shared" si="162"/>
        <v>2750</v>
      </c>
      <c r="P1754" s="18">
        <f t="shared" si="163"/>
        <v>253526.625</v>
      </c>
      <c r="R1754" s="66"/>
      <c r="S1754" s="19"/>
      <c r="T1754" s="20"/>
      <c r="U1754" s="20"/>
      <c r="V1754" s="20"/>
      <c r="W1754" s="20"/>
      <c r="X1754" s="20"/>
      <c r="Y1754" s="20"/>
      <c r="Z1754" s="20"/>
      <c r="AA1754" s="20"/>
    </row>
    <row r="1755" spans="1:27" ht="12.75">
      <c r="A1755" s="54"/>
      <c r="B1755" s="10">
        <v>46117</v>
      </c>
      <c r="C1755" s="11">
        <f>VLOOKUP(B:B,'Курс валют'!A:D,4,0)</f>
        <v>92.191500000000005</v>
      </c>
      <c r="D1755" s="57" t="s">
        <v>857</v>
      </c>
      <c r="E1755" s="50" t="s">
        <v>58</v>
      </c>
      <c r="F1755" s="58">
        <v>1100</v>
      </c>
      <c r="G1755" s="52">
        <v>1105.51</v>
      </c>
      <c r="H1755" s="56">
        <v>0</v>
      </c>
      <c r="I1755" s="13">
        <f t="shared" si="165"/>
        <v>5.5099999999999909</v>
      </c>
      <c r="J1755" s="14">
        <f t="shared" si="158"/>
        <v>0.50090909090909008</v>
      </c>
      <c r="K1755" s="53">
        <v>2.5</v>
      </c>
      <c r="L1755" s="15">
        <f t="shared" si="159"/>
        <v>0</v>
      </c>
      <c r="M1755" s="16">
        <f t="shared" si="160"/>
        <v>230.47874999999999</v>
      </c>
      <c r="N1755" s="17">
        <f t="shared" si="161"/>
        <v>2.5</v>
      </c>
      <c r="O1755" s="17">
        <f t="shared" si="162"/>
        <v>2750</v>
      </c>
      <c r="P1755" s="18">
        <f t="shared" si="163"/>
        <v>253526.625</v>
      </c>
      <c r="R1755" s="66"/>
      <c r="S1755" s="19"/>
      <c r="T1755" s="20"/>
      <c r="U1755" s="20"/>
      <c r="V1755" s="20"/>
      <c r="W1755" s="20"/>
      <c r="X1755" s="20"/>
      <c r="Y1755" s="20"/>
      <c r="Z1755" s="20"/>
      <c r="AA1755" s="20"/>
    </row>
    <row r="1756" spans="1:27" ht="12.75">
      <c r="A1756" s="54"/>
      <c r="B1756" s="10">
        <v>46117</v>
      </c>
      <c r="C1756" s="11">
        <f>VLOOKUP(B:B,'Курс валют'!A:D,4,0)</f>
        <v>92.191500000000005</v>
      </c>
      <c r="D1756" s="57" t="s">
        <v>858</v>
      </c>
      <c r="E1756" s="50" t="s">
        <v>58</v>
      </c>
      <c r="F1756" s="58">
        <v>1100</v>
      </c>
      <c r="G1756" s="52">
        <v>1105.51</v>
      </c>
      <c r="H1756" s="56">
        <v>0</v>
      </c>
      <c r="I1756" s="13">
        <f t="shared" si="165"/>
        <v>5.5099999999999909</v>
      </c>
      <c r="J1756" s="14">
        <f t="shared" si="158"/>
        <v>0.50090909090909008</v>
      </c>
      <c r="K1756" s="56">
        <v>2.5</v>
      </c>
      <c r="L1756" s="15">
        <f t="shared" si="159"/>
        <v>0</v>
      </c>
      <c r="M1756" s="16">
        <f t="shared" si="160"/>
        <v>230.47874999999999</v>
      </c>
      <c r="N1756" s="17">
        <f t="shared" si="161"/>
        <v>2.5</v>
      </c>
      <c r="O1756" s="17">
        <f t="shared" si="162"/>
        <v>2750</v>
      </c>
      <c r="P1756" s="18">
        <f t="shared" si="163"/>
        <v>253526.625</v>
      </c>
      <c r="R1756" s="66"/>
      <c r="S1756" s="20"/>
      <c r="T1756" s="20"/>
      <c r="U1756" s="20"/>
      <c r="V1756" s="20"/>
      <c r="W1756" s="20"/>
      <c r="X1756" s="20"/>
      <c r="Y1756" s="20"/>
      <c r="Z1756" s="20"/>
      <c r="AA1756" s="20"/>
    </row>
    <row r="1757" spans="1:27" ht="12.75">
      <c r="A1757" s="54"/>
      <c r="B1757" s="10">
        <v>46117</v>
      </c>
      <c r="C1757" s="11">
        <f>VLOOKUP(B:B,'Курс валют'!A:D,4,0)</f>
        <v>92.191500000000005</v>
      </c>
      <c r="D1757" s="57" t="s">
        <v>859</v>
      </c>
      <c r="E1757" s="50" t="s">
        <v>58</v>
      </c>
      <c r="F1757" s="58">
        <v>1100</v>
      </c>
      <c r="G1757" s="52">
        <v>1105.51</v>
      </c>
      <c r="H1757" s="56">
        <v>0</v>
      </c>
      <c r="I1757" s="13">
        <f t="shared" si="165"/>
        <v>5.5099999999999909</v>
      </c>
      <c r="J1757" s="14">
        <f t="shared" si="158"/>
        <v>0.50090909090909008</v>
      </c>
      <c r="K1757" s="56">
        <v>2.5</v>
      </c>
      <c r="L1757" s="15">
        <f t="shared" si="159"/>
        <v>0</v>
      </c>
      <c r="M1757" s="16">
        <f t="shared" si="160"/>
        <v>230.47874999999999</v>
      </c>
      <c r="N1757" s="17">
        <f t="shared" si="161"/>
        <v>2.5</v>
      </c>
      <c r="O1757" s="17">
        <f t="shared" si="162"/>
        <v>2750</v>
      </c>
      <c r="P1757" s="18">
        <f t="shared" si="163"/>
        <v>253526.625</v>
      </c>
      <c r="R1757" s="66"/>
      <c r="S1757" s="20"/>
      <c r="T1757" s="20"/>
      <c r="U1757" s="20"/>
      <c r="V1757" s="20"/>
      <c r="W1757" s="20"/>
      <c r="X1757" s="20"/>
      <c r="Y1757" s="20"/>
      <c r="Z1757" s="20"/>
      <c r="AA1757" s="20"/>
    </row>
    <row r="1758" spans="1:27" ht="12.75">
      <c r="A1758" s="54"/>
      <c r="B1758" s="10">
        <v>46118</v>
      </c>
      <c r="C1758" s="11">
        <f>VLOOKUP(B:B,'Курс валют'!A:D,4,0)</f>
        <v>92.191500000000005</v>
      </c>
      <c r="D1758" s="57" t="s">
        <v>860</v>
      </c>
      <c r="E1758" s="50" t="s">
        <v>204</v>
      </c>
      <c r="F1758" s="58">
        <v>220</v>
      </c>
      <c r="G1758" s="52">
        <v>220</v>
      </c>
      <c r="H1758" s="22">
        <v>0</v>
      </c>
      <c r="I1758" s="13">
        <f t="shared" si="165"/>
        <v>0</v>
      </c>
      <c r="J1758" s="14">
        <f t="shared" si="158"/>
        <v>0</v>
      </c>
      <c r="K1758" s="56">
        <v>3.75</v>
      </c>
      <c r="L1758" s="15">
        <f t="shared" si="159"/>
        <v>0</v>
      </c>
      <c r="M1758" s="16">
        <f t="shared" si="160"/>
        <v>345.71812499999999</v>
      </c>
      <c r="N1758" s="17">
        <f t="shared" si="161"/>
        <v>3.75</v>
      </c>
      <c r="O1758" s="17">
        <f t="shared" si="162"/>
        <v>825</v>
      </c>
      <c r="P1758" s="18">
        <f t="shared" si="163"/>
        <v>76057.987500000003</v>
      </c>
      <c r="R1758" s="66" t="s">
        <v>861</v>
      </c>
      <c r="S1758" s="20"/>
      <c r="T1758" s="20"/>
      <c r="U1758" s="20"/>
      <c r="V1758" s="20"/>
      <c r="W1758" s="20"/>
      <c r="X1758" s="20"/>
      <c r="Y1758" s="20"/>
      <c r="Z1758" s="20"/>
      <c r="AA1758" s="20"/>
    </row>
    <row r="1759" spans="1:27" ht="12.75">
      <c r="A1759" s="54"/>
      <c r="B1759" s="10">
        <v>46118</v>
      </c>
      <c r="C1759" s="11">
        <f>VLOOKUP(B:B,'Курс валют'!A:D,4,0)</f>
        <v>92.191500000000005</v>
      </c>
      <c r="D1759" s="57" t="s">
        <v>862</v>
      </c>
      <c r="E1759" s="50" t="s">
        <v>125</v>
      </c>
      <c r="F1759" s="58">
        <v>2200</v>
      </c>
      <c r="G1759" s="52">
        <v>2233.52</v>
      </c>
      <c r="H1759" s="22">
        <v>0</v>
      </c>
      <c r="I1759" s="13">
        <f t="shared" si="165"/>
        <v>33.519999999999982</v>
      </c>
      <c r="J1759" s="14">
        <f t="shared" si="158"/>
        <v>1.5236363636363628</v>
      </c>
      <c r="K1759" s="56">
        <v>1.92</v>
      </c>
      <c r="L1759" s="15">
        <f t="shared" si="159"/>
        <v>0</v>
      </c>
      <c r="M1759" s="16">
        <f t="shared" si="160"/>
        <v>177.00767999999999</v>
      </c>
      <c r="N1759" s="17">
        <f t="shared" si="161"/>
        <v>1.92</v>
      </c>
      <c r="O1759" s="17">
        <f t="shared" si="162"/>
        <v>4224</v>
      </c>
      <c r="P1759" s="18">
        <f t="shared" si="163"/>
        <v>389416.89600000001</v>
      </c>
      <c r="R1759" s="66"/>
      <c r="S1759" s="20"/>
      <c r="T1759" s="20"/>
      <c r="U1759" s="20"/>
      <c r="V1759" s="20"/>
      <c r="W1759" s="20"/>
      <c r="X1759" s="20"/>
      <c r="Y1759" s="20"/>
      <c r="Z1759" s="20"/>
      <c r="AA1759" s="20"/>
    </row>
    <row r="1760" spans="1:27" ht="12.75">
      <c r="A1760" s="54"/>
      <c r="B1760" s="10">
        <v>46118</v>
      </c>
      <c r="C1760" s="11">
        <f>VLOOKUP(B:B,'Курс валют'!A:D,4,0)</f>
        <v>92.191500000000005</v>
      </c>
      <c r="D1760" s="57" t="s">
        <v>863</v>
      </c>
      <c r="E1760" s="50" t="s">
        <v>115</v>
      </c>
      <c r="F1760" s="58">
        <v>384.8</v>
      </c>
      <c r="G1760" s="52">
        <v>392.5</v>
      </c>
      <c r="H1760" s="56">
        <v>0</v>
      </c>
      <c r="I1760" s="58"/>
      <c r="J1760" s="14">
        <f t="shared" si="158"/>
        <v>0</v>
      </c>
      <c r="K1760" s="56">
        <v>1.8</v>
      </c>
      <c r="L1760" s="15">
        <f t="shared" si="159"/>
        <v>0</v>
      </c>
      <c r="M1760" s="16">
        <f t="shared" si="160"/>
        <v>165.94470000000001</v>
      </c>
      <c r="N1760" s="17">
        <f t="shared" si="161"/>
        <v>1.7999999999999998</v>
      </c>
      <c r="O1760" s="17">
        <f t="shared" si="162"/>
        <v>692.64</v>
      </c>
      <c r="P1760" s="18">
        <f t="shared" si="163"/>
        <v>63855.520560000004</v>
      </c>
      <c r="R1760" s="66"/>
      <c r="S1760" s="19"/>
      <c r="T1760" s="20"/>
      <c r="U1760" s="20"/>
      <c r="V1760" s="20"/>
      <c r="W1760" s="20"/>
      <c r="X1760" s="20"/>
      <c r="Y1760" s="20"/>
      <c r="Z1760" s="20"/>
      <c r="AA1760" s="20"/>
    </row>
    <row r="1761" spans="1:27" ht="12.75">
      <c r="A1761" s="54"/>
      <c r="B1761" s="10">
        <v>46118</v>
      </c>
      <c r="C1761" s="11">
        <f>VLOOKUP(B:B,'Курс валют'!A:D,4,0)</f>
        <v>92.191500000000005</v>
      </c>
      <c r="D1761" s="57" t="s">
        <v>864</v>
      </c>
      <c r="E1761" s="50" t="s">
        <v>15</v>
      </c>
      <c r="F1761" s="58">
        <v>1100</v>
      </c>
      <c r="G1761" s="52">
        <v>1107.5</v>
      </c>
      <c r="H1761" s="22">
        <v>0</v>
      </c>
      <c r="I1761" s="13">
        <f t="shared" ref="I1761:I1979" si="166">G1761-F1761</f>
        <v>7.5</v>
      </c>
      <c r="J1761" s="14">
        <f t="shared" si="158"/>
        <v>0.68181818181818177</v>
      </c>
      <c r="K1761" s="56">
        <v>2.4</v>
      </c>
      <c r="L1761" s="15">
        <f t="shared" si="159"/>
        <v>0</v>
      </c>
      <c r="M1761" s="16">
        <f t="shared" si="160"/>
        <v>221.25960000000003</v>
      </c>
      <c r="N1761" s="17">
        <f t="shared" si="161"/>
        <v>2.4</v>
      </c>
      <c r="O1761" s="17">
        <f t="shared" si="162"/>
        <v>2640</v>
      </c>
      <c r="P1761" s="18">
        <f t="shared" si="163"/>
        <v>243385.56000000003</v>
      </c>
      <c r="R1761" s="66" t="s">
        <v>865</v>
      </c>
      <c r="S1761" s="19"/>
      <c r="T1761" s="20"/>
      <c r="U1761" s="20"/>
      <c r="V1761" s="20"/>
      <c r="W1761" s="20"/>
      <c r="X1761" s="20"/>
      <c r="Y1761" s="20"/>
      <c r="Z1761" s="20"/>
      <c r="AA1761" s="20"/>
    </row>
    <row r="1762" spans="1:27" ht="12.75">
      <c r="A1762" s="54"/>
      <c r="B1762" s="10">
        <v>46119</v>
      </c>
      <c r="C1762" s="11">
        <f>VLOOKUP(B:B,'Курс валют'!A:D,4,0)</f>
        <v>91.003399999999999</v>
      </c>
      <c r="D1762" s="57" t="s">
        <v>866</v>
      </c>
      <c r="E1762" s="50" t="s">
        <v>58</v>
      </c>
      <c r="F1762" s="58">
        <v>1100</v>
      </c>
      <c r="G1762" s="52">
        <v>1105.51</v>
      </c>
      <c r="H1762" s="56">
        <v>0</v>
      </c>
      <c r="I1762" s="13">
        <f t="shared" si="166"/>
        <v>5.5099999999999909</v>
      </c>
      <c r="J1762" s="14">
        <f t="shared" si="158"/>
        <v>0.50090909090909008</v>
      </c>
      <c r="K1762" s="56">
        <v>2.4300000000000002</v>
      </c>
      <c r="L1762" s="15">
        <f t="shared" si="159"/>
        <v>0</v>
      </c>
      <c r="M1762" s="16">
        <f t="shared" si="160"/>
        <v>221.138262</v>
      </c>
      <c r="N1762" s="17">
        <f t="shared" si="161"/>
        <v>2.4300000000000002</v>
      </c>
      <c r="O1762" s="17">
        <f t="shared" si="162"/>
        <v>2673</v>
      </c>
      <c r="P1762" s="18">
        <f t="shared" si="163"/>
        <v>243252.0882</v>
      </c>
      <c r="R1762" s="66"/>
      <c r="S1762" s="19"/>
      <c r="T1762" s="20"/>
      <c r="U1762" s="20"/>
      <c r="V1762" s="20"/>
      <c r="W1762" s="20"/>
      <c r="X1762" s="20"/>
      <c r="Y1762" s="20"/>
      <c r="Z1762" s="20"/>
      <c r="AA1762" s="20"/>
    </row>
    <row r="1763" spans="1:27" ht="12.75">
      <c r="A1763" s="54"/>
      <c r="B1763" s="10">
        <v>46119</v>
      </c>
      <c r="C1763" s="11">
        <f>VLOOKUP(B:B,'Курс валют'!A:D,4,0)</f>
        <v>91.003399999999999</v>
      </c>
      <c r="D1763" s="57" t="s">
        <v>867</v>
      </c>
      <c r="E1763" s="50" t="s">
        <v>58</v>
      </c>
      <c r="F1763" s="58">
        <v>1100</v>
      </c>
      <c r="G1763" s="52">
        <v>1105.51</v>
      </c>
      <c r="H1763" s="56">
        <v>0</v>
      </c>
      <c r="I1763" s="13">
        <f t="shared" si="166"/>
        <v>5.5099999999999909</v>
      </c>
      <c r="J1763" s="14">
        <f t="shared" si="158"/>
        <v>0.50090909090909008</v>
      </c>
      <c r="K1763" s="56">
        <v>2.4300000000000002</v>
      </c>
      <c r="L1763" s="15">
        <f t="shared" si="159"/>
        <v>0</v>
      </c>
      <c r="M1763" s="16">
        <f t="shared" si="160"/>
        <v>221.138262</v>
      </c>
      <c r="N1763" s="17">
        <f t="shared" si="161"/>
        <v>2.4300000000000002</v>
      </c>
      <c r="O1763" s="17">
        <f t="shared" si="162"/>
        <v>2673</v>
      </c>
      <c r="P1763" s="18">
        <f t="shared" si="163"/>
        <v>243252.0882</v>
      </c>
      <c r="R1763" s="66"/>
      <c r="S1763" s="20"/>
      <c r="T1763" s="20"/>
      <c r="U1763" s="20"/>
      <c r="V1763" s="20"/>
      <c r="W1763" s="20"/>
      <c r="X1763" s="20"/>
      <c r="Y1763" s="20"/>
      <c r="Z1763" s="20"/>
      <c r="AA1763" s="20"/>
    </row>
    <row r="1764" spans="1:27" ht="12.75">
      <c r="A1764" s="54"/>
      <c r="B1764" s="10">
        <v>46119</v>
      </c>
      <c r="C1764" s="11">
        <f>VLOOKUP(B:B,'Курс валют'!A:D,4,0)</f>
        <v>91.003399999999999</v>
      </c>
      <c r="D1764" s="57" t="s">
        <v>868</v>
      </c>
      <c r="E1764" s="50" t="s">
        <v>58</v>
      </c>
      <c r="F1764" s="58">
        <v>1100</v>
      </c>
      <c r="G1764" s="52">
        <v>1105.51</v>
      </c>
      <c r="H1764" s="56">
        <v>0</v>
      </c>
      <c r="I1764" s="13">
        <f t="shared" si="166"/>
        <v>5.5099999999999909</v>
      </c>
      <c r="J1764" s="14">
        <f t="shared" si="158"/>
        <v>0.50090909090909008</v>
      </c>
      <c r="K1764" s="56">
        <v>2.42</v>
      </c>
      <c r="L1764" s="15">
        <f t="shared" si="159"/>
        <v>0</v>
      </c>
      <c r="M1764" s="16">
        <f t="shared" si="160"/>
        <v>220.228228</v>
      </c>
      <c r="N1764" s="17">
        <f t="shared" si="161"/>
        <v>2.42</v>
      </c>
      <c r="O1764" s="17">
        <f t="shared" si="162"/>
        <v>2662</v>
      </c>
      <c r="P1764" s="18">
        <f t="shared" si="163"/>
        <v>242251.0508</v>
      </c>
      <c r="R1764" s="66"/>
      <c r="S1764" s="20"/>
      <c r="T1764" s="20"/>
      <c r="U1764" s="20"/>
      <c r="V1764" s="20"/>
      <c r="W1764" s="20"/>
      <c r="X1764" s="20"/>
      <c r="Y1764" s="20"/>
      <c r="Z1764" s="20"/>
      <c r="AA1764" s="20"/>
    </row>
    <row r="1765" spans="1:27" ht="12.75">
      <c r="A1765" s="54"/>
      <c r="B1765" s="10">
        <v>46119</v>
      </c>
      <c r="C1765" s="11">
        <f>VLOOKUP(B:B,'Курс валют'!A:D,4,0)</f>
        <v>91.003399999999999</v>
      </c>
      <c r="D1765" s="57" t="s">
        <v>869</v>
      </c>
      <c r="E1765" s="50" t="s">
        <v>58</v>
      </c>
      <c r="F1765" s="58">
        <v>1100</v>
      </c>
      <c r="G1765" s="52">
        <v>1105.51</v>
      </c>
      <c r="H1765" s="56">
        <v>0</v>
      </c>
      <c r="I1765" s="13">
        <f t="shared" si="166"/>
        <v>5.5099999999999909</v>
      </c>
      <c r="J1765" s="14">
        <f t="shared" si="158"/>
        <v>0.50090909090909008</v>
      </c>
      <c r="K1765" s="56">
        <v>2.42</v>
      </c>
      <c r="L1765" s="15">
        <f t="shared" si="159"/>
        <v>0</v>
      </c>
      <c r="M1765" s="16">
        <f t="shared" si="160"/>
        <v>220.228228</v>
      </c>
      <c r="N1765" s="17">
        <f t="shared" si="161"/>
        <v>2.42</v>
      </c>
      <c r="O1765" s="17">
        <f t="shared" si="162"/>
        <v>2662</v>
      </c>
      <c r="P1765" s="18">
        <f t="shared" si="163"/>
        <v>242251.0508</v>
      </c>
      <c r="R1765" s="66"/>
      <c r="S1765" s="20"/>
      <c r="T1765" s="20"/>
      <c r="U1765" s="20"/>
      <c r="V1765" s="20"/>
      <c r="W1765" s="20"/>
      <c r="X1765" s="20"/>
      <c r="Y1765" s="20"/>
      <c r="Z1765" s="20"/>
      <c r="AA1765" s="20"/>
    </row>
    <row r="1766" spans="1:27" ht="12.75">
      <c r="A1766" s="54"/>
      <c r="B1766" s="10">
        <v>46119</v>
      </c>
      <c r="C1766" s="11">
        <f>VLOOKUP(B:B,'Курс валют'!A:D,4,0)</f>
        <v>91.003399999999999</v>
      </c>
      <c r="D1766" s="57" t="s">
        <v>870</v>
      </c>
      <c r="E1766" s="50" t="s">
        <v>58</v>
      </c>
      <c r="F1766" s="58">
        <v>1100</v>
      </c>
      <c r="G1766" s="52">
        <v>1105.51</v>
      </c>
      <c r="H1766" s="56">
        <v>0</v>
      </c>
      <c r="I1766" s="13">
        <f t="shared" si="166"/>
        <v>5.5099999999999909</v>
      </c>
      <c r="J1766" s="14">
        <f t="shared" si="158"/>
        <v>0.50090909090909008</v>
      </c>
      <c r="K1766" s="56">
        <v>2.4300000000000002</v>
      </c>
      <c r="L1766" s="15">
        <f t="shared" si="159"/>
        <v>0</v>
      </c>
      <c r="M1766" s="16">
        <f t="shared" si="160"/>
        <v>221.138262</v>
      </c>
      <c r="N1766" s="17">
        <f t="shared" si="161"/>
        <v>2.4300000000000002</v>
      </c>
      <c r="O1766" s="17">
        <f t="shared" si="162"/>
        <v>2673</v>
      </c>
      <c r="P1766" s="18">
        <f t="shared" si="163"/>
        <v>243252.0882</v>
      </c>
      <c r="R1766" s="66"/>
      <c r="S1766" s="20"/>
      <c r="T1766" s="20"/>
      <c r="U1766" s="20"/>
      <c r="V1766" s="20"/>
      <c r="W1766" s="20"/>
      <c r="X1766" s="20"/>
      <c r="Y1766" s="20"/>
      <c r="Z1766" s="20"/>
      <c r="AA1766" s="20"/>
    </row>
    <row r="1767" spans="1:27" ht="12.75">
      <c r="A1767" s="54"/>
      <c r="B1767" s="10">
        <v>46119</v>
      </c>
      <c r="C1767" s="11">
        <f>VLOOKUP(B:B,'Курс валют'!A:D,4,0)</f>
        <v>91.003399999999999</v>
      </c>
      <c r="D1767" s="57" t="s">
        <v>871</v>
      </c>
      <c r="E1767" s="50" t="s">
        <v>58</v>
      </c>
      <c r="F1767" s="58">
        <v>1100</v>
      </c>
      <c r="G1767" s="52">
        <v>1105.51</v>
      </c>
      <c r="H1767" s="56">
        <v>0</v>
      </c>
      <c r="I1767" s="13">
        <f t="shared" si="166"/>
        <v>5.5099999999999909</v>
      </c>
      <c r="J1767" s="14">
        <f t="shared" si="158"/>
        <v>0.50090909090909008</v>
      </c>
      <c r="K1767" s="56">
        <v>2.4300000000000002</v>
      </c>
      <c r="L1767" s="15">
        <f t="shared" si="159"/>
        <v>0</v>
      </c>
      <c r="M1767" s="16">
        <f t="shared" si="160"/>
        <v>221.138262</v>
      </c>
      <c r="N1767" s="17">
        <f t="shared" si="161"/>
        <v>2.4300000000000002</v>
      </c>
      <c r="O1767" s="17">
        <f t="shared" si="162"/>
        <v>2673</v>
      </c>
      <c r="P1767" s="18">
        <f t="shared" si="163"/>
        <v>243252.0882</v>
      </c>
      <c r="R1767" s="66"/>
      <c r="S1767" s="20"/>
      <c r="T1767" s="20"/>
      <c r="U1767" s="20"/>
      <c r="V1767" s="20"/>
      <c r="W1767" s="20"/>
      <c r="X1767" s="20"/>
      <c r="Y1767" s="20"/>
      <c r="Z1767" s="20"/>
      <c r="AA1767" s="20"/>
    </row>
    <row r="1768" spans="1:27" ht="12.75">
      <c r="A1768" s="54"/>
      <c r="B1768" s="10">
        <v>46119</v>
      </c>
      <c r="C1768" s="11">
        <f>VLOOKUP(B:B,'Курс валют'!A:D,4,0)</f>
        <v>91.003399999999999</v>
      </c>
      <c r="D1768" s="57" t="s">
        <v>872</v>
      </c>
      <c r="E1768" s="50" t="s">
        <v>58</v>
      </c>
      <c r="F1768" s="58">
        <v>1100</v>
      </c>
      <c r="G1768" s="52">
        <v>1105.51</v>
      </c>
      <c r="H1768" s="56">
        <v>0</v>
      </c>
      <c r="I1768" s="13">
        <f t="shared" si="166"/>
        <v>5.5099999999999909</v>
      </c>
      <c r="J1768" s="14">
        <f t="shared" si="158"/>
        <v>0.50090909090909008</v>
      </c>
      <c r="K1768" s="56">
        <v>2.42</v>
      </c>
      <c r="L1768" s="15">
        <f t="shared" si="159"/>
        <v>0</v>
      </c>
      <c r="M1768" s="16">
        <f t="shared" si="160"/>
        <v>220.228228</v>
      </c>
      <c r="N1768" s="17">
        <f t="shared" si="161"/>
        <v>2.42</v>
      </c>
      <c r="O1768" s="17">
        <f t="shared" si="162"/>
        <v>2662</v>
      </c>
      <c r="P1768" s="18">
        <f t="shared" si="163"/>
        <v>242251.0508</v>
      </c>
      <c r="R1768" s="66"/>
      <c r="S1768" s="20"/>
      <c r="T1768" s="20"/>
      <c r="U1768" s="20"/>
      <c r="V1768" s="20"/>
      <c r="W1768" s="20"/>
      <c r="X1768" s="20"/>
      <c r="Y1768" s="20"/>
      <c r="Z1768" s="20"/>
      <c r="AA1768" s="20"/>
    </row>
    <row r="1769" spans="1:27" ht="12.75">
      <c r="A1769" s="54"/>
      <c r="B1769" s="10">
        <v>46119</v>
      </c>
      <c r="C1769" s="11">
        <f>VLOOKUP(B:B,'Курс валют'!A:D,4,0)</f>
        <v>91.003399999999999</v>
      </c>
      <c r="D1769" s="57" t="s">
        <v>873</v>
      </c>
      <c r="E1769" s="50" t="s">
        <v>58</v>
      </c>
      <c r="F1769" s="58">
        <v>1100</v>
      </c>
      <c r="G1769" s="52">
        <v>1105.51</v>
      </c>
      <c r="H1769" s="56">
        <v>0</v>
      </c>
      <c r="I1769" s="13">
        <f t="shared" si="166"/>
        <v>5.5099999999999909</v>
      </c>
      <c r="J1769" s="14">
        <f t="shared" si="158"/>
        <v>0.50090909090909008</v>
      </c>
      <c r="K1769" s="56">
        <v>2.4300000000000002</v>
      </c>
      <c r="L1769" s="15">
        <f t="shared" si="159"/>
        <v>0</v>
      </c>
      <c r="M1769" s="16">
        <f t="shared" si="160"/>
        <v>221.138262</v>
      </c>
      <c r="N1769" s="17">
        <f t="shared" si="161"/>
        <v>2.4300000000000002</v>
      </c>
      <c r="O1769" s="17">
        <f t="shared" si="162"/>
        <v>2673</v>
      </c>
      <c r="P1769" s="18">
        <f t="shared" si="163"/>
        <v>243252.0882</v>
      </c>
      <c r="R1769" s="66"/>
      <c r="S1769" s="20"/>
      <c r="T1769" s="20"/>
      <c r="U1769" s="20"/>
      <c r="V1769" s="20"/>
      <c r="W1769" s="20"/>
      <c r="X1769" s="20"/>
      <c r="Y1769" s="20"/>
      <c r="Z1769" s="20"/>
      <c r="AA1769" s="20"/>
    </row>
    <row r="1770" spans="1:27" ht="12.75">
      <c r="A1770" s="54"/>
      <c r="B1770" s="10">
        <v>46119</v>
      </c>
      <c r="C1770" s="11">
        <f>VLOOKUP(B:B,'Курс валют'!A:D,4,0)</f>
        <v>91.003399999999999</v>
      </c>
      <c r="D1770" s="57" t="s">
        <v>874</v>
      </c>
      <c r="E1770" s="50" t="s">
        <v>58</v>
      </c>
      <c r="F1770" s="58">
        <v>1100</v>
      </c>
      <c r="G1770" s="52">
        <v>1105.51</v>
      </c>
      <c r="H1770" s="56">
        <v>0</v>
      </c>
      <c r="I1770" s="13">
        <f t="shared" si="166"/>
        <v>5.5099999999999909</v>
      </c>
      <c r="J1770" s="14">
        <f t="shared" si="158"/>
        <v>0.50090909090909008</v>
      </c>
      <c r="K1770" s="56">
        <v>2.42</v>
      </c>
      <c r="L1770" s="15">
        <f t="shared" si="159"/>
        <v>0</v>
      </c>
      <c r="M1770" s="16">
        <f t="shared" si="160"/>
        <v>220.228228</v>
      </c>
      <c r="N1770" s="17">
        <f t="shared" si="161"/>
        <v>2.42</v>
      </c>
      <c r="O1770" s="17">
        <f t="shared" si="162"/>
        <v>2662</v>
      </c>
      <c r="P1770" s="18">
        <f t="shared" si="163"/>
        <v>242251.0508</v>
      </c>
      <c r="R1770" s="66"/>
      <c r="S1770" s="20"/>
      <c r="T1770" s="20"/>
      <c r="U1770" s="20"/>
      <c r="V1770" s="20"/>
      <c r="W1770" s="20"/>
      <c r="X1770" s="20"/>
      <c r="Y1770" s="20"/>
      <c r="Z1770" s="20"/>
      <c r="AA1770" s="20"/>
    </row>
    <row r="1771" spans="1:27" ht="12.75">
      <c r="A1771" s="54"/>
      <c r="B1771" s="10">
        <v>46119</v>
      </c>
      <c r="C1771" s="11">
        <f>VLOOKUP(B:B,'Курс валют'!A:D,4,0)</f>
        <v>91.003399999999999</v>
      </c>
      <c r="D1771" s="57" t="s">
        <v>875</v>
      </c>
      <c r="E1771" s="50" t="s">
        <v>125</v>
      </c>
      <c r="F1771" s="58">
        <v>2200</v>
      </c>
      <c r="G1771" s="52">
        <v>2233.52</v>
      </c>
      <c r="H1771" s="56">
        <v>0</v>
      </c>
      <c r="I1771" s="13">
        <f t="shared" si="166"/>
        <v>33.519999999999982</v>
      </c>
      <c r="J1771" s="14">
        <f t="shared" si="158"/>
        <v>1.5236363636363628</v>
      </c>
      <c r="K1771" s="56">
        <v>1.92</v>
      </c>
      <c r="L1771" s="15">
        <f t="shared" si="159"/>
        <v>0</v>
      </c>
      <c r="M1771" s="16">
        <f t="shared" si="160"/>
        <v>174.726528</v>
      </c>
      <c r="N1771" s="17">
        <f t="shared" si="161"/>
        <v>1.92</v>
      </c>
      <c r="O1771" s="17">
        <f t="shared" si="162"/>
        <v>4224</v>
      </c>
      <c r="P1771" s="18">
        <f t="shared" si="163"/>
        <v>384398.3616</v>
      </c>
      <c r="R1771" s="66"/>
      <c r="S1771" s="20"/>
      <c r="T1771" s="20"/>
      <c r="U1771" s="20"/>
      <c r="V1771" s="20"/>
      <c r="W1771" s="20"/>
      <c r="X1771" s="20"/>
      <c r="Y1771" s="20"/>
      <c r="Z1771" s="20"/>
      <c r="AA1771" s="20"/>
    </row>
    <row r="1772" spans="1:27" ht="12.75">
      <c r="A1772" s="54"/>
      <c r="B1772" s="10">
        <v>46119</v>
      </c>
      <c r="C1772" s="11">
        <f>VLOOKUP(B:B,'Курс валют'!A:D,4,0)</f>
        <v>91.003399999999999</v>
      </c>
      <c r="D1772" s="57" t="s">
        <v>876</v>
      </c>
      <c r="E1772" s="50" t="s">
        <v>58</v>
      </c>
      <c r="F1772" s="58">
        <v>1100</v>
      </c>
      <c r="G1772" s="52">
        <v>1105.51</v>
      </c>
      <c r="H1772" s="56">
        <v>0</v>
      </c>
      <c r="I1772" s="13">
        <f t="shared" si="166"/>
        <v>5.5099999999999909</v>
      </c>
      <c r="J1772" s="14">
        <f t="shared" si="158"/>
        <v>0.50090909090909008</v>
      </c>
      <c r="K1772" s="56">
        <v>2.42</v>
      </c>
      <c r="L1772" s="15">
        <f t="shared" si="159"/>
        <v>0</v>
      </c>
      <c r="M1772" s="16">
        <f t="shared" si="160"/>
        <v>220.228228</v>
      </c>
      <c r="N1772" s="17">
        <f t="shared" si="161"/>
        <v>2.42</v>
      </c>
      <c r="O1772" s="17">
        <f t="shared" si="162"/>
        <v>2662</v>
      </c>
      <c r="P1772" s="18">
        <f t="shared" si="163"/>
        <v>242251.0508</v>
      </c>
      <c r="R1772" s="66"/>
      <c r="S1772" s="20"/>
      <c r="T1772" s="20"/>
      <c r="U1772" s="20"/>
      <c r="V1772" s="20"/>
      <c r="W1772" s="20"/>
      <c r="X1772" s="20"/>
      <c r="Y1772" s="20"/>
      <c r="Z1772" s="20"/>
      <c r="AA1772" s="20"/>
    </row>
    <row r="1773" spans="1:27" ht="12.75">
      <c r="A1773" s="54"/>
      <c r="B1773" s="10">
        <v>46120</v>
      </c>
      <c r="C1773" s="11">
        <f>VLOOKUP(B:B,'Курс валют'!A:D,4,0)</f>
        <v>91.027900000000002</v>
      </c>
      <c r="D1773" s="57" t="s">
        <v>877</v>
      </c>
      <c r="E1773" s="50" t="s">
        <v>125</v>
      </c>
      <c r="F1773" s="58">
        <v>2200</v>
      </c>
      <c r="G1773" s="52">
        <v>2218.52</v>
      </c>
      <c r="H1773" s="56">
        <v>0</v>
      </c>
      <c r="I1773" s="13">
        <f t="shared" si="166"/>
        <v>18.519999999999982</v>
      </c>
      <c r="J1773" s="14">
        <f t="shared" si="158"/>
        <v>0.84181818181818113</v>
      </c>
      <c r="K1773" s="56">
        <v>1.9</v>
      </c>
      <c r="L1773" s="15">
        <f t="shared" si="159"/>
        <v>0</v>
      </c>
      <c r="M1773" s="16">
        <f t="shared" si="160"/>
        <v>172.95301000000001</v>
      </c>
      <c r="N1773" s="17">
        <f t="shared" si="161"/>
        <v>1.9</v>
      </c>
      <c r="O1773" s="17">
        <f t="shared" si="162"/>
        <v>4180</v>
      </c>
      <c r="P1773" s="18">
        <f t="shared" si="163"/>
        <v>380496.62200000003</v>
      </c>
      <c r="R1773" s="66"/>
      <c r="S1773" s="20"/>
      <c r="T1773" s="20"/>
      <c r="U1773" s="20"/>
      <c r="V1773" s="20"/>
      <c r="W1773" s="20"/>
      <c r="X1773" s="20"/>
      <c r="Y1773" s="20"/>
      <c r="Z1773" s="20"/>
      <c r="AA1773" s="20"/>
    </row>
    <row r="1774" spans="1:27" ht="12.75">
      <c r="A1774" s="54"/>
      <c r="B1774" s="10">
        <v>46120</v>
      </c>
      <c r="C1774" s="11">
        <f>VLOOKUP(B:B,'Курс валют'!A:D,4,0)</f>
        <v>91.027900000000002</v>
      </c>
      <c r="D1774" s="57" t="s">
        <v>878</v>
      </c>
      <c r="E1774" s="55" t="s">
        <v>125</v>
      </c>
      <c r="F1774" s="58">
        <v>1760</v>
      </c>
      <c r="G1774" s="52">
        <v>1776.3050000000001</v>
      </c>
      <c r="H1774" s="56">
        <v>0</v>
      </c>
      <c r="I1774" s="13">
        <f t="shared" si="166"/>
        <v>16.305000000000064</v>
      </c>
      <c r="J1774" s="14">
        <f t="shared" si="158"/>
        <v>0.92642045454545818</v>
      </c>
      <c r="K1774" s="56">
        <v>1.92</v>
      </c>
      <c r="L1774" s="15">
        <f t="shared" si="159"/>
        <v>0</v>
      </c>
      <c r="M1774" s="16">
        <f t="shared" si="160"/>
        <v>174.77356799999998</v>
      </c>
      <c r="N1774" s="17">
        <f t="shared" si="161"/>
        <v>1.92</v>
      </c>
      <c r="O1774" s="17">
        <f t="shared" si="162"/>
        <v>3379.2</v>
      </c>
      <c r="P1774" s="18">
        <f t="shared" si="163"/>
        <v>307601.47967999999</v>
      </c>
      <c r="R1774" s="66"/>
      <c r="S1774" s="20"/>
      <c r="T1774" s="20"/>
      <c r="U1774" s="20"/>
      <c r="V1774" s="20"/>
      <c r="W1774" s="20"/>
      <c r="X1774" s="20"/>
      <c r="Y1774" s="20"/>
      <c r="Z1774" s="20"/>
      <c r="AA1774" s="20"/>
    </row>
    <row r="1775" spans="1:27" ht="12.75">
      <c r="A1775" s="54"/>
      <c r="B1775" s="10">
        <v>46121</v>
      </c>
      <c r="C1775" s="11">
        <f>VLOOKUP(B:B,'Курс валют'!A:D,4,0)</f>
        <v>91.564099999999996</v>
      </c>
      <c r="D1775" s="57" t="s">
        <v>879</v>
      </c>
      <c r="E1775" s="55" t="s">
        <v>60</v>
      </c>
      <c r="F1775" s="58">
        <v>1800</v>
      </c>
      <c r="G1775" s="13">
        <v>1820.1</v>
      </c>
      <c r="H1775" s="56">
        <v>0</v>
      </c>
      <c r="I1775" s="13">
        <f t="shared" si="166"/>
        <v>20.099999999999909</v>
      </c>
      <c r="J1775" s="14">
        <f t="shared" si="158"/>
        <v>1.1166666666666616</v>
      </c>
      <c r="K1775" s="56">
        <v>1.91</v>
      </c>
      <c r="L1775" s="15">
        <f t="shared" si="159"/>
        <v>0</v>
      </c>
      <c r="M1775" s="16">
        <f t="shared" si="160"/>
        <v>174.88743099999999</v>
      </c>
      <c r="N1775" s="17">
        <f t="shared" si="161"/>
        <v>1.91</v>
      </c>
      <c r="O1775" s="17">
        <f t="shared" si="162"/>
        <v>3438</v>
      </c>
      <c r="P1775" s="18">
        <f t="shared" si="163"/>
        <v>314797.37579999998</v>
      </c>
      <c r="R1775" s="66"/>
      <c r="S1775" s="20"/>
      <c r="T1775" s="20"/>
      <c r="U1775" s="20"/>
      <c r="V1775" s="20"/>
      <c r="W1775" s="20"/>
      <c r="X1775" s="20"/>
      <c r="Y1775" s="20"/>
      <c r="Z1775" s="20"/>
      <c r="AA1775" s="20"/>
    </row>
    <row r="1776" spans="1:27" ht="12.75">
      <c r="A1776" s="54"/>
      <c r="B1776" s="10">
        <v>46121</v>
      </c>
      <c r="C1776" s="11">
        <f>VLOOKUP(B:B,'Курс валют'!A:D,4,0)</f>
        <v>91.564099999999996</v>
      </c>
      <c r="D1776" s="57" t="s">
        <v>880</v>
      </c>
      <c r="E1776" s="55" t="s">
        <v>60</v>
      </c>
      <c r="F1776" s="58">
        <v>1800</v>
      </c>
      <c r="G1776" s="13">
        <v>1820.1</v>
      </c>
      <c r="H1776" s="56">
        <v>0</v>
      </c>
      <c r="I1776" s="13">
        <f t="shared" si="166"/>
        <v>20.099999999999909</v>
      </c>
      <c r="J1776" s="14">
        <f t="shared" si="158"/>
        <v>1.1166666666666616</v>
      </c>
      <c r="K1776" s="56">
        <v>1.91</v>
      </c>
      <c r="L1776" s="15">
        <f t="shared" si="159"/>
        <v>0</v>
      </c>
      <c r="M1776" s="16">
        <f t="shared" si="160"/>
        <v>174.88743099999999</v>
      </c>
      <c r="N1776" s="17">
        <f t="shared" si="161"/>
        <v>1.91</v>
      </c>
      <c r="O1776" s="17">
        <f t="shared" si="162"/>
        <v>3438</v>
      </c>
      <c r="P1776" s="18">
        <f t="shared" si="163"/>
        <v>314797.37579999998</v>
      </c>
      <c r="R1776" s="66"/>
      <c r="S1776" s="20"/>
      <c r="T1776" s="20"/>
      <c r="U1776" s="20"/>
      <c r="V1776" s="20"/>
      <c r="W1776" s="20"/>
      <c r="X1776" s="20"/>
      <c r="Y1776" s="20"/>
      <c r="Z1776" s="20"/>
      <c r="AA1776" s="20"/>
    </row>
    <row r="1777" spans="1:27" ht="12.75">
      <c r="A1777" s="54"/>
      <c r="B1777" s="10">
        <v>46121</v>
      </c>
      <c r="C1777" s="11">
        <f>VLOOKUP(B:B,'Курс валют'!A:D,4,0)</f>
        <v>91.564099999999996</v>
      </c>
      <c r="D1777" s="57" t="s">
        <v>881</v>
      </c>
      <c r="E1777" s="55" t="s">
        <v>105</v>
      </c>
      <c r="F1777" s="58">
        <v>92.72</v>
      </c>
      <c r="G1777" s="52">
        <v>96.7</v>
      </c>
      <c r="H1777" s="56">
        <v>0</v>
      </c>
      <c r="I1777" s="13">
        <f t="shared" si="166"/>
        <v>3.980000000000004</v>
      </c>
      <c r="J1777" s="14">
        <f t="shared" si="158"/>
        <v>4.2924935289042319</v>
      </c>
      <c r="K1777" s="56">
        <v>2.2599999999999998</v>
      </c>
      <c r="L1777" s="15">
        <f t="shared" si="159"/>
        <v>0</v>
      </c>
      <c r="M1777" s="16">
        <f t="shared" si="160"/>
        <v>206.934866</v>
      </c>
      <c r="N1777" s="17">
        <f t="shared" si="161"/>
        <v>2.2599999999999998</v>
      </c>
      <c r="O1777" s="17">
        <f t="shared" si="162"/>
        <v>209.54719999999998</v>
      </c>
      <c r="P1777" s="18">
        <f t="shared" si="163"/>
        <v>19187.000775519999</v>
      </c>
      <c r="R1777" s="66"/>
      <c r="S1777" s="20"/>
      <c r="T1777" s="20"/>
      <c r="U1777" s="20"/>
      <c r="V1777" s="20"/>
      <c r="W1777" s="20"/>
      <c r="X1777" s="20"/>
      <c r="Y1777" s="20"/>
      <c r="Z1777" s="20"/>
      <c r="AA1777" s="20"/>
    </row>
    <row r="1778" spans="1:27" ht="12.75">
      <c r="A1778" s="54"/>
      <c r="B1778" s="10">
        <v>46122</v>
      </c>
      <c r="C1778" s="11">
        <f>VLOOKUP(B:B,'Курс валют'!A:D,4,0)</f>
        <v>90.881299999999996</v>
      </c>
      <c r="D1778" s="57" t="s">
        <v>882</v>
      </c>
      <c r="E1778" s="55" t="s">
        <v>58</v>
      </c>
      <c r="F1778" s="58">
        <v>1100</v>
      </c>
      <c r="G1778" s="13">
        <v>1105.51</v>
      </c>
      <c r="H1778" s="56">
        <v>0</v>
      </c>
      <c r="I1778" s="13">
        <f t="shared" si="166"/>
        <v>5.5099999999999909</v>
      </c>
      <c r="J1778" s="14">
        <f t="shared" si="158"/>
        <v>0.50090909090909008</v>
      </c>
      <c r="K1778" s="56">
        <v>2.35</v>
      </c>
      <c r="L1778" s="15">
        <f t="shared" si="159"/>
        <v>0</v>
      </c>
      <c r="M1778" s="16">
        <f t="shared" si="160"/>
        <v>213.571055</v>
      </c>
      <c r="N1778" s="17">
        <f t="shared" si="161"/>
        <v>2.35</v>
      </c>
      <c r="O1778" s="17">
        <f t="shared" si="162"/>
        <v>2585</v>
      </c>
      <c r="P1778" s="18">
        <f t="shared" si="163"/>
        <v>234928.1605</v>
      </c>
      <c r="R1778" s="66"/>
      <c r="S1778" s="20"/>
      <c r="T1778" s="20"/>
      <c r="U1778" s="20"/>
      <c r="V1778" s="20"/>
      <c r="W1778" s="20"/>
      <c r="X1778" s="20"/>
      <c r="Y1778" s="20"/>
      <c r="Z1778" s="20"/>
      <c r="AA1778" s="20"/>
    </row>
    <row r="1779" spans="1:27" ht="12.75">
      <c r="A1779" s="54"/>
      <c r="B1779" s="10">
        <v>46122</v>
      </c>
      <c r="C1779" s="11">
        <f>VLOOKUP(B:B,'Курс валют'!A:D,4,0)</f>
        <v>90.881299999999996</v>
      </c>
      <c r="D1779" s="57" t="s">
        <v>883</v>
      </c>
      <c r="E1779" s="55" t="s">
        <v>58</v>
      </c>
      <c r="F1779" s="58">
        <v>1100</v>
      </c>
      <c r="G1779" s="13">
        <v>1105.51</v>
      </c>
      <c r="H1779" s="56">
        <v>0</v>
      </c>
      <c r="I1779" s="13">
        <f t="shared" si="166"/>
        <v>5.5099999999999909</v>
      </c>
      <c r="J1779" s="14">
        <f t="shared" si="158"/>
        <v>0.50090909090909008</v>
      </c>
      <c r="K1779" s="56">
        <v>2.41</v>
      </c>
      <c r="L1779" s="15">
        <f t="shared" si="159"/>
        <v>0</v>
      </c>
      <c r="M1779" s="16">
        <f t="shared" si="160"/>
        <v>219.023933</v>
      </c>
      <c r="N1779" s="17">
        <f t="shared" si="161"/>
        <v>2.41</v>
      </c>
      <c r="O1779" s="17">
        <f t="shared" si="162"/>
        <v>2651</v>
      </c>
      <c r="P1779" s="18">
        <f t="shared" si="163"/>
        <v>240926.32629999999</v>
      </c>
      <c r="R1779" s="66"/>
      <c r="S1779" s="20"/>
      <c r="T1779" s="20"/>
      <c r="U1779" s="20"/>
      <c r="V1779" s="20"/>
      <c r="W1779" s="20"/>
      <c r="X1779" s="20"/>
      <c r="Y1779" s="20"/>
      <c r="Z1779" s="20"/>
      <c r="AA1779" s="20"/>
    </row>
    <row r="1780" spans="1:27" ht="12.75">
      <c r="A1780" s="54"/>
      <c r="B1780" s="10">
        <v>46122</v>
      </c>
      <c r="C1780" s="11">
        <f>VLOOKUP(B:B,'Курс валют'!A:D,4,0)</f>
        <v>90.881299999999996</v>
      </c>
      <c r="D1780" s="57" t="s">
        <v>884</v>
      </c>
      <c r="E1780" s="55" t="s">
        <v>58</v>
      </c>
      <c r="F1780" s="58">
        <v>1100</v>
      </c>
      <c r="G1780" s="13">
        <v>1105.51</v>
      </c>
      <c r="H1780" s="56">
        <v>0</v>
      </c>
      <c r="I1780" s="13">
        <f t="shared" si="166"/>
        <v>5.5099999999999909</v>
      </c>
      <c r="J1780" s="14">
        <f t="shared" si="158"/>
        <v>0.50090909090909008</v>
      </c>
      <c r="K1780" s="56">
        <v>2.41</v>
      </c>
      <c r="L1780" s="15">
        <f t="shared" si="159"/>
        <v>0</v>
      </c>
      <c r="M1780" s="16">
        <f t="shared" si="160"/>
        <v>219.023933</v>
      </c>
      <c r="N1780" s="17">
        <f t="shared" si="161"/>
        <v>2.41</v>
      </c>
      <c r="O1780" s="17">
        <f t="shared" si="162"/>
        <v>2651</v>
      </c>
      <c r="P1780" s="18">
        <f t="shared" si="163"/>
        <v>240926.32629999999</v>
      </c>
      <c r="R1780" s="66"/>
      <c r="S1780" s="20"/>
      <c r="T1780" s="20"/>
      <c r="U1780" s="20"/>
      <c r="V1780" s="20"/>
      <c r="W1780" s="20"/>
      <c r="X1780" s="20"/>
      <c r="Y1780" s="20"/>
      <c r="Z1780" s="20"/>
      <c r="AA1780" s="20"/>
    </row>
    <row r="1781" spans="1:27" ht="12.75">
      <c r="A1781" s="54"/>
      <c r="B1781" s="10">
        <v>46122</v>
      </c>
      <c r="C1781" s="11">
        <f>VLOOKUP(B:B,'Курс валют'!A:D,4,0)</f>
        <v>90.881299999999996</v>
      </c>
      <c r="D1781" s="57" t="s">
        <v>885</v>
      </c>
      <c r="E1781" s="55" t="s">
        <v>58</v>
      </c>
      <c r="F1781" s="58">
        <v>1100</v>
      </c>
      <c r="G1781" s="13">
        <v>1105.51</v>
      </c>
      <c r="H1781" s="56">
        <v>0</v>
      </c>
      <c r="I1781" s="13">
        <f t="shared" si="166"/>
        <v>5.5099999999999909</v>
      </c>
      <c r="J1781" s="14">
        <f t="shared" si="158"/>
        <v>0.50090909090909008</v>
      </c>
      <c r="K1781" s="56">
        <v>2.41</v>
      </c>
      <c r="L1781" s="15">
        <f t="shared" si="159"/>
        <v>0</v>
      </c>
      <c r="M1781" s="16">
        <f t="shared" si="160"/>
        <v>219.023933</v>
      </c>
      <c r="N1781" s="17">
        <f t="shared" si="161"/>
        <v>2.41</v>
      </c>
      <c r="O1781" s="17">
        <f t="shared" si="162"/>
        <v>2651</v>
      </c>
      <c r="P1781" s="18">
        <f t="shared" si="163"/>
        <v>240926.32629999999</v>
      </c>
      <c r="R1781" s="66"/>
      <c r="S1781" s="20"/>
      <c r="T1781" s="20"/>
      <c r="U1781" s="20"/>
      <c r="V1781" s="20"/>
      <c r="W1781" s="20"/>
      <c r="X1781" s="20"/>
      <c r="Y1781" s="20"/>
      <c r="Z1781" s="20"/>
      <c r="AA1781" s="20"/>
    </row>
    <row r="1782" spans="1:27" ht="12.75">
      <c r="A1782" s="54"/>
      <c r="B1782" s="10">
        <v>46122</v>
      </c>
      <c r="C1782" s="11">
        <f>VLOOKUP(B:B,'Курс валют'!A:D,4,0)</f>
        <v>90.881299999999996</v>
      </c>
      <c r="D1782" s="57" t="s">
        <v>886</v>
      </c>
      <c r="E1782" s="55" t="s">
        <v>58</v>
      </c>
      <c r="F1782" s="58">
        <v>1100</v>
      </c>
      <c r="G1782" s="13">
        <v>1105.51</v>
      </c>
      <c r="H1782" s="56">
        <v>0</v>
      </c>
      <c r="I1782" s="13">
        <f t="shared" si="166"/>
        <v>5.5099999999999909</v>
      </c>
      <c r="J1782" s="14">
        <f t="shared" si="158"/>
        <v>0.50090909090909008</v>
      </c>
      <c r="K1782" s="56">
        <v>2.41</v>
      </c>
      <c r="L1782" s="15">
        <f t="shared" si="159"/>
        <v>0</v>
      </c>
      <c r="M1782" s="16">
        <f t="shared" si="160"/>
        <v>219.023933</v>
      </c>
      <c r="N1782" s="17">
        <f t="shared" si="161"/>
        <v>2.41</v>
      </c>
      <c r="O1782" s="17">
        <f t="shared" si="162"/>
        <v>2651</v>
      </c>
      <c r="P1782" s="18">
        <f t="shared" si="163"/>
        <v>240926.32629999999</v>
      </c>
      <c r="R1782" s="66"/>
      <c r="S1782" s="20"/>
      <c r="T1782" s="20"/>
      <c r="U1782" s="20"/>
      <c r="V1782" s="20"/>
      <c r="W1782" s="20"/>
      <c r="X1782" s="20"/>
      <c r="Y1782" s="20"/>
      <c r="Z1782" s="20"/>
      <c r="AA1782" s="20"/>
    </row>
    <row r="1783" spans="1:27" ht="12.75">
      <c r="A1783" s="54"/>
      <c r="B1783" s="10">
        <v>46122</v>
      </c>
      <c r="C1783" s="11">
        <f>VLOOKUP(B:B,'Курс валют'!A:D,4,0)</f>
        <v>90.881299999999996</v>
      </c>
      <c r="D1783" s="57" t="s">
        <v>887</v>
      </c>
      <c r="E1783" s="55" t="s">
        <v>60</v>
      </c>
      <c r="F1783" s="58">
        <v>1800</v>
      </c>
      <c r="G1783" s="13">
        <v>1820.1</v>
      </c>
      <c r="H1783" s="56">
        <v>0</v>
      </c>
      <c r="I1783" s="13">
        <f t="shared" si="166"/>
        <v>20.099999999999909</v>
      </c>
      <c r="J1783" s="14">
        <f t="shared" si="158"/>
        <v>1.1166666666666616</v>
      </c>
      <c r="K1783" s="56">
        <v>1.91</v>
      </c>
      <c r="L1783" s="15">
        <f t="shared" si="159"/>
        <v>0</v>
      </c>
      <c r="M1783" s="16">
        <f t="shared" si="160"/>
        <v>173.58328299999999</v>
      </c>
      <c r="N1783" s="17">
        <f t="shared" si="161"/>
        <v>1.91</v>
      </c>
      <c r="O1783" s="17">
        <f t="shared" si="162"/>
        <v>3438</v>
      </c>
      <c r="P1783" s="18">
        <f t="shared" si="163"/>
        <v>312449.9094</v>
      </c>
      <c r="R1783" s="66"/>
      <c r="S1783" s="20"/>
      <c r="T1783" s="20"/>
      <c r="U1783" s="20"/>
      <c r="V1783" s="20"/>
      <c r="W1783" s="20"/>
      <c r="X1783" s="20"/>
      <c r="Y1783" s="20"/>
      <c r="Z1783" s="20"/>
      <c r="AA1783" s="20"/>
    </row>
    <row r="1784" spans="1:27" ht="12.75">
      <c r="A1784" s="54"/>
      <c r="B1784" s="10">
        <v>46122</v>
      </c>
      <c r="C1784" s="11">
        <f>VLOOKUP(B:B,'Курс валют'!A:D,4,0)</f>
        <v>90.881299999999996</v>
      </c>
      <c r="D1784" s="57" t="s">
        <v>888</v>
      </c>
      <c r="E1784" s="55" t="s">
        <v>58</v>
      </c>
      <c r="F1784" s="58">
        <v>1100</v>
      </c>
      <c r="G1784" s="13">
        <v>1105.51</v>
      </c>
      <c r="H1784" s="56">
        <v>0</v>
      </c>
      <c r="I1784" s="13">
        <f t="shared" si="166"/>
        <v>5.5099999999999909</v>
      </c>
      <c r="J1784" s="14">
        <f t="shared" si="158"/>
        <v>0.50090909090909008</v>
      </c>
      <c r="K1784" s="56">
        <v>2.41</v>
      </c>
      <c r="L1784" s="15">
        <f t="shared" si="159"/>
        <v>0</v>
      </c>
      <c r="M1784" s="16">
        <f t="shared" si="160"/>
        <v>219.023933</v>
      </c>
      <c r="N1784" s="17">
        <f t="shared" si="161"/>
        <v>2.41</v>
      </c>
      <c r="O1784" s="17">
        <f t="shared" si="162"/>
        <v>2651</v>
      </c>
      <c r="P1784" s="18">
        <f t="shared" si="163"/>
        <v>240926.32629999999</v>
      </c>
      <c r="R1784" s="66"/>
      <c r="S1784" s="20"/>
      <c r="T1784" s="20"/>
      <c r="U1784" s="20"/>
      <c r="V1784" s="20"/>
      <c r="W1784" s="20"/>
      <c r="X1784" s="20"/>
      <c r="Y1784" s="20"/>
      <c r="Z1784" s="20"/>
      <c r="AA1784" s="20"/>
    </row>
    <row r="1785" spans="1:27" ht="12.75">
      <c r="A1785" s="54"/>
      <c r="B1785" s="10">
        <v>46122</v>
      </c>
      <c r="C1785" s="11">
        <f>VLOOKUP(B:B,'Курс валют'!A:D,4,0)</f>
        <v>90.881299999999996</v>
      </c>
      <c r="D1785" s="57" t="s">
        <v>889</v>
      </c>
      <c r="E1785" s="55" t="s">
        <v>58</v>
      </c>
      <c r="F1785" s="58">
        <v>1100</v>
      </c>
      <c r="G1785" s="13">
        <v>1105.51</v>
      </c>
      <c r="H1785" s="56">
        <v>0</v>
      </c>
      <c r="I1785" s="13">
        <f t="shared" si="166"/>
        <v>5.5099999999999909</v>
      </c>
      <c r="J1785" s="14">
        <f t="shared" si="158"/>
        <v>0.50090909090909008</v>
      </c>
      <c r="K1785" s="56">
        <v>2.41</v>
      </c>
      <c r="L1785" s="15">
        <f t="shared" si="159"/>
        <v>0</v>
      </c>
      <c r="M1785" s="16">
        <f t="shared" si="160"/>
        <v>219.023933</v>
      </c>
      <c r="N1785" s="17">
        <f t="shared" si="161"/>
        <v>2.41</v>
      </c>
      <c r="O1785" s="17">
        <f t="shared" si="162"/>
        <v>2651</v>
      </c>
      <c r="P1785" s="18">
        <f t="shared" si="163"/>
        <v>240926.32629999999</v>
      </c>
      <c r="R1785" s="66"/>
      <c r="S1785" s="20"/>
      <c r="T1785" s="20"/>
      <c r="U1785" s="20"/>
      <c r="V1785" s="20"/>
      <c r="W1785" s="20"/>
      <c r="X1785" s="20"/>
      <c r="Y1785" s="20"/>
      <c r="Z1785" s="20"/>
      <c r="AA1785" s="20"/>
    </row>
    <row r="1786" spans="1:27" ht="12.75">
      <c r="A1786" s="54"/>
      <c r="B1786" s="10">
        <v>46122</v>
      </c>
      <c r="C1786" s="11">
        <f>VLOOKUP(B:B,'Курс валют'!A:D,4,0)</f>
        <v>90.881299999999996</v>
      </c>
      <c r="D1786" s="57" t="s">
        <v>890</v>
      </c>
      <c r="E1786" s="55" t="s">
        <v>58</v>
      </c>
      <c r="F1786" s="58">
        <v>1100</v>
      </c>
      <c r="G1786" s="13">
        <v>1105.51</v>
      </c>
      <c r="H1786" s="56">
        <v>0</v>
      </c>
      <c r="I1786" s="13">
        <f t="shared" si="166"/>
        <v>5.5099999999999909</v>
      </c>
      <c r="J1786" s="14">
        <f t="shared" si="158"/>
        <v>0.50090909090909008</v>
      </c>
      <c r="K1786" s="56">
        <v>2.42</v>
      </c>
      <c r="L1786" s="15">
        <f t="shared" si="159"/>
        <v>0</v>
      </c>
      <c r="M1786" s="16">
        <f t="shared" si="160"/>
        <v>219.93274599999998</v>
      </c>
      <c r="N1786" s="17">
        <f t="shared" si="161"/>
        <v>2.42</v>
      </c>
      <c r="O1786" s="17">
        <f t="shared" si="162"/>
        <v>2662</v>
      </c>
      <c r="P1786" s="18">
        <f t="shared" si="163"/>
        <v>241926.02059999999</v>
      </c>
      <c r="R1786" s="66"/>
      <c r="S1786" s="20"/>
      <c r="T1786" s="20"/>
      <c r="U1786" s="20"/>
      <c r="V1786" s="20"/>
      <c r="W1786" s="20"/>
      <c r="X1786" s="20"/>
      <c r="Y1786" s="20"/>
      <c r="Z1786" s="20"/>
      <c r="AA1786" s="20"/>
    </row>
    <row r="1787" spans="1:27" ht="12.75">
      <c r="A1787" s="54"/>
      <c r="B1787" s="10">
        <v>46122</v>
      </c>
      <c r="C1787" s="11">
        <f>VLOOKUP(B:B,'Курс валют'!A:D,4,0)</f>
        <v>90.881299999999996</v>
      </c>
      <c r="D1787" s="57" t="s">
        <v>891</v>
      </c>
      <c r="E1787" s="55" t="s">
        <v>58</v>
      </c>
      <c r="F1787" s="58">
        <v>1100</v>
      </c>
      <c r="G1787" s="13">
        <v>1105.51</v>
      </c>
      <c r="H1787" s="56">
        <v>0</v>
      </c>
      <c r="I1787" s="13">
        <f t="shared" si="166"/>
        <v>5.5099999999999909</v>
      </c>
      <c r="J1787" s="14">
        <f t="shared" si="158"/>
        <v>0.50090909090909008</v>
      </c>
      <c r="K1787" s="56">
        <v>2.42</v>
      </c>
      <c r="L1787" s="15">
        <f t="shared" si="159"/>
        <v>0</v>
      </c>
      <c r="M1787" s="16">
        <f t="shared" si="160"/>
        <v>219.93274599999998</v>
      </c>
      <c r="N1787" s="17">
        <f t="shared" si="161"/>
        <v>2.42</v>
      </c>
      <c r="O1787" s="17">
        <f t="shared" si="162"/>
        <v>2662</v>
      </c>
      <c r="P1787" s="18">
        <f t="shared" si="163"/>
        <v>241926.02059999999</v>
      </c>
      <c r="R1787" s="66"/>
      <c r="S1787" s="20"/>
      <c r="T1787" s="20"/>
      <c r="U1787" s="20"/>
      <c r="V1787" s="20"/>
      <c r="W1787" s="20"/>
      <c r="X1787" s="20"/>
      <c r="Y1787" s="20"/>
      <c r="Z1787" s="20"/>
      <c r="AA1787" s="20"/>
    </row>
    <row r="1788" spans="1:27" ht="12.75">
      <c r="A1788" s="54"/>
      <c r="B1788" s="10">
        <v>46122</v>
      </c>
      <c r="C1788" s="11">
        <f>VLOOKUP(B:B,'Курс валют'!A:D,4,0)</f>
        <v>90.881299999999996</v>
      </c>
      <c r="D1788" s="57" t="s">
        <v>892</v>
      </c>
      <c r="E1788" s="55" t="s">
        <v>58</v>
      </c>
      <c r="F1788" s="58">
        <v>1100</v>
      </c>
      <c r="G1788" s="13">
        <v>1105.51</v>
      </c>
      <c r="H1788" s="56">
        <v>0</v>
      </c>
      <c r="I1788" s="13">
        <f t="shared" si="166"/>
        <v>5.5099999999999909</v>
      </c>
      <c r="J1788" s="14">
        <f t="shared" si="158"/>
        <v>0.50090909090909008</v>
      </c>
      <c r="K1788" s="56">
        <v>2.4300000000000002</v>
      </c>
      <c r="L1788" s="15">
        <f t="shared" si="159"/>
        <v>0</v>
      </c>
      <c r="M1788" s="16">
        <f t="shared" si="160"/>
        <v>220.84155899999999</v>
      </c>
      <c r="N1788" s="17">
        <f t="shared" si="161"/>
        <v>2.4300000000000002</v>
      </c>
      <c r="O1788" s="17">
        <f t="shared" si="162"/>
        <v>2673</v>
      </c>
      <c r="P1788" s="18">
        <f t="shared" si="163"/>
        <v>242925.71489999999</v>
      </c>
      <c r="R1788" s="66"/>
      <c r="S1788" s="20"/>
      <c r="T1788" s="20"/>
      <c r="U1788" s="20"/>
      <c r="V1788" s="20"/>
      <c r="W1788" s="20"/>
      <c r="X1788" s="20"/>
      <c r="Y1788" s="20"/>
      <c r="Z1788" s="20"/>
      <c r="AA1788" s="20"/>
    </row>
    <row r="1789" spans="1:27" ht="12.75">
      <c r="A1789" s="54"/>
      <c r="B1789" s="10">
        <v>46123</v>
      </c>
      <c r="C1789" s="11">
        <f>VLOOKUP(B:B,'Курс валют'!A:D,4,0)</f>
        <v>90.012</v>
      </c>
      <c r="D1789" s="57" t="s">
        <v>893</v>
      </c>
      <c r="E1789" s="55" t="s">
        <v>125</v>
      </c>
      <c r="F1789" s="58">
        <v>2200</v>
      </c>
      <c r="G1789" s="13">
        <v>2225.52</v>
      </c>
      <c r="H1789" s="56">
        <v>0</v>
      </c>
      <c r="I1789" s="13">
        <f t="shared" si="166"/>
        <v>25.519999999999982</v>
      </c>
      <c r="J1789" s="14">
        <f t="shared" si="158"/>
        <v>1.1599999999999993</v>
      </c>
      <c r="K1789" s="56">
        <v>1.9</v>
      </c>
      <c r="L1789" s="15">
        <f t="shared" si="159"/>
        <v>0</v>
      </c>
      <c r="M1789" s="16">
        <f t="shared" si="160"/>
        <v>171.02279999999999</v>
      </c>
      <c r="N1789" s="17">
        <f t="shared" si="161"/>
        <v>1.9</v>
      </c>
      <c r="O1789" s="17">
        <f t="shared" si="162"/>
        <v>4180</v>
      </c>
      <c r="P1789" s="18">
        <f t="shared" si="163"/>
        <v>376250.16</v>
      </c>
      <c r="R1789" s="66"/>
      <c r="S1789" s="20"/>
      <c r="T1789" s="20"/>
      <c r="U1789" s="20"/>
      <c r="V1789" s="20"/>
      <c r="W1789" s="20"/>
      <c r="X1789" s="20"/>
      <c r="Y1789" s="20"/>
      <c r="Z1789" s="20"/>
      <c r="AA1789" s="20"/>
    </row>
    <row r="1790" spans="1:27" ht="12.75">
      <c r="A1790" s="54"/>
      <c r="B1790" s="10">
        <v>46123</v>
      </c>
      <c r="C1790" s="11">
        <f>VLOOKUP(B:B,'Курс валют'!A:D,4,0)</f>
        <v>90.012</v>
      </c>
      <c r="D1790" s="57" t="s">
        <v>894</v>
      </c>
      <c r="E1790" s="55" t="s">
        <v>58</v>
      </c>
      <c r="F1790" s="58">
        <v>1100</v>
      </c>
      <c r="G1790" s="13">
        <v>1105.51</v>
      </c>
      <c r="H1790" s="56">
        <v>0</v>
      </c>
      <c r="I1790" s="13">
        <f t="shared" si="166"/>
        <v>5.5099999999999909</v>
      </c>
      <c r="J1790" s="14">
        <f t="shared" si="158"/>
        <v>0.50090909090909008</v>
      </c>
      <c r="K1790" s="56">
        <v>2.4900000000000002</v>
      </c>
      <c r="L1790" s="15">
        <f t="shared" si="159"/>
        <v>0</v>
      </c>
      <c r="M1790" s="16">
        <f t="shared" si="160"/>
        <v>224.12988000000004</v>
      </c>
      <c r="N1790" s="17">
        <f t="shared" si="161"/>
        <v>2.4900000000000002</v>
      </c>
      <c r="O1790" s="17">
        <f t="shared" si="162"/>
        <v>2739.0000000000005</v>
      </c>
      <c r="P1790" s="18">
        <f t="shared" si="163"/>
        <v>246542.86800000005</v>
      </c>
      <c r="R1790" s="66"/>
      <c r="S1790" s="20"/>
      <c r="T1790" s="20"/>
      <c r="U1790" s="20"/>
      <c r="V1790" s="20"/>
      <c r="W1790" s="20"/>
      <c r="X1790" s="20"/>
      <c r="Y1790" s="20"/>
      <c r="Z1790" s="20"/>
      <c r="AA1790" s="20"/>
    </row>
    <row r="1791" spans="1:27" ht="12.75">
      <c r="A1791" s="54"/>
      <c r="B1791" s="10">
        <v>46123</v>
      </c>
      <c r="C1791" s="11">
        <f>VLOOKUP(B:B,'Курс валют'!A:D,4,0)</f>
        <v>90.012</v>
      </c>
      <c r="D1791" s="57" t="s">
        <v>895</v>
      </c>
      <c r="E1791" s="55" t="s">
        <v>58</v>
      </c>
      <c r="F1791" s="58">
        <v>1100</v>
      </c>
      <c r="G1791" s="13">
        <v>1105.51</v>
      </c>
      <c r="H1791" s="56">
        <v>0</v>
      </c>
      <c r="I1791" s="13">
        <f t="shared" si="166"/>
        <v>5.5099999999999909</v>
      </c>
      <c r="J1791" s="14">
        <f t="shared" si="158"/>
        <v>0.50090909090909008</v>
      </c>
      <c r="K1791" s="56">
        <v>2.48</v>
      </c>
      <c r="L1791" s="15">
        <f t="shared" si="159"/>
        <v>0</v>
      </c>
      <c r="M1791" s="16">
        <f t="shared" si="160"/>
        <v>223.22976</v>
      </c>
      <c r="N1791" s="17">
        <f t="shared" si="161"/>
        <v>2.48</v>
      </c>
      <c r="O1791" s="17">
        <f t="shared" si="162"/>
        <v>2728</v>
      </c>
      <c r="P1791" s="18">
        <f t="shared" si="163"/>
        <v>245552.736</v>
      </c>
      <c r="R1791" s="66"/>
      <c r="S1791" s="20"/>
      <c r="T1791" s="20"/>
      <c r="U1791" s="20"/>
      <c r="V1791" s="20"/>
      <c r="W1791" s="20"/>
      <c r="X1791" s="20"/>
      <c r="Y1791" s="20"/>
      <c r="Z1791" s="20"/>
      <c r="AA1791" s="20"/>
    </row>
    <row r="1792" spans="1:27" ht="12.75">
      <c r="A1792" s="54"/>
      <c r="B1792" s="10">
        <v>46123</v>
      </c>
      <c r="C1792" s="11">
        <f>VLOOKUP(B:B,'Курс валют'!A:D,4,0)</f>
        <v>90.012</v>
      </c>
      <c r="D1792" s="57" t="s">
        <v>896</v>
      </c>
      <c r="E1792" s="55" t="s">
        <v>58</v>
      </c>
      <c r="F1792" s="58">
        <v>1100</v>
      </c>
      <c r="G1792" s="13">
        <v>1105.51</v>
      </c>
      <c r="H1792" s="56">
        <v>0</v>
      </c>
      <c r="I1792" s="13">
        <f t="shared" si="166"/>
        <v>5.5099999999999909</v>
      </c>
      <c r="J1792" s="14">
        <f t="shared" si="158"/>
        <v>0.50090909090909008</v>
      </c>
      <c r="K1792" s="56">
        <v>2.48</v>
      </c>
      <c r="L1792" s="15">
        <f t="shared" si="159"/>
        <v>0</v>
      </c>
      <c r="M1792" s="16">
        <f t="shared" si="160"/>
        <v>223.22976</v>
      </c>
      <c r="N1792" s="17">
        <f t="shared" si="161"/>
        <v>2.48</v>
      </c>
      <c r="O1792" s="17">
        <f t="shared" si="162"/>
        <v>2728</v>
      </c>
      <c r="P1792" s="18">
        <f t="shared" si="163"/>
        <v>245552.736</v>
      </c>
      <c r="R1792" s="66"/>
      <c r="S1792" s="20"/>
      <c r="T1792" s="20"/>
      <c r="U1792" s="20"/>
      <c r="V1792" s="20"/>
      <c r="W1792" s="20"/>
      <c r="X1792" s="20"/>
      <c r="Y1792" s="20"/>
      <c r="Z1792" s="20"/>
      <c r="AA1792" s="20"/>
    </row>
    <row r="1793" spans="1:27" ht="12.75">
      <c r="A1793" s="54"/>
      <c r="B1793" s="10">
        <v>46123</v>
      </c>
      <c r="C1793" s="11">
        <f>VLOOKUP(B:B,'Курс валют'!A:D,4,0)</f>
        <v>90.012</v>
      </c>
      <c r="D1793" s="57" t="s">
        <v>897</v>
      </c>
      <c r="E1793" s="55" t="s">
        <v>58</v>
      </c>
      <c r="F1793" s="58">
        <v>1100</v>
      </c>
      <c r="G1793" s="13">
        <v>1105.51</v>
      </c>
      <c r="H1793" s="56">
        <v>0</v>
      </c>
      <c r="I1793" s="13">
        <f t="shared" si="166"/>
        <v>5.5099999999999909</v>
      </c>
      <c r="J1793" s="14">
        <f t="shared" si="158"/>
        <v>0.50090909090909008</v>
      </c>
      <c r="K1793" s="56">
        <v>2.48</v>
      </c>
      <c r="L1793" s="15">
        <f t="shared" si="159"/>
        <v>0</v>
      </c>
      <c r="M1793" s="16">
        <f t="shared" si="160"/>
        <v>223.22976</v>
      </c>
      <c r="N1793" s="17">
        <f t="shared" si="161"/>
        <v>2.48</v>
      </c>
      <c r="O1793" s="17">
        <f t="shared" si="162"/>
        <v>2728</v>
      </c>
      <c r="P1793" s="18">
        <f t="shared" si="163"/>
        <v>245552.736</v>
      </c>
      <c r="R1793" s="66"/>
      <c r="S1793" s="20"/>
      <c r="T1793" s="20"/>
      <c r="U1793" s="20"/>
      <c r="V1793" s="20"/>
      <c r="W1793" s="20"/>
      <c r="X1793" s="20"/>
      <c r="Y1793" s="20"/>
      <c r="Z1793" s="20"/>
      <c r="AA1793" s="20"/>
    </row>
    <row r="1794" spans="1:27" ht="12.75">
      <c r="A1794" s="54"/>
      <c r="B1794" s="10">
        <v>46123</v>
      </c>
      <c r="C1794" s="11">
        <f>VLOOKUP(B:B,'Курс валют'!A:D,4,0)</f>
        <v>90.012</v>
      </c>
      <c r="D1794" s="57" t="s">
        <v>898</v>
      </c>
      <c r="E1794" s="55" t="s">
        <v>58</v>
      </c>
      <c r="F1794" s="58">
        <v>1100</v>
      </c>
      <c r="G1794" s="13">
        <v>1105.51</v>
      </c>
      <c r="H1794" s="56">
        <v>0</v>
      </c>
      <c r="I1794" s="13">
        <f t="shared" si="166"/>
        <v>5.5099999999999909</v>
      </c>
      <c r="J1794" s="14">
        <f t="shared" si="158"/>
        <v>0.50090909090909008</v>
      </c>
      <c r="K1794" s="56">
        <v>2.4900000000000002</v>
      </c>
      <c r="L1794" s="15">
        <f t="shared" si="159"/>
        <v>0</v>
      </c>
      <c r="M1794" s="16">
        <f t="shared" si="160"/>
        <v>224.12988000000004</v>
      </c>
      <c r="N1794" s="17">
        <f t="shared" si="161"/>
        <v>2.4900000000000002</v>
      </c>
      <c r="O1794" s="17">
        <f t="shared" si="162"/>
        <v>2739.0000000000005</v>
      </c>
      <c r="P1794" s="18">
        <f t="shared" si="163"/>
        <v>246542.86800000005</v>
      </c>
      <c r="R1794" s="19"/>
      <c r="S1794" s="20"/>
      <c r="T1794" s="20"/>
      <c r="U1794" s="20"/>
      <c r="V1794" s="20"/>
      <c r="W1794" s="20"/>
      <c r="X1794" s="20"/>
      <c r="Y1794" s="20"/>
      <c r="Z1794" s="20"/>
      <c r="AA1794" s="20"/>
    </row>
    <row r="1795" spans="1:27" ht="12.75">
      <c r="A1795" s="20"/>
      <c r="B1795" s="10">
        <v>46123</v>
      </c>
      <c r="C1795" s="11">
        <f>VLOOKUP(B:B,'Курс валют'!A:D,4,0)</f>
        <v>90.012</v>
      </c>
      <c r="D1795" s="57" t="s">
        <v>899</v>
      </c>
      <c r="E1795" s="55" t="s">
        <v>58</v>
      </c>
      <c r="F1795" s="58">
        <v>1100</v>
      </c>
      <c r="G1795" s="13">
        <v>1105.51</v>
      </c>
      <c r="H1795" s="56">
        <v>0</v>
      </c>
      <c r="I1795" s="13">
        <f t="shared" si="166"/>
        <v>5.5099999999999909</v>
      </c>
      <c r="J1795" s="14">
        <f t="shared" si="158"/>
        <v>0.50090909090909008</v>
      </c>
      <c r="K1795" s="56">
        <v>2.4900000000000002</v>
      </c>
      <c r="L1795" s="15">
        <f t="shared" si="159"/>
        <v>0</v>
      </c>
      <c r="M1795" s="16">
        <f t="shared" si="160"/>
        <v>224.12988000000004</v>
      </c>
      <c r="N1795" s="17">
        <f t="shared" si="161"/>
        <v>2.4900000000000002</v>
      </c>
      <c r="O1795" s="17">
        <f t="shared" si="162"/>
        <v>2739.0000000000005</v>
      </c>
      <c r="P1795" s="18">
        <f t="shared" si="163"/>
        <v>246542.86800000005</v>
      </c>
      <c r="R1795" s="19"/>
      <c r="S1795" s="20"/>
      <c r="T1795" s="20"/>
      <c r="U1795" s="20"/>
      <c r="V1795" s="20"/>
      <c r="W1795" s="20"/>
      <c r="X1795" s="20"/>
      <c r="Y1795" s="20"/>
      <c r="Z1795" s="20"/>
      <c r="AA1795" s="20"/>
    </row>
    <row r="1796" spans="1:27" ht="12.75">
      <c r="A1796" s="20"/>
      <c r="B1796" s="10">
        <v>46123</v>
      </c>
      <c r="C1796" s="11">
        <f>VLOOKUP(B:B,'Курс валют'!A:D,4,0)</f>
        <v>90.012</v>
      </c>
      <c r="D1796" s="57" t="s">
        <v>900</v>
      </c>
      <c r="E1796" s="55" t="s">
        <v>58</v>
      </c>
      <c r="F1796" s="58">
        <v>1100</v>
      </c>
      <c r="G1796" s="13">
        <v>1105.51</v>
      </c>
      <c r="H1796" s="56">
        <v>0</v>
      </c>
      <c r="I1796" s="13">
        <f t="shared" si="166"/>
        <v>5.5099999999999909</v>
      </c>
      <c r="J1796" s="14">
        <f t="shared" si="158"/>
        <v>0.50090909090909008</v>
      </c>
      <c r="K1796" s="56">
        <v>2.4900000000000002</v>
      </c>
      <c r="L1796" s="15">
        <f t="shared" si="159"/>
        <v>0</v>
      </c>
      <c r="M1796" s="16">
        <f t="shared" si="160"/>
        <v>224.12988000000004</v>
      </c>
      <c r="N1796" s="17">
        <f t="shared" si="161"/>
        <v>2.4900000000000002</v>
      </c>
      <c r="O1796" s="17">
        <f t="shared" si="162"/>
        <v>2739.0000000000005</v>
      </c>
      <c r="P1796" s="18">
        <f t="shared" si="163"/>
        <v>246542.86800000005</v>
      </c>
      <c r="R1796" s="19"/>
      <c r="S1796" s="20"/>
      <c r="T1796" s="20"/>
      <c r="U1796" s="20"/>
      <c r="V1796" s="20"/>
      <c r="W1796" s="20"/>
      <c r="X1796" s="20"/>
      <c r="Y1796" s="20"/>
      <c r="Z1796" s="20"/>
      <c r="AA1796" s="20"/>
    </row>
    <row r="1797" spans="1:27" ht="12.75">
      <c r="A1797" s="20"/>
      <c r="B1797" s="10">
        <v>46123</v>
      </c>
      <c r="C1797" s="11">
        <f>VLOOKUP(B:B,'Курс валют'!A:D,4,0)</f>
        <v>90.012</v>
      </c>
      <c r="D1797" s="57" t="s">
        <v>901</v>
      </c>
      <c r="E1797" s="55" t="s">
        <v>58</v>
      </c>
      <c r="F1797" s="58">
        <v>1100</v>
      </c>
      <c r="G1797" s="13">
        <v>1105.51</v>
      </c>
      <c r="H1797" s="56">
        <v>0</v>
      </c>
      <c r="I1797" s="13">
        <f t="shared" si="166"/>
        <v>5.5099999999999909</v>
      </c>
      <c r="J1797" s="14">
        <f t="shared" si="158"/>
        <v>0.50090909090909008</v>
      </c>
      <c r="K1797" s="56">
        <v>2.4900000000000002</v>
      </c>
      <c r="L1797" s="15">
        <f t="shared" si="159"/>
        <v>0</v>
      </c>
      <c r="M1797" s="16">
        <f t="shared" si="160"/>
        <v>224.12988000000004</v>
      </c>
      <c r="N1797" s="17">
        <f t="shared" si="161"/>
        <v>2.4900000000000002</v>
      </c>
      <c r="O1797" s="17">
        <f t="shared" si="162"/>
        <v>2739.0000000000005</v>
      </c>
      <c r="P1797" s="18">
        <f t="shared" si="163"/>
        <v>246542.86800000005</v>
      </c>
      <c r="R1797" s="20"/>
      <c r="S1797" s="20"/>
      <c r="T1797" s="20"/>
      <c r="U1797" s="20"/>
      <c r="V1797" s="20"/>
      <c r="W1797" s="20"/>
      <c r="X1797" s="20"/>
      <c r="Y1797" s="20"/>
      <c r="Z1797" s="20"/>
      <c r="AA1797" s="20"/>
    </row>
    <row r="1798" spans="1:27" ht="12.75">
      <c r="A1798" s="20"/>
      <c r="B1798" s="10">
        <v>46123</v>
      </c>
      <c r="C1798" s="11">
        <f>VLOOKUP(B:B,'Курс валют'!A:D,4,0)</f>
        <v>90.012</v>
      </c>
      <c r="D1798" s="57" t="s">
        <v>902</v>
      </c>
      <c r="E1798" s="55" t="s">
        <v>58</v>
      </c>
      <c r="F1798" s="58">
        <v>1100</v>
      </c>
      <c r="G1798" s="13">
        <v>1105.51</v>
      </c>
      <c r="H1798" s="56">
        <v>0</v>
      </c>
      <c r="I1798" s="13">
        <f t="shared" si="166"/>
        <v>5.5099999999999909</v>
      </c>
      <c r="J1798" s="14">
        <f t="shared" si="158"/>
        <v>0.50090909090909008</v>
      </c>
      <c r="K1798" s="56">
        <v>2.48</v>
      </c>
      <c r="L1798" s="15">
        <f t="shared" si="159"/>
        <v>0</v>
      </c>
      <c r="M1798" s="16">
        <f t="shared" si="160"/>
        <v>223.22976</v>
      </c>
      <c r="N1798" s="17">
        <f t="shared" si="161"/>
        <v>2.48</v>
      </c>
      <c r="O1798" s="17">
        <f t="shared" si="162"/>
        <v>2728</v>
      </c>
      <c r="P1798" s="18">
        <f t="shared" si="163"/>
        <v>245552.736</v>
      </c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</row>
    <row r="1799" spans="1:27" ht="12.75">
      <c r="A1799" s="20"/>
      <c r="B1799" s="10">
        <v>46123</v>
      </c>
      <c r="C1799" s="11">
        <f>VLOOKUP(B:B,'Курс валют'!A:D,4,0)</f>
        <v>90.012</v>
      </c>
      <c r="D1799" s="57" t="s">
        <v>903</v>
      </c>
      <c r="E1799" s="55" t="s">
        <v>58</v>
      </c>
      <c r="F1799" s="58">
        <v>1100</v>
      </c>
      <c r="G1799" s="13">
        <v>1105.51</v>
      </c>
      <c r="H1799" s="56">
        <v>0</v>
      </c>
      <c r="I1799" s="13">
        <f t="shared" si="166"/>
        <v>5.5099999999999909</v>
      </c>
      <c r="J1799" s="14">
        <f t="shared" si="158"/>
        <v>0.50090909090909008</v>
      </c>
      <c r="K1799" s="56">
        <v>2.4900000000000002</v>
      </c>
      <c r="L1799" s="15">
        <f t="shared" si="159"/>
        <v>0</v>
      </c>
      <c r="M1799" s="16">
        <f t="shared" si="160"/>
        <v>224.12988000000004</v>
      </c>
      <c r="N1799" s="17">
        <f t="shared" si="161"/>
        <v>2.4900000000000002</v>
      </c>
      <c r="O1799" s="17">
        <f t="shared" si="162"/>
        <v>2739.0000000000005</v>
      </c>
      <c r="P1799" s="18">
        <f t="shared" si="163"/>
        <v>246542.86800000005</v>
      </c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</row>
    <row r="1800" spans="1:27" ht="12.75">
      <c r="A1800" s="20"/>
      <c r="B1800" s="10">
        <v>46124</v>
      </c>
      <c r="C1800" s="11">
        <f>VLOOKUP(B:B,'Курс валют'!A:D,4,0)</f>
        <v>90.012</v>
      </c>
      <c r="D1800" s="57" t="s">
        <v>904</v>
      </c>
      <c r="E1800" s="50" t="s">
        <v>125</v>
      </c>
      <c r="F1800" s="58">
        <v>2200</v>
      </c>
      <c r="G1800" s="13">
        <v>2225.52</v>
      </c>
      <c r="H1800" s="56">
        <v>0</v>
      </c>
      <c r="I1800" s="13">
        <f t="shared" si="166"/>
        <v>25.519999999999982</v>
      </c>
      <c r="J1800" s="14">
        <f t="shared" si="158"/>
        <v>1.1599999999999993</v>
      </c>
      <c r="K1800" s="56">
        <v>1.88</v>
      </c>
      <c r="L1800" s="15">
        <f t="shared" si="159"/>
        <v>0</v>
      </c>
      <c r="M1800" s="16">
        <f t="shared" si="160"/>
        <v>169.22255999999999</v>
      </c>
      <c r="N1800" s="17">
        <f t="shared" si="161"/>
        <v>1.88</v>
      </c>
      <c r="O1800" s="17">
        <f t="shared" si="162"/>
        <v>4136</v>
      </c>
      <c r="P1800" s="18">
        <f t="shared" si="163"/>
        <v>372289.63199999998</v>
      </c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</row>
    <row r="1801" spans="1:27" ht="12.75">
      <c r="A1801" s="20"/>
      <c r="B1801" s="10">
        <v>46124</v>
      </c>
      <c r="C1801" s="11">
        <f>VLOOKUP(B:B,'Курс валют'!A:D,4,0)</f>
        <v>90.012</v>
      </c>
      <c r="D1801" s="57" t="s">
        <v>905</v>
      </c>
      <c r="E1801" s="50" t="s">
        <v>104</v>
      </c>
      <c r="F1801" s="58">
        <v>2160</v>
      </c>
      <c r="G1801" s="13">
        <v>2186.8000000000002</v>
      </c>
      <c r="H1801" s="56">
        <v>0</v>
      </c>
      <c r="I1801" s="13">
        <f t="shared" si="166"/>
        <v>26.800000000000182</v>
      </c>
      <c r="J1801" s="14">
        <f t="shared" si="158"/>
        <v>1.2407407407407491</v>
      </c>
      <c r="K1801" s="56">
        <v>2.65</v>
      </c>
      <c r="L1801" s="15">
        <f t="shared" si="159"/>
        <v>0</v>
      </c>
      <c r="M1801" s="16">
        <f t="shared" si="160"/>
        <v>238.5318</v>
      </c>
      <c r="N1801" s="17">
        <f t="shared" si="161"/>
        <v>2.65</v>
      </c>
      <c r="O1801" s="17">
        <f t="shared" si="162"/>
        <v>5724</v>
      </c>
      <c r="P1801" s="18">
        <f t="shared" si="163"/>
        <v>515228.68800000002</v>
      </c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</row>
    <row r="1802" spans="1:27" ht="12.75">
      <c r="A1802" s="20"/>
      <c r="B1802" s="10">
        <v>46124</v>
      </c>
      <c r="C1802" s="11">
        <f>VLOOKUP(B:B,'Курс валют'!A:D,4,0)</f>
        <v>90.012</v>
      </c>
      <c r="D1802" s="57" t="s">
        <v>906</v>
      </c>
      <c r="E1802" s="50" t="s">
        <v>65</v>
      </c>
      <c r="F1802" s="58">
        <v>800</v>
      </c>
      <c r="G1802" s="13">
        <v>804.99</v>
      </c>
      <c r="H1802" s="56">
        <v>0</v>
      </c>
      <c r="I1802" s="13">
        <f t="shared" si="166"/>
        <v>4.9900000000000091</v>
      </c>
      <c r="J1802" s="14">
        <f t="shared" si="158"/>
        <v>0.62375000000000114</v>
      </c>
      <c r="K1802" s="56">
        <v>1.91</v>
      </c>
      <c r="L1802" s="15">
        <f t="shared" si="159"/>
        <v>0</v>
      </c>
      <c r="M1802" s="16">
        <f t="shared" si="160"/>
        <v>171.92292</v>
      </c>
      <c r="N1802" s="17">
        <f t="shared" si="161"/>
        <v>1.91</v>
      </c>
      <c r="O1802" s="17">
        <f t="shared" si="162"/>
        <v>1528</v>
      </c>
      <c r="P1802" s="18">
        <f t="shared" si="163"/>
        <v>137538.33600000001</v>
      </c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</row>
    <row r="1803" spans="1:27" ht="12.75">
      <c r="A1803" s="20"/>
      <c r="B1803" s="10">
        <v>46124</v>
      </c>
      <c r="C1803" s="11">
        <f>VLOOKUP(B:B,'Курс валют'!A:D,4,0)</f>
        <v>90.012</v>
      </c>
      <c r="D1803" s="57" t="s">
        <v>907</v>
      </c>
      <c r="E1803" s="50" t="s">
        <v>65</v>
      </c>
      <c r="F1803" s="58">
        <v>800</v>
      </c>
      <c r="G1803" s="13">
        <v>804.99</v>
      </c>
      <c r="H1803" s="56">
        <v>0</v>
      </c>
      <c r="I1803" s="13">
        <f t="shared" si="166"/>
        <v>4.9900000000000091</v>
      </c>
      <c r="J1803" s="14">
        <f t="shared" si="158"/>
        <v>0.62375000000000114</v>
      </c>
      <c r="K1803" s="56">
        <v>1.91</v>
      </c>
      <c r="L1803" s="15">
        <f t="shared" si="159"/>
        <v>0</v>
      </c>
      <c r="M1803" s="16">
        <f t="shared" si="160"/>
        <v>171.92292</v>
      </c>
      <c r="N1803" s="17">
        <f t="shared" si="161"/>
        <v>1.91</v>
      </c>
      <c r="O1803" s="17">
        <f t="shared" si="162"/>
        <v>1528</v>
      </c>
      <c r="P1803" s="18">
        <f t="shared" si="163"/>
        <v>137538.33600000001</v>
      </c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</row>
    <row r="1804" spans="1:27" ht="12.75">
      <c r="A1804" s="20"/>
      <c r="B1804" s="10">
        <v>46124</v>
      </c>
      <c r="C1804" s="11">
        <f>VLOOKUP(B:B,'Курс валют'!A:D,4,0)</f>
        <v>90.012</v>
      </c>
      <c r="D1804" s="57" t="s">
        <v>908</v>
      </c>
      <c r="E1804" s="50" t="s">
        <v>65</v>
      </c>
      <c r="F1804" s="58">
        <v>800</v>
      </c>
      <c r="G1804" s="13">
        <v>804.99</v>
      </c>
      <c r="H1804" s="56">
        <v>0</v>
      </c>
      <c r="I1804" s="13">
        <f t="shared" si="166"/>
        <v>4.9900000000000091</v>
      </c>
      <c r="J1804" s="14">
        <f t="shared" si="158"/>
        <v>0.62375000000000114</v>
      </c>
      <c r="K1804" s="56">
        <v>1.91</v>
      </c>
      <c r="L1804" s="15">
        <f t="shared" si="159"/>
        <v>0</v>
      </c>
      <c r="M1804" s="16">
        <f t="shared" si="160"/>
        <v>171.92292</v>
      </c>
      <c r="N1804" s="17">
        <f t="shared" si="161"/>
        <v>1.91</v>
      </c>
      <c r="O1804" s="17">
        <f t="shared" si="162"/>
        <v>1528</v>
      </c>
      <c r="P1804" s="18">
        <f t="shared" si="163"/>
        <v>137538.33600000001</v>
      </c>
      <c r="R1804" s="19"/>
      <c r="S1804" s="20"/>
      <c r="T1804" s="20"/>
      <c r="U1804" s="20"/>
      <c r="V1804" s="20"/>
      <c r="W1804" s="20"/>
      <c r="X1804" s="20"/>
      <c r="Y1804" s="20"/>
      <c r="Z1804" s="20"/>
      <c r="AA1804" s="20"/>
    </row>
    <row r="1805" spans="1:27" ht="12.75">
      <c r="A1805" s="20"/>
      <c r="B1805" s="10">
        <v>46124</v>
      </c>
      <c r="C1805" s="11">
        <f>VLOOKUP(B:B,'Курс валют'!A:D,4,0)</f>
        <v>90.012</v>
      </c>
      <c r="D1805" s="57" t="s">
        <v>909</v>
      </c>
      <c r="E1805" s="50" t="s">
        <v>65</v>
      </c>
      <c r="F1805" s="58">
        <v>800</v>
      </c>
      <c r="G1805" s="13">
        <v>804.99</v>
      </c>
      <c r="H1805" s="56">
        <v>0</v>
      </c>
      <c r="I1805" s="13">
        <f t="shared" si="166"/>
        <v>4.9900000000000091</v>
      </c>
      <c r="J1805" s="14">
        <f t="shared" si="158"/>
        <v>0.62375000000000114</v>
      </c>
      <c r="K1805" s="56">
        <v>1.91</v>
      </c>
      <c r="L1805" s="15">
        <f t="shared" si="159"/>
        <v>0</v>
      </c>
      <c r="M1805" s="16">
        <f t="shared" si="160"/>
        <v>171.92292</v>
      </c>
      <c r="N1805" s="17">
        <f t="shared" si="161"/>
        <v>1.91</v>
      </c>
      <c r="O1805" s="17">
        <f t="shared" si="162"/>
        <v>1528</v>
      </c>
      <c r="P1805" s="18">
        <f t="shared" si="163"/>
        <v>137538.33600000001</v>
      </c>
      <c r="R1805" s="19"/>
      <c r="S1805" s="20"/>
      <c r="T1805" s="20"/>
      <c r="U1805" s="20"/>
      <c r="V1805" s="20"/>
      <c r="W1805" s="20"/>
      <c r="X1805" s="20"/>
      <c r="Y1805" s="20"/>
      <c r="Z1805" s="20"/>
      <c r="AA1805" s="20"/>
    </row>
    <row r="1806" spans="1:27" ht="12.75">
      <c r="A1806" s="20"/>
      <c r="B1806" s="10">
        <v>46124</v>
      </c>
      <c r="C1806" s="11">
        <f>VLOOKUP(B:B,'Курс валют'!A:D,4,0)</f>
        <v>90.012</v>
      </c>
      <c r="D1806" s="57" t="s">
        <v>910</v>
      </c>
      <c r="E1806" s="50" t="s">
        <v>65</v>
      </c>
      <c r="F1806" s="58">
        <v>800</v>
      </c>
      <c r="G1806" s="13">
        <v>804.99</v>
      </c>
      <c r="H1806" s="56">
        <v>0</v>
      </c>
      <c r="I1806" s="13">
        <f t="shared" si="166"/>
        <v>4.9900000000000091</v>
      </c>
      <c r="J1806" s="14">
        <f t="shared" si="158"/>
        <v>0.62375000000000114</v>
      </c>
      <c r="K1806" s="56">
        <v>1.91</v>
      </c>
      <c r="L1806" s="15">
        <f t="shared" si="159"/>
        <v>0</v>
      </c>
      <c r="M1806" s="16">
        <f t="shared" si="160"/>
        <v>171.92292</v>
      </c>
      <c r="N1806" s="17">
        <f t="shared" si="161"/>
        <v>1.91</v>
      </c>
      <c r="O1806" s="17">
        <f t="shared" si="162"/>
        <v>1528</v>
      </c>
      <c r="P1806" s="18">
        <f t="shared" si="163"/>
        <v>137538.33600000001</v>
      </c>
      <c r="R1806" s="20"/>
      <c r="S1806" s="20"/>
      <c r="T1806" s="20"/>
      <c r="U1806" s="20"/>
      <c r="V1806" s="20"/>
      <c r="W1806" s="20"/>
      <c r="X1806" s="20"/>
      <c r="Y1806" s="20"/>
      <c r="Z1806" s="20"/>
      <c r="AA1806" s="20"/>
    </row>
    <row r="1807" spans="1:27" ht="12.75">
      <c r="A1807" s="20"/>
      <c r="B1807" s="10">
        <v>46124</v>
      </c>
      <c r="C1807" s="11">
        <f>VLOOKUP(B:B,'Курс валют'!A:D,4,0)</f>
        <v>90.012</v>
      </c>
      <c r="D1807" s="57" t="s">
        <v>911</v>
      </c>
      <c r="E1807" s="50" t="s">
        <v>65</v>
      </c>
      <c r="F1807" s="58">
        <v>800</v>
      </c>
      <c r="G1807" s="13">
        <v>804.99</v>
      </c>
      <c r="H1807" s="56">
        <v>0</v>
      </c>
      <c r="I1807" s="13">
        <f t="shared" si="166"/>
        <v>4.9900000000000091</v>
      </c>
      <c r="J1807" s="14">
        <f t="shared" si="158"/>
        <v>0.62375000000000114</v>
      </c>
      <c r="K1807" s="56">
        <v>1.91</v>
      </c>
      <c r="L1807" s="15">
        <f t="shared" si="159"/>
        <v>0</v>
      </c>
      <c r="M1807" s="16">
        <f t="shared" si="160"/>
        <v>171.92292</v>
      </c>
      <c r="N1807" s="17">
        <f t="shared" si="161"/>
        <v>1.91</v>
      </c>
      <c r="O1807" s="17">
        <f t="shared" si="162"/>
        <v>1528</v>
      </c>
      <c r="P1807" s="18">
        <f t="shared" si="163"/>
        <v>137538.33600000001</v>
      </c>
      <c r="R1807" s="20"/>
      <c r="S1807" s="20"/>
      <c r="T1807" s="20"/>
      <c r="U1807" s="20"/>
      <c r="V1807" s="20"/>
      <c r="W1807" s="20"/>
      <c r="X1807" s="20"/>
      <c r="Y1807" s="20"/>
      <c r="Z1807" s="20"/>
      <c r="AA1807" s="20"/>
    </row>
    <row r="1808" spans="1:27" ht="12.75">
      <c r="A1808" s="20"/>
      <c r="B1808" s="10">
        <v>46124</v>
      </c>
      <c r="C1808" s="11">
        <f>VLOOKUP(B:B,'Курс валют'!A:D,4,0)</f>
        <v>90.012</v>
      </c>
      <c r="D1808" s="57" t="s">
        <v>912</v>
      </c>
      <c r="E1808" s="50" t="s">
        <v>65</v>
      </c>
      <c r="F1808" s="58">
        <v>800</v>
      </c>
      <c r="G1808" s="13">
        <v>804.99</v>
      </c>
      <c r="H1808" s="56">
        <v>0</v>
      </c>
      <c r="I1808" s="13">
        <f t="shared" si="166"/>
        <v>4.9900000000000091</v>
      </c>
      <c r="J1808" s="14">
        <f t="shared" si="158"/>
        <v>0.62375000000000114</v>
      </c>
      <c r="K1808" s="56">
        <v>1.91</v>
      </c>
      <c r="L1808" s="15">
        <f t="shared" si="159"/>
        <v>0</v>
      </c>
      <c r="M1808" s="16">
        <f t="shared" si="160"/>
        <v>171.92292</v>
      </c>
      <c r="N1808" s="17">
        <f t="shared" si="161"/>
        <v>1.91</v>
      </c>
      <c r="O1808" s="17">
        <f t="shared" si="162"/>
        <v>1528</v>
      </c>
      <c r="P1808" s="18">
        <f t="shared" si="163"/>
        <v>137538.33600000001</v>
      </c>
      <c r="R1808" s="20"/>
      <c r="S1808" s="20"/>
      <c r="T1808" s="20"/>
      <c r="U1808" s="20"/>
      <c r="V1808" s="20"/>
      <c r="W1808" s="20"/>
      <c r="X1808" s="20"/>
      <c r="Y1808" s="20"/>
      <c r="Z1808" s="20"/>
      <c r="AA1808" s="20"/>
    </row>
    <row r="1809" spans="1:27" ht="12.75">
      <c r="A1809" s="20"/>
      <c r="B1809" s="10">
        <v>46124</v>
      </c>
      <c r="C1809" s="11">
        <f>VLOOKUP(B:B,'Курс валют'!A:D,4,0)</f>
        <v>90.012</v>
      </c>
      <c r="D1809" s="57" t="s">
        <v>913</v>
      </c>
      <c r="E1809" s="50" t="s">
        <v>65</v>
      </c>
      <c r="F1809" s="58">
        <v>800</v>
      </c>
      <c r="G1809" s="13">
        <v>804.99</v>
      </c>
      <c r="H1809" s="56">
        <v>0</v>
      </c>
      <c r="I1809" s="13">
        <f t="shared" si="166"/>
        <v>4.9900000000000091</v>
      </c>
      <c r="J1809" s="14">
        <f t="shared" si="158"/>
        <v>0.62375000000000114</v>
      </c>
      <c r="K1809" s="56">
        <v>1.91</v>
      </c>
      <c r="L1809" s="15">
        <f t="shared" si="159"/>
        <v>0</v>
      </c>
      <c r="M1809" s="16">
        <f t="shared" si="160"/>
        <v>171.92292</v>
      </c>
      <c r="N1809" s="17">
        <f t="shared" si="161"/>
        <v>1.91</v>
      </c>
      <c r="O1809" s="17">
        <f t="shared" si="162"/>
        <v>1528</v>
      </c>
      <c r="P1809" s="18">
        <f t="shared" si="163"/>
        <v>137538.33600000001</v>
      </c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</row>
    <row r="1810" spans="1:27" ht="12.75">
      <c r="A1810" s="20"/>
      <c r="B1810" s="10">
        <v>46124</v>
      </c>
      <c r="C1810" s="11">
        <f>VLOOKUP(B:B,'Курс валют'!A:D,4,0)</f>
        <v>90.012</v>
      </c>
      <c r="D1810" s="57" t="s">
        <v>914</v>
      </c>
      <c r="E1810" s="50" t="s">
        <v>65</v>
      </c>
      <c r="F1810" s="58">
        <v>800</v>
      </c>
      <c r="G1810" s="13">
        <v>804.99</v>
      </c>
      <c r="H1810" s="56">
        <v>0</v>
      </c>
      <c r="I1810" s="13">
        <f t="shared" si="166"/>
        <v>4.9900000000000091</v>
      </c>
      <c r="J1810" s="14">
        <f t="shared" si="158"/>
        <v>0.62375000000000114</v>
      </c>
      <c r="K1810" s="56">
        <v>1.91</v>
      </c>
      <c r="L1810" s="15">
        <f t="shared" si="159"/>
        <v>0</v>
      </c>
      <c r="M1810" s="16">
        <f t="shared" si="160"/>
        <v>171.92292</v>
      </c>
      <c r="N1810" s="17">
        <f t="shared" si="161"/>
        <v>1.91</v>
      </c>
      <c r="O1810" s="17">
        <f t="shared" si="162"/>
        <v>1528</v>
      </c>
      <c r="P1810" s="18">
        <f t="shared" si="163"/>
        <v>137538.33600000001</v>
      </c>
      <c r="R1810" s="20"/>
      <c r="S1810" s="20"/>
      <c r="T1810" s="20"/>
      <c r="U1810" s="20"/>
      <c r="V1810" s="20"/>
      <c r="W1810" s="20"/>
      <c r="X1810" s="20"/>
      <c r="Y1810" s="20"/>
      <c r="Z1810" s="20"/>
      <c r="AA1810" s="20"/>
    </row>
    <row r="1811" spans="1:27" ht="12.75">
      <c r="A1811" s="20"/>
      <c r="B1811" s="10">
        <v>46124</v>
      </c>
      <c r="C1811" s="11">
        <f>VLOOKUP(B:B,'Курс валют'!A:D,4,0)</f>
        <v>90.012</v>
      </c>
      <c r="D1811" s="57" t="s">
        <v>915</v>
      </c>
      <c r="E1811" s="50" t="s">
        <v>65</v>
      </c>
      <c r="F1811" s="58">
        <v>800</v>
      </c>
      <c r="G1811" s="13">
        <v>804.99</v>
      </c>
      <c r="H1811" s="56">
        <v>0</v>
      </c>
      <c r="I1811" s="13">
        <f t="shared" si="166"/>
        <v>4.9900000000000091</v>
      </c>
      <c r="J1811" s="14">
        <f t="shared" si="158"/>
        <v>0.62375000000000114</v>
      </c>
      <c r="K1811" s="56">
        <v>1.91</v>
      </c>
      <c r="L1811" s="15">
        <f t="shared" si="159"/>
        <v>0</v>
      </c>
      <c r="M1811" s="16">
        <f t="shared" si="160"/>
        <v>171.92292</v>
      </c>
      <c r="N1811" s="17">
        <f t="shared" si="161"/>
        <v>1.91</v>
      </c>
      <c r="O1811" s="17">
        <f t="shared" si="162"/>
        <v>1528</v>
      </c>
      <c r="P1811" s="18">
        <f t="shared" si="163"/>
        <v>137538.33600000001</v>
      </c>
      <c r="R1811" s="20"/>
      <c r="S1811" s="20"/>
      <c r="T1811" s="20"/>
      <c r="U1811" s="20"/>
      <c r="V1811" s="20"/>
      <c r="W1811" s="20"/>
      <c r="X1811" s="20"/>
      <c r="Y1811" s="20"/>
      <c r="Z1811" s="20"/>
      <c r="AA1811" s="20"/>
    </row>
    <row r="1812" spans="1:27" ht="12.75">
      <c r="A1812" s="20"/>
      <c r="B1812" s="10">
        <v>46125</v>
      </c>
      <c r="C1812" s="11">
        <f>VLOOKUP(B:B,'Курс валют'!A:D,4,0)</f>
        <v>90.012</v>
      </c>
      <c r="D1812" s="57" t="s">
        <v>916</v>
      </c>
      <c r="E1812" s="50" t="s">
        <v>68</v>
      </c>
      <c r="F1812" s="58">
        <v>800</v>
      </c>
      <c r="G1812" s="13">
        <v>803.93</v>
      </c>
      <c r="H1812" s="56">
        <v>0</v>
      </c>
      <c r="I1812" s="13">
        <f t="shared" si="166"/>
        <v>3.92999999999995</v>
      </c>
      <c r="J1812" s="14">
        <f t="shared" si="158"/>
        <v>0.49124999999999375</v>
      </c>
      <c r="K1812" s="56">
        <v>1.86</v>
      </c>
      <c r="L1812" s="15">
        <f t="shared" si="159"/>
        <v>0</v>
      </c>
      <c r="M1812" s="16">
        <f t="shared" si="160"/>
        <v>167.42232000000001</v>
      </c>
      <c r="N1812" s="17">
        <f t="shared" si="161"/>
        <v>1.86</v>
      </c>
      <c r="O1812" s="17">
        <f t="shared" si="162"/>
        <v>1488</v>
      </c>
      <c r="P1812" s="18">
        <f t="shared" si="163"/>
        <v>133937.856</v>
      </c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</row>
    <row r="1813" spans="1:27" ht="12.75">
      <c r="A1813" s="20"/>
      <c r="B1813" s="10">
        <v>46125</v>
      </c>
      <c r="C1813" s="11">
        <f>VLOOKUP(B:B,'Курс валют'!A:D,4,0)</f>
        <v>90.012</v>
      </c>
      <c r="D1813" s="57" t="s">
        <v>917</v>
      </c>
      <c r="E1813" s="50" t="s">
        <v>68</v>
      </c>
      <c r="F1813" s="58">
        <v>800</v>
      </c>
      <c r="G1813" s="13">
        <v>803.93</v>
      </c>
      <c r="H1813" s="56">
        <v>0</v>
      </c>
      <c r="I1813" s="13">
        <f t="shared" si="166"/>
        <v>3.92999999999995</v>
      </c>
      <c r="J1813" s="14">
        <f t="shared" si="158"/>
        <v>0.49124999999999375</v>
      </c>
      <c r="K1813" s="56">
        <v>1.86</v>
      </c>
      <c r="L1813" s="15">
        <f t="shared" si="159"/>
        <v>0</v>
      </c>
      <c r="M1813" s="16">
        <f t="shared" si="160"/>
        <v>167.42232000000001</v>
      </c>
      <c r="N1813" s="17">
        <f t="shared" si="161"/>
        <v>1.86</v>
      </c>
      <c r="O1813" s="17">
        <f t="shared" si="162"/>
        <v>1488</v>
      </c>
      <c r="P1813" s="18">
        <f t="shared" si="163"/>
        <v>133937.856</v>
      </c>
      <c r="R1813" s="20"/>
      <c r="S1813" s="20"/>
      <c r="T1813" s="20"/>
      <c r="U1813" s="20"/>
      <c r="V1813" s="20"/>
      <c r="W1813" s="20"/>
      <c r="X1813" s="20"/>
      <c r="Y1813" s="20"/>
      <c r="Z1813" s="20"/>
      <c r="AA1813" s="20"/>
    </row>
    <row r="1814" spans="1:27" ht="12.75">
      <c r="A1814" s="20"/>
      <c r="B1814" s="10">
        <v>46125</v>
      </c>
      <c r="C1814" s="11">
        <f>VLOOKUP(B:B,'Курс валют'!A:D,4,0)</f>
        <v>90.012</v>
      </c>
      <c r="D1814" s="57" t="s">
        <v>918</v>
      </c>
      <c r="E1814" s="50" t="s">
        <v>68</v>
      </c>
      <c r="F1814" s="58">
        <v>800</v>
      </c>
      <c r="G1814" s="13">
        <v>803.93</v>
      </c>
      <c r="H1814" s="56">
        <v>0</v>
      </c>
      <c r="I1814" s="13">
        <f t="shared" si="166"/>
        <v>3.92999999999995</v>
      </c>
      <c r="J1814" s="14">
        <f t="shared" si="158"/>
        <v>0.49124999999999375</v>
      </c>
      <c r="K1814" s="56">
        <v>1.86</v>
      </c>
      <c r="L1814" s="15">
        <f t="shared" si="159"/>
        <v>0</v>
      </c>
      <c r="M1814" s="16">
        <f t="shared" si="160"/>
        <v>167.42232000000001</v>
      </c>
      <c r="N1814" s="17">
        <f t="shared" si="161"/>
        <v>1.86</v>
      </c>
      <c r="O1814" s="17">
        <f t="shared" si="162"/>
        <v>1488</v>
      </c>
      <c r="P1814" s="18">
        <f t="shared" si="163"/>
        <v>133937.856</v>
      </c>
      <c r="R1814" s="20"/>
      <c r="S1814" s="20"/>
      <c r="T1814" s="20"/>
      <c r="U1814" s="20"/>
      <c r="V1814" s="20"/>
      <c r="W1814" s="20"/>
      <c r="X1814" s="20"/>
      <c r="Y1814" s="20"/>
      <c r="Z1814" s="20"/>
      <c r="AA1814" s="20"/>
    </row>
    <row r="1815" spans="1:27" ht="12.75">
      <c r="A1815" s="20"/>
      <c r="B1815" s="10">
        <v>46125</v>
      </c>
      <c r="C1815" s="11">
        <f>VLOOKUP(B:B,'Курс валют'!A:D,4,0)</f>
        <v>90.012</v>
      </c>
      <c r="D1815" s="57" t="s">
        <v>919</v>
      </c>
      <c r="E1815" s="50" t="s">
        <v>68</v>
      </c>
      <c r="F1815" s="58">
        <v>800</v>
      </c>
      <c r="G1815" s="13">
        <v>803.93</v>
      </c>
      <c r="H1815" s="56">
        <v>0</v>
      </c>
      <c r="I1815" s="13">
        <f t="shared" si="166"/>
        <v>3.92999999999995</v>
      </c>
      <c r="J1815" s="14">
        <f t="shared" si="158"/>
        <v>0.49124999999999375</v>
      </c>
      <c r="K1815" s="56">
        <v>1.86</v>
      </c>
      <c r="L1815" s="15">
        <f t="shared" si="159"/>
        <v>0</v>
      </c>
      <c r="M1815" s="16">
        <f t="shared" si="160"/>
        <v>167.42232000000001</v>
      </c>
      <c r="N1815" s="17">
        <f t="shared" si="161"/>
        <v>1.86</v>
      </c>
      <c r="O1815" s="17">
        <f t="shared" si="162"/>
        <v>1488</v>
      </c>
      <c r="P1815" s="18">
        <f t="shared" si="163"/>
        <v>133937.856</v>
      </c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</row>
    <row r="1816" spans="1:27" ht="12.75">
      <c r="A1816" s="20"/>
      <c r="B1816" s="10">
        <v>46125</v>
      </c>
      <c r="C1816" s="11">
        <f>VLOOKUP(B:B,'Курс валют'!A:D,4,0)</f>
        <v>90.012</v>
      </c>
      <c r="D1816" s="57" t="s">
        <v>920</v>
      </c>
      <c r="E1816" s="50" t="s">
        <v>68</v>
      </c>
      <c r="F1816" s="58">
        <v>800</v>
      </c>
      <c r="G1816" s="13">
        <v>803.93</v>
      </c>
      <c r="H1816" s="56">
        <v>0</v>
      </c>
      <c r="I1816" s="13">
        <f t="shared" si="166"/>
        <v>3.92999999999995</v>
      </c>
      <c r="J1816" s="14">
        <f t="shared" si="158"/>
        <v>0.49124999999999375</v>
      </c>
      <c r="K1816" s="56">
        <v>1.86</v>
      </c>
      <c r="L1816" s="15">
        <f t="shared" si="159"/>
        <v>0</v>
      </c>
      <c r="M1816" s="16">
        <f t="shared" si="160"/>
        <v>167.42232000000001</v>
      </c>
      <c r="N1816" s="17">
        <f t="shared" si="161"/>
        <v>1.86</v>
      </c>
      <c r="O1816" s="17">
        <f t="shared" si="162"/>
        <v>1488</v>
      </c>
      <c r="P1816" s="18">
        <f t="shared" si="163"/>
        <v>133937.856</v>
      </c>
      <c r="R1816" s="19"/>
      <c r="S1816" s="20"/>
      <c r="T1816" s="20"/>
      <c r="U1816" s="20"/>
      <c r="V1816" s="20"/>
      <c r="W1816" s="20"/>
      <c r="X1816" s="20"/>
      <c r="Y1816" s="20"/>
      <c r="Z1816" s="20"/>
      <c r="AA1816" s="20"/>
    </row>
    <row r="1817" spans="1:27" ht="12.75">
      <c r="A1817" s="20"/>
      <c r="B1817" s="10">
        <v>46125</v>
      </c>
      <c r="C1817" s="11">
        <f>VLOOKUP(B:B,'Курс валют'!A:D,4,0)</f>
        <v>90.012</v>
      </c>
      <c r="D1817" s="57" t="s">
        <v>921</v>
      </c>
      <c r="E1817" s="50" t="s">
        <v>104</v>
      </c>
      <c r="F1817" s="58">
        <v>2160</v>
      </c>
      <c r="G1817" s="13">
        <v>2197.8000000000002</v>
      </c>
      <c r="H1817" s="56">
        <v>0</v>
      </c>
      <c r="I1817" s="13">
        <f t="shared" si="166"/>
        <v>37.800000000000182</v>
      </c>
      <c r="J1817" s="14">
        <f t="shared" si="158"/>
        <v>1.7500000000000084</v>
      </c>
      <c r="K1817" s="56">
        <v>2.64</v>
      </c>
      <c r="L1817" s="15">
        <f t="shared" si="159"/>
        <v>0</v>
      </c>
      <c r="M1817" s="16">
        <f t="shared" si="160"/>
        <v>237.63168000000002</v>
      </c>
      <c r="N1817" s="17">
        <f t="shared" si="161"/>
        <v>2.64</v>
      </c>
      <c r="O1817" s="17">
        <f t="shared" si="162"/>
        <v>5702.4000000000005</v>
      </c>
      <c r="P1817" s="18">
        <f t="shared" si="163"/>
        <v>513284.42880000005</v>
      </c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</row>
    <row r="1818" spans="1:27" ht="12.75">
      <c r="A1818" s="20"/>
      <c r="B1818" s="10">
        <v>46125</v>
      </c>
      <c r="C1818" s="11">
        <f>VLOOKUP(B:B,'Курс валют'!A:D,4,0)</f>
        <v>90.012</v>
      </c>
      <c r="D1818" s="57" t="s">
        <v>922</v>
      </c>
      <c r="E1818" s="50" t="s">
        <v>125</v>
      </c>
      <c r="F1818" s="58">
        <v>2200</v>
      </c>
      <c r="G1818" s="13">
        <v>2225.52</v>
      </c>
      <c r="H1818" s="56">
        <v>0</v>
      </c>
      <c r="I1818" s="13">
        <f t="shared" si="166"/>
        <v>25.519999999999982</v>
      </c>
      <c r="J1818" s="14">
        <f t="shared" si="158"/>
        <v>1.1599999999999993</v>
      </c>
      <c r="K1818" s="56">
        <v>1.8</v>
      </c>
      <c r="L1818" s="15">
        <f t="shared" si="159"/>
        <v>0</v>
      </c>
      <c r="M1818" s="16">
        <f t="shared" si="160"/>
        <v>162.02160000000001</v>
      </c>
      <c r="N1818" s="17">
        <f t="shared" si="161"/>
        <v>1.8</v>
      </c>
      <c r="O1818" s="17">
        <f t="shared" si="162"/>
        <v>3960</v>
      </c>
      <c r="P1818" s="18">
        <f t="shared" si="163"/>
        <v>356447.52</v>
      </c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</row>
    <row r="1819" spans="1:27" ht="12.75">
      <c r="A1819" s="20"/>
      <c r="B1819" s="10">
        <v>46125</v>
      </c>
      <c r="C1819" s="11">
        <f>VLOOKUP(B:B,'Курс валют'!A:D,4,0)</f>
        <v>90.012</v>
      </c>
      <c r="D1819" s="57" t="s">
        <v>923</v>
      </c>
      <c r="E1819" s="50" t="s">
        <v>95</v>
      </c>
      <c r="F1819" s="58">
        <v>1620</v>
      </c>
      <c r="G1819" s="13">
        <v>1622.9</v>
      </c>
      <c r="H1819" s="56">
        <v>0</v>
      </c>
      <c r="I1819" s="13">
        <f t="shared" si="166"/>
        <v>2.9000000000000909</v>
      </c>
      <c r="J1819" s="14">
        <f t="shared" si="158"/>
        <v>0.17901234567901797</v>
      </c>
      <c r="K1819" s="56">
        <v>1.98</v>
      </c>
      <c r="L1819" s="15">
        <f t="shared" si="159"/>
        <v>0</v>
      </c>
      <c r="M1819" s="16">
        <f t="shared" si="160"/>
        <v>178.22376</v>
      </c>
      <c r="N1819" s="17">
        <f t="shared" si="161"/>
        <v>1.98</v>
      </c>
      <c r="O1819" s="17">
        <f t="shared" si="162"/>
        <v>3207.6</v>
      </c>
      <c r="P1819" s="18">
        <f t="shared" si="163"/>
        <v>288722.49119999999</v>
      </c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</row>
    <row r="1820" spans="1:27" ht="12.75">
      <c r="A1820" s="20"/>
      <c r="B1820" s="10">
        <v>46126</v>
      </c>
      <c r="C1820" s="11">
        <f>VLOOKUP(B:B,'Курс валют'!A:D,4,0)</f>
        <v>89.137299999999996</v>
      </c>
      <c r="D1820" s="57" t="s">
        <v>924</v>
      </c>
      <c r="E1820" s="50" t="s">
        <v>58</v>
      </c>
      <c r="F1820" s="58">
        <v>1100</v>
      </c>
      <c r="G1820" s="13">
        <v>1105.51</v>
      </c>
      <c r="H1820" s="56">
        <v>0</v>
      </c>
      <c r="I1820" s="13">
        <f t="shared" si="166"/>
        <v>5.5099999999999909</v>
      </c>
      <c r="J1820" s="14">
        <f t="shared" si="158"/>
        <v>0.50090909090909008</v>
      </c>
      <c r="K1820" s="56">
        <v>2.42</v>
      </c>
      <c r="L1820" s="15">
        <f t="shared" si="159"/>
        <v>0</v>
      </c>
      <c r="M1820" s="16">
        <f t="shared" si="160"/>
        <v>215.712266</v>
      </c>
      <c r="N1820" s="17">
        <f t="shared" si="161"/>
        <v>2.42</v>
      </c>
      <c r="O1820" s="17">
        <f t="shared" si="162"/>
        <v>2662</v>
      </c>
      <c r="P1820" s="18">
        <f t="shared" si="163"/>
        <v>237283.4926</v>
      </c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</row>
    <row r="1821" spans="1:27" ht="12.75">
      <c r="A1821" s="20"/>
      <c r="B1821" s="10">
        <v>46126</v>
      </c>
      <c r="C1821" s="11">
        <f>VLOOKUP(B:B,'Курс валют'!A:D,4,0)</f>
        <v>89.137299999999996</v>
      </c>
      <c r="D1821" s="57" t="s">
        <v>925</v>
      </c>
      <c r="E1821" s="50" t="s">
        <v>58</v>
      </c>
      <c r="F1821" s="58">
        <v>1100</v>
      </c>
      <c r="G1821" s="13">
        <v>1105.51</v>
      </c>
      <c r="H1821" s="56">
        <v>0</v>
      </c>
      <c r="I1821" s="13">
        <f t="shared" si="166"/>
        <v>5.5099999999999909</v>
      </c>
      <c r="J1821" s="14">
        <f t="shared" si="158"/>
        <v>0.50090909090909008</v>
      </c>
      <c r="K1821" s="56">
        <v>2.42</v>
      </c>
      <c r="L1821" s="15">
        <f t="shared" si="159"/>
        <v>0</v>
      </c>
      <c r="M1821" s="16">
        <f t="shared" si="160"/>
        <v>215.712266</v>
      </c>
      <c r="N1821" s="17">
        <f t="shared" si="161"/>
        <v>2.42</v>
      </c>
      <c r="O1821" s="17">
        <f t="shared" si="162"/>
        <v>2662</v>
      </c>
      <c r="P1821" s="18">
        <f t="shared" si="163"/>
        <v>237283.4926</v>
      </c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</row>
    <row r="1822" spans="1:27" ht="12.75">
      <c r="A1822" s="20"/>
      <c r="B1822" s="10">
        <v>46126</v>
      </c>
      <c r="C1822" s="11">
        <f>VLOOKUP(B:B,'Курс валют'!A:D,4,0)</f>
        <v>89.137299999999996</v>
      </c>
      <c r="D1822" s="57" t="s">
        <v>926</v>
      </c>
      <c r="E1822" s="50" t="s">
        <v>58</v>
      </c>
      <c r="F1822" s="58">
        <v>1100</v>
      </c>
      <c r="G1822" s="13">
        <v>1105.51</v>
      </c>
      <c r="H1822" s="56">
        <v>0</v>
      </c>
      <c r="I1822" s="13">
        <f t="shared" si="166"/>
        <v>5.5099999999999909</v>
      </c>
      <c r="J1822" s="14">
        <f t="shared" si="158"/>
        <v>0.50090909090909008</v>
      </c>
      <c r="K1822" s="56">
        <v>2.42</v>
      </c>
      <c r="L1822" s="15">
        <f t="shared" si="159"/>
        <v>0</v>
      </c>
      <c r="M1822" s="16">
        <f t="shared" si="160"/>
        <v>215.712266</v>
      </c>
      <c r="N1822" s="17">
        <f t="shared" si="161"/>
        <v>2.42</v>
      </c>
      <c r="O1822" s="17">
        <f t="shared" si="162"/>
        <v>2662</v>
      </c>
      <c r="P1822" s="18">
        <f t="shared" si="163"/>
        <v>237283.4926</v>
      </c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</row>
    <row r="1823" spans="1:27" ht="12.75">
      <c r="A1823" s="20"/>
      <c r="B1823" s="10">
        <v>46126</v>
      </c>
      <c r="C1823" s="11">
        <f>VLOOKUP(B:B,'Курс валют'!A:D,4,0)</f>
        <v>89.137299999999996</v>
      </c>
      <c r="D1823" s="57" t="s">
        <v>927</v>
      </c>
      <c r="E1823" s="50" t="s">
        <v>58</v>
      </c>
      <c r="F1823" s="58">
        <v>1100</v>
      </c>
      <c r="G1823" s="13">
        <v>1105.51</v>
      </c>
      <c r="H1823" s="56">
        <v>0</v>
      </c>
      <c r="I1823" s="13">
        <f t="shared" si="166"/>
        <v>5.5099999999999909</v>
      </c>
      <c r="J1823" s="14">
        <f t="shared" si="158"/>
        <v>0.50090909090909008</v>
      </c>
      <c r="K1823" s="56">
        <v>2.42</v>
      </c>
      <c r="L1823" s="15">
        <f t="shared" si="159"/>
        <v>0</v>
      </c>
      <c r="M1823" s="16">
        <f t="shared" si="160"/>
        <v>215.712266</v>
      </c>
      <c r="N1823" s="17">
        <f t="shared" si="161"/>
        <v>2.42</v>
      </c>
      <c r="O1823" s="17">
        <f t="shared" si="162"/>
        <v>2662</v>
      </c>
      <c r="P1823" s="18">
        <f t="shared" si="163"/>
        <v>237283.4926</v>
      </c>
      <c r="R1823" s="20"/>
      <c r="S1823" s="20"/>
      <c r="T1823" s="20"/>
      <c r="U1823" s="20"/>
      <c r="V1823" s="20"/>
      <c r="W1823" s="20"/>
      <c r="X1823" s="20"/>
      <c r="Y1823" s="20"/>
      <c r="Z1823" s="20"/>
      <c r="AA1823" s="20"/>
    </row>
    <row r="1824" spans="1:27" ht="12.75">
      <c r="A1824" s="20"/>
      <c r="B1824" s="10">
        <v>46126</v>
      </c>
      <c r="C1824" s="11">
        <f>VLOOKUP(B:B,'Курс валют'!A:D,4,0)</f>
        <v>89.137299999999996</v>
      </c>
      <c r="D1824" s="57" t="s">
        <v>928</v>
      </c>
      <c r="E1824" s="50" t="s">
        <v>58</v>
      </c>
      <c r="F1824" s="58">
        <v>1100</v>
      </c>
      <c r="G1824" s="13">
        <v>1105.51</v>
      </c>
      <c r="H1824" s="56">
        <v>0</v>
      </c>
      <c r="I1824" s="13">
        <f t="shared" si="166"/>
        <v>5.5099999999999909</v>
      </c>
      <c r="J1824" s="14">
        <f t="shared" si="158"/>
        <v>0.50090909090909008</v>
      </c>
      <c r="K1824" s="56">
        <v>2.42</v>
      </c>
      <c r="L1824" s="15">
        <f t="shared" si="159"/>
        <v>0</v>
      </c>
      <c r="M1824" s="16">
        <f t="shared" si="160"/>
        <v>215.712266</v>
      </c>
      <c r="N1824" s="17">
        <f t="shared" si="161"/>
        <v>2.42</v>
      </c>
      <c r="O1824" s="17">
        <f t="shared" si="162"/>
        <v>2662</v>
      </c>
      <c r="P1824" s="18">
        <f t="shared" si="163"/>
        <v>237283.4926</v>
      </c>
      <c r="R1824" s="20"/>
      <c r="S1824" s="20"/>
      <c r="T1824" s="20"/>
      <c r="U1824" s="20"/>
      <c r="V1824" s="20"/>
      <c r="W1824" s="20"/>
      <c r="X1824" s="20"/>
      <c r="Y1824" s="20"/>
      <c r="Z1824" s="20"/>
      <c r="AA1824" s="20"/>
    </row>
    <row r="1825" spans="1:27" ht="12.75">
      <c r="A1825" s="20"/>
      <c r="B1825" s="10">
        <v>46126</v>
      </c>
      <c r="C1825" s="11">
        <f>VLOOKUP(B:B,'Курс валют'!A:D,4,0)</f>
        <v>89.137299999999996</v>
      </c>
      <c r="D1825" s="57" t="s">
        <v>929</v>
      </c>
      <c r="E1825" s="50" t="s">
        <v>58</v>
      </c>
      <c r="F1825" s="58">
        <v>1100</v>
      </c>
      <c r="G1825" s="13">
        <v>1105.51</v>
      </c>
      <c r="H1825" s="56">
        <v>0</v>
      </c>
      <c r="I1825" s="13">
        <f t="shared" si="166"/>
        <v>5.5099999999999909</v>
      </c>
      <c r="J1825" s="14">
        <f t="shared" si="158"/>
        <v>0.50090909090909008</v>
      </c>
      <c r="K1825" s="56">
        <v>2.42</v>
      </c>
      <c r="L1825" s="15">
        <f t="shared" si="159"/>
        <v>0</v>
      </c>
      <c r="M1825" s="16">
        <f t="shared" si="160"/>
        <v>215.712266</v>
      </c>
      <c r="N1825" s="17">
        <f t="shared" si="161"/>
        <v>2.42</v>
      </c>
      <c r="O1825" s="17">
        <f t="shared" si="162"/>
        <v>2662</v>
      </c>
      <c r="P1825" s="18">
        <f t="shared" si="163"/>
        <v>237283.4926</v>
      </c>
      <c r="R1825" s="19"/>
      <c r="S1825" s="20"/>
      <c r="T1825" s="20"/>
      <c r="U1825" s="20"/>
      <c r="V1825" s="20"/>
      <c r="W1825" s="20"/>
      <c r="X1825" s="20"/>
      <c r="Y1825" s="20"/>
      <c r="Z1825" s="20"/>
      <c r="AA1825" s="20"/>
    </row>
    <row r="1826" spans="1:27" ht="12.75">
      <c r="B1826" s="10">
        <v>46126</v>
      </c>
      <c r="C1826" s="11">
        <f>VLOOKUP(B:B,'Курс валют'!A:D,4,0)</f>
        <v>89.137299999999996</v>
      </c>
      <c r="D1826" s="57" t="s">
        <v>930</v>
      </c>
      <c r="E1826" s="50" t="s">
        <v>58</v>
      </c>
      <c r="F1826" s="58">
        <v>1100</v>
      </c>
      <c r="G1826" s="13">
        <v>1105.51</v>
      </c>
      <c r="H1826" s="56">
        <v>0</v>
      </c>
      <c r="I1826" s="13">
        <f t="shared" si="166"/>
        <v>5.5099999999999909</v>
      </c>
      <c r="J1826" s="14">
        <f t="shared" si="158"/>
        <v>0.50090909090909008</v>
      </c>
      <c r="K1826" s="56">
        <v>2.42</v>
      </c>
      <c r="L1826" s="15">
        <f t="shared" si="159"/>
        <v>0</v>
      </c>
      <c r="M1826" s="16">
        <f t="shared" si="160"/>
        <v>215.712266</v>
      </c>
      <c r="N1826" s="17">
        <f t="shared" si="161"/>
        <v>2.42</v>
      </c>
      <c r="O1826" s="17">
        <f t="shared" si="162"/>
        <v>2662</v>
      </c>
      <c r="P1826" s="18">
        <f t="shared" si="163"/>
        <v>237283.4926</v>
      </c>
    </row>
    <row r="1827" spans="1:27" ht="12.75">
      <c r="B1827" s="10">
        <v>46126</v>
      </c>
      <c r="C1827" s="11">
        <f>VLOOKUP(B:B,'Курс валют'!A:D,4,0)</f>
        <v>89.137299999999996</v>
      </c>
      <c r="D1827" s="57" t="s">
        <v>931</v>
      </c>
      <c r="E1827" s="50" t="s">
        <v>58</v>
      </c>
      <c r="F1827" s="58">
        <v>1100</v>
      </c>
      <c r="G1827" s="13">
        <v>1105.51</v>
      </c>
      <c r="H1827" s="56">
        <v>0</v>
      </c>
      <c r="I1827" s="13">
        <f t="shared" si="166"/>
        <v>5.5099999999999909</v>
      </c>
      <c r="J1827" s="14">
        <f t="shared" si="158"/>
        <v>0.50090909090909008</v>
      </c>
      <c r="K1827" s="56">
        <v>2.42</v>
      </c>
      <c r="L1827" s="15">
        <f t="shared" si="159"/>
        <v>0</v>
      </c>
      <c r="M1827" s="16">
        <f t="shared" si="160"/>
        <v>215.712266</v>
      </c>
      <c r="N1827" s="17">
        <f t="shared" si="161"/>
        <v>2.42</v>
      </c>
      <c r="O1827" s="17">
        <f t="shared" si="162"/>
        <v>2662</v>
      </c>
      <c r="P1827" s="18">
        <f t="shared" si="163"/>
        <v>237283.4926</v>
      </c>
    </row>
    <row r="1828" spans="1:27" ht="12.75">
      <c r="B1828" s="10">
        <v>46126</v>
      </c>
      <c r="C1828" s="11">
        <f>VLOOKUP(B:B,'Курс валют'!A:D,4,0)</f>
        <v>89.137299999999996</v>
      </c>
      <c r="D1828" s="57" t="s">
        <v>932</v>
      </c>
      <c r="E1828" s="50" t="s">
        <v>104</v>
      </c>
      <c r="F1828" s="58">
        <v>1920</v>
      </c>
      <c r="G1828" s="13">
        <v>1953.03</v>
      </c>
      <c r="H1828" s="56">
        <v>0</v>
      </c>
      <c r="I1828" s="13">
        <f t="shared" si="166"/>
        <v>33.029999999999973</v>
      </c>
      <c r="J1828" s="14">
        <f t="shared" si="158"/>
        <v>1.7203124999999986</v>
      </c>
      <c r="K1828" s="56">
        <v>2.64</v>
      </c>
      <c r="L1828" s="15">
        <f t="shared" si="159"/>
        <v>0</v>
      </c>
      <c r="M1828" s="16">
        <f t="shared" si="160"/>
        <v>235.32247199999998</v>
      </c>
      <c r="N1828" s="17">
        <f t="shared" si="161"/>
        <v>2.64</v>
      </c>
      <c r="O1828" s="17">
        <f t="shared" si="162"/>
        <v>5068.8</v>
      </c>
      <c r="P1828" s="18">
        <f t="shared" si="163"/>
        <v>451819.14623999997</v>
      </c>
    </row>
    <row r="1829" spans="1:27" ht="12.75">
      <c r="B1829" s="10">
        <v>46126</v>
      </c>
      <c r="C1829" s="11">
        <f>VLOOKUP(B:B,'Курс валют'!A:D,4,0)</f>
        <v>89.137299999999996</v>
      </c>
      <c r="D1829" s="57" t="s">
        <v>933</v>
      </c>
      <c r="E1829" s="50" t="s">
        <v>58</v>
      </c>
      <c r="F1829" s="58">
        <v>1100</v>
      </c>
      <c r="G1829" s="13">
        <v>1105.51</v>
      </c>
      <c r="H1829" s="56">
        <v>0</v>
      </c>
      <c r="I1829" s="13">
        <f t="shared" si="166"/>
        <v>5.5099999999999909</v>
      </c>
      <c r="J1829" s="14">
        <f t="shared" si="158"/>
        <v>0.50090909090909008</v>
      </c>
      <c r="K1829" s="56">
        <v>2.42</v>
      </c>
      <c r="L1829" s="15">
        <f t="shared" si="159"/>
        <v>0</v>
      </c>
      <c r="M1829" s="16">
        <f t="shared" si="160"/>
        <v>215.712266</v>
      </c>
      <c r="N1829" s="17">
        <f t="shared" si="161"/>
        <v>2.42</v>
      </c>
      <c r="O1829" s="17">
        <f t="shared" si="162"/>
        <v>2662</v>
      </c>
      <c r="P1829" s="18">
        <f t="shared" si="163"/>
        <v>237283.4926</v>
      </c>
    </row>
    <row r="1830" spans="1:27" ht="12.75">
      <c r="B1830" s="10">
        <v>46126</v>
      </c>
      <c r="C1830" s="11">
        <f>VLOOKUP(B:B,'Курс валют'!A:D,4,0)</f>
        <v>89.137299999999996</v>
      </c>
      <c r="D1830" s="57" t="s">
        <v>934</v>
      </c>
      <c r="E1830" s="50" t="s">
        <v>58</v>
      </c>
      <c r="F1830" s="58">
        <v>1100</v>
      </c>
      <c r="G1830" s="13">
        <v>1105.51</v>
      </c>
      <c r="H1830" s="56">
        <v>0</v>
      </c>
      <c r="I1830" s="13">
        <f t="shared" si="166"/>
        <v>5.5099999999999909</v>
      </c>
      <c r="J1830" s="14">
        <f t="shared" si="158"/>
        <v>0.50090909090909008</v>
      </c>
      <c r="K1830" s="56">
        <v>2.42</v>
      </c>
      <c r="L1830" s="15">
        <f t="shared" si="159"/>
        <v>0</v>
      </c>
      <c r="M1830" s="16">
        <f t="shared" si="160"/>
        <v>215.712266</v>
      </c>
      <c r="N1830" s="17">
        <f t="shared" si="161"/>
        <v>2.42</v>
      </c>
      <c r="O1830" s="17">
        <f t="shared" si="162"/>
        <v>2662</v>
      </c>
      <c r="P1830" s="18">
        <f t="shared" si="163"/>
        <v>237283.4926</v>
      </c>
    </row>
    <row r="1831" spans="1:27" ht="12.75">
      <c r="B1831" s="10">
        <v>46127</v>
      </c>
      <c r="C1831" s="11">
        <f>VLOOKUP(B:B,'Курс валют'!A:D,4,0)</f>
        <v>89.255600000000001</v>
      </c>
      <c r="D1831" s="57" t="s">
        <v>935</v>
      </c>
      <c r="E1831" s="50" t="s">
        <v>51</v>
      </c>
      <c r="F1831" s="58">
        <v>800</v>
      </c>
      <c r="G1831" s="13">
        <v>805.14</v>
      </c>
      <c r="H1831" s="56">
        <v>0</v>
      </c>
      <c r="I1831" s="13">
        <f t="shared" si="166"/>
        <v>5.1399999999999864</v>
      </c>
      <c r="J1831" s="14">
        <f t="shared" si="158"/>
        <v>0.64249999999999829</v>
      </c>
      <c r="K1831" s="56">
        <v>1.93</v>
      </c>
      <c r="L1831" s="15">
        <f t="shared" si="159"/>
        <v>0</v>
      </c>
      <c r="M1831" s="16">
        <f t="shared" si="160"/>
        <v>172.26330799999999</v>
      </c>
      <c r="N1831" s="17">
        <f t="shared" si="161"/>
        <v>1.93</v>
      </c>
      <c r="O1831" s="17">
        <f t="shared" si="162"/>
        <v>1544</v>
      </c>
      <c r="P1831" s="18">
        <f t="shared" si="163"/>
        <v>137810.6464</v>
      </c>
    </row>
    <row r="1832" spans="1:27" ht="12.75">
      <c r="B1832" s="10">
        <v>46127</v>
      </c>
      <c r="C1832" s="11">
        <f>VLOOKUP(B:B,'Курс валют'!A:D,4,0)</f>
        <v>89.255600000000001</v>
      </c>
      <c r="D1832" s="57" t="s">
        <v>936</v>
      </c>
      <c r="E1832" s="50" t="s">
        <v>51</v>
      </c>
      <c r="F1832" s="58">
        <v>800</v>
      </c>
      <c r="G1832" s="13">
        <v>805.14</v>
      </c>
      <c r="H1832" s="56">
        <v>0</v>
      </c>
      <c r="I1832" s="13">
        <f t="shared" si="166"/>
        <v>5.1399999999999864</v>
      </c>
      <c r="J1832" s="14">
        <f t="shared" si="158"/>
        <v>0.64249999999999829</v>
      </c>
      <c r="K1832" s="56">
        <v>1.92</v>
      </c>
      <c r="L1832" s="15">
        <f t="shared" si="159"/>
        <v>0</v>
      </c>
      <c r="M1832" s="16">
        <f t="shared" si="160"/>
        <v>171.37075199999998</v>
      </c>
      <c r="N1832" s="17">
        <f t="shared" si="161"/>
        <v>1.92</v>
      </c>
      <c r="O1832" s="17">
        <f t="shared" si="162"/>
        <v>1536</v>
      </c>
      <c r="P1832" s="18">
        <f t="shared" si="163"/>
        <v>137096.60159999999</v>
      </c>
    </row>
    <row r="1833" spans="1:27" ht="12.75">
      <c r="B1833" s="10">
        <v>46127</v>
      </c>
      <c r="C1833" s="11">
        <f>VLOOKUP(B:B,'Курс валют'!A:D,4,0)</f>
        <v>89.255600000000001</v>
      </c>
      <c r="D1833" s="57" t="s">
        <v>937</v>
      </c>
      <c r="E1833" s="50" t="s">
        <v>51</v>
      </c>
      <c r="F1833" s="58">
        <v>800</v>
      </c>
      <c r="G1833" s="13">
        <v>805.14</v>
      </c>
      <c r="H1833" s="56">
        <v>0</v>
      </c>
      <c r="I1833" s="13">
        <f t="shared" si="166"/>
        <v>5.1399999999999864</v>
      </c>
      <c r="J1833" s="14">
        <f t="shared" si="158"/>
        <v>0.64249999999999829</v>
      </c>
      <c r="K1833" s="56">
        <v>1.92</v>
      </c>
      <c r="L1833" s="15">
        <f t="shared" si="159"/>
        <v>0</v>
      </c>
      <c r="M1833" s="16">
        <f t="shared" si="160"/>
        <v>171.37075199999998</v>
      </c>
      <c r="N1833" s="17">
        <f t="shared" si="161"/>
        <v>1.92</v>
      </c>
      <c r="O1833" s="17">
        <f t="shared" si="162"/>
        <v>1536</v>
      </c>
      <c r="P1833" s="18">
        <f t="shared" si="163"/>
        <v>137096.60159999999</v>
      </c>
    </row>
    <row r="1834" spans="1:27" ht="12.75">
      <c r="B1834" s="10">
        <v>46127</v>
      </c>
      <c r="C1834" s="11">
        <f>VLOOKUP(B:B,'Курс валют'!A:D,4,0)</f>
        <v>89.255600000000001</v>
      </c>
      <c r="D1834" s="57" t="s">
        <v>938</v>
      </c>
      <c r="E1834" s="50" t="s">
        <v>51</v>
      </c>
      <c r="F1834" s="58">
        <v>800</v>
      </c>
      <c r="G1834" s="13">
        <v>805.14</v>
      </c>
      <c r="H1834" s="56">
        <v>0</v>
      </c>
      <c r="I1834" s="13">
        <f t="shared" si="166"/>
        <v>5.1399999999999864</v>
      </c>
      <c r="J1834" s="14">
        <f t="shared" si="158"/>
        <v>0.64249999999999829</v>
      </c>
      <c r="K1834" s="56">
        <v>1.92</v>
      </c>
      <c r="L1834" s="15">
        <f t="shared" si="159"/>
        <v>0</v>
      </c>
      <c r="M1834" s="16">
        <f t="shared" si="160"/>
        <v>171.37075199999998</v>
      </c>
      <c r="N1834" s="17">
        <f t="shared" si="161"/>
        <v>1.92</v>
      </c>
      <c r="O1834" s="17">
        <f t="shared" si="162"/>
        <v>1536</v>
      </c>
      <c r="P1834" s="18">
        <f t="shared" si="163"/>
        <v>137096.60159999999</v>
      </c>
    </row>
    <row r="1835" spans="1:27" ht="12.75">
      <c r="B1835" s="10">
        <v>46127</v>
      </c>
      <c r="C1835" s="11">
        <f>VLOOKUP(B:B,'Курс валют'!A:D,4,0)</f>
        <v>89.255600000000001</v>
      </c>
      <c r="D1835" s="57" t="s">
        <v>939</v>
      </c>
      <c r="E1835" s="50" t="s">
        <v>51</v>
      </c>
      <c r="F1835" s="58">
        <v>800</v>
      </c>
      <c r="G1835" s="13">
        <v>805.14</v>
      </c>
      <c r="H1835" s="56">
        <v>0</v>
      </c>
      <c r="I1835" s="13">
        <f t="shared" si="166"/>
        <v>5.1399999999999864</v>
      </c>
      <c r="J1835" s="14">
        <f t="shared" si="158"/>
        <v>0.64249999999999829</v>
      </c>
      <c r="K1835" s="56">
        <v>1.93</v>
      </c>
      <c r="L1835" s="15">
        <f t="shared" si="159"/>
        <v>0</v>
      </c>
      <c r="M1835" s="16">
        <f t="shared" si="160"/>
        <v>172.26330799999999</v>
      </c>
      <c r="N1835" s="17">
        <f t="shared" si="161"/>
        <v>1.93</v>
      </c>
      <c r="O1835" s="17">
        <f t="shared" si="162"/>
        <v>1544</v>
      </c>
      <c r="P1835" s="18">
        <f t="shared" si="163"/>
        <v>137810.6464</v>
      </c>
    </row>
    <row r="1836" spans="1:27" ht="12.75">
      <c r="B1836" s="10">
        <v>46127</v>
      </c>
      <c r="C1836" s="11">
        <f>VLOOKUP(B:B,'Курс валют'!A:D,4,0)</f>
        <v>89.255600000000001</v>
      </c>
      <c r="D1836" s="57" t="s">
        <v>940</v>
      </c>
      <c r="E1836" s="50" t="s">
        <v>51</v>
      </c>
      <c r="F1836" s="58">
        <v>800</v>
      </c>
      <c r="G1836" s="13">
        <v>805.14</v>
      </c>
      <c r="H1836" s="56">
        <v>0</v>
      </c>
      <c r="I1836" s="13">
        <f t="shared" si="166"/>
        <v>5.1399999999999864</v>
      </c>
      <c r="J1836" s="14">
        <f t="shared" si="158"/>
        <v>0.64249999999999829</v>
      </c>
      <c r="K1836" s="56">
        <v>1.92</v>
      </c>
      <c r="L1836" s="15">
        <f t="shared" si="159"/>
        <v>0</v>
      </c>
      <c r="M1836" s="16">
        <f t="shared" si="160"/>
        <v>171.37075199999998</v>
      </c>
      <c r="N1836" s="17">
        <f t="shared" si="161"/>
        <v>1.92</v>
      </c>
      <c r="O1836" s="17">
        <f t="shared" si="162"/>
        <v>1536</v>
      </c>
      <c r="P1836" s="18">
        <f t="shared" si="163"/>
        <v>137096.60159999999</v>
      </c>
    </row>
    <row r="1837" spans="1:27" ht="12.75">
      <c r="B1837" s="10">
        <v>46127</v>
      </c>
      <c r="C1837" s="11">
        <f>VLOOKUP(B:B,'Курс валют'!A:D,4,0)</f>
        <v>89.255600000000001</v>
      </c>
      <c r="D1837" s="57" t="s">
        <v>941</v>
      </c>
      <c r="E1837" s="50" t="s">
        <v>51</v>
      </c>
      <c r="F1837" s="58">
        <v>800</v>
      </c>
      <c r="G1837" s="13">
        <v>805.14</v>
      </c>
      <c r="H1837" s="56">
        <v>0</v>
      </c>
      <c r="I1837" s="13">
        <f t="shared" si="166"/>
        <v>5.1399999999999864</v>
      </c>
      <c r="J1837" s="14">
        <f t="shared" si="158"/>
        <v>0.64249999999999829</v>
      </c>
      <c r="K1837" s="56">
        <v>1.92</v>
      </c>
      <c r="L1837" s="15">
        <f t="shared" si="159"/>
        <v>0</v>
      </c>
      <c r="M1837" s="16">
        <f t="shared" si="160"/>
        <v>171.37075199999998</v>
      </c>
      <c r="N1837" s="17">
        <f t="shared" si="161"/>
        <v>1.92</v>
      </c>
      <c r="O1837" s="17">
        <f t="shared" si="162"/>
        <v>1536</v>
      </c>
      <c r="P1837" s="18">
        <f t="shared" si="163"/>
        <v>137096.60159999999</v>
      </c>
    </row>
    <row r="1838" spans="1:27" ht="12.75">
      <c r="B1838" s="10">
        <v>46127</v>
      </c>
      <c r="C1838" s="11">
        <f>VLOOKUP(B:B,'Курс валют'!A:D,4,0)</f>
        <v>89.255600000000001</v>
      </c>
      <c r="D1838" s="57" t="s">
        <v>942</v>
      </c>
      <c r="E1838" s="50" t="s">
        <v>51</v>
      </c>
      <c r="F1838" s="58">
        <v>800</v>
      </c>
      <c r="G1838" s="13">
        <v>805.14</v>
      </c>
      <c r="H1838" s="56">
        <v>0</v>
      </c>
      <c r="I1838" s="13">
        <f t="shared" si="166"/>
        <v>5.1399999999999864</v>
      </c>
      <c r="J1838" s="14">
        <f t="shared" si="158"/>
        <v>0.64249999999999829</v>
      </c>
      <c r="K1838" s="56">
        <v>1.92</v>
      </c>
      <c r="L1838" s="15">
        <f t="shared" si="159"/>
        <v>0</v>
      </c>
      <c r="M1838" s="16">
        <f t="shared" si="160"/>
        <v>171.37075199999998</v>
      </c>
      <c r="N1838" s="17">
        <f t="shared" si="161"/>
        <v>1.92</v>
      </c>
      <c r="O1838" s="17">
        <f t="shared" si="162"/>
        <v>1536</v>
      </c>
      <c r="P1838" s="18">
        <f t="shared" si="163"/>
        <v>137096.60159999999</v>
      </c>
    </row>
    <row r="1839" spans="1:27" ht="12.75">
      <c r="B1839" s="10">
        <v>46127</v>
      </c>
      <c r="C1839" s="11">
        <f>VLOOKUP(B:B,'Курс валют'!A:D,4,0)</f>
        <v>89.255600000000001</v>
      </c>
      <c r="D1839" s="57" t="s">
        <v>943</v>
      </c>
      <c r="E1839" s="50" t="s">
        <v>51</v>
      </c>
      <c r="F1839" s="58">
        <v>800</v>
      </c>
      <c r="G1839" s="13">
        <v>805.14</v>
      </c>
      <c r="H1839" s="56">
        <v>0</v>
      </c>
      <c r="I1839" s="13">
        <f t="shared" si="166"/>
        <v>5.1399999999999864</v>
      </c>
      <c r="J1839" s="14">
        <f t="shared" si="158"/>
        <v>0.64249999999999829</v>
      </c>
      <c r="K1839" s="56">
        <v>1.92</v>
      </c>
      <c r="L1839" s="15">
        <f t="shared" si="159"/>
        <v>0</v>
      </c>
      <c r="M1839" s="16">
        <f t="shared" si="160"/>
        <v>171.37075199999998</v>
      </c>
      <c r="N1839" s="17">
        <f t="shared" si="161"/>
        <v>1.92</v>
      </c>
      <c r="O1839" s="17">
        <f t="shared" si="162"/>
        <v>1536</v>
      </c>
      <c r="P1839" s="18">
        <f t="shared" si="163"/>
        <v>137096.60159999999</v>
      </c>
    </row>
    <row r="1840" spans="1:27" ht="12.75">
      <c r="B1840" s="10">
        <v>46127</v>
      </c>
      <c r="C1840" s="11">
        <f>VLOOKUP(B:B,'Курс валют'!A:D,4,0)</f>
        <v>89.255600000000001</v>
      </c>
      <c r="D1840" s="57" t="s">
        <v>944</v>
      </c>
      <c r="E1840" s="50" t="s">
        <v>51</v>
      </c>
      <c r="F1840" s="58">
        <v>800</v>
      </c>
      <c r="G1840" s="13">
        <v>805.14</v>
      </c>
      <c r="H1840" s="56">
        <v>0</v>
      </c>
      <c r="I1840" s="13">
        <f t="shared" si="166"/>
        <v>5.1399999999999864</v>
      </c>
      <c r="J1840" s="14">
        <f t="shared" si="158"/>
        <v>0.64249999999999829</v>
      </c>
      <c r="K1840" s="56">
        <v>1.93</v>
      </c>
      <c r="L1840" s="15">
        <f t="shared" si="159"/>
        <v>0</v>
      </c>
      <c r="M1840" s="16">
        <f t="shared" si="160"/>
        <v>172.26330799999999</v>
      </c>
      <c r="N1840" s="17">
        <f t="shared" si="161"/>
        <v>1.93</v>
      </c>
      <c r="O1840" s="17">
        <f t="shared" si="162"/>
        <v>1544</v>
      </c>
      <c r="P1840" s="18">
        <f t="shared" si="163"/>
        <v>137810.6464</v>
      </c>
    </row>
    <row r="1841" spans="2:16" ht="12.75">
      <c r="B1841" s="10">
        <v>46127</v>
      </c>
      <c r="C1841" s="11">
        <f>VLOOKUP(B:B,'Курс валют'!A:D,4,0)</f>
        <v>89.255600000000001</v>
      </c>
      <c r="D1841" s="57" t="s">
        <v>945</v>
      </c>
      <c r="E1841" s="50" t="s">
        <v>104</v>
      </c>
      <c r="F1841" s="58">
        <v>1920</v>
      </c>
      <c r="G1841" s="13">
        <v>1953.03</v>
      </c>
      <c r="H1841" s="56">
        <v>0</v>
      </c>
      <c r="I1841" s="13">
        <f t="shared" si="166"/>
        <v>33.029999999999973</v>
      </c>
      <c r="J1841" s="14">
        <f t="shared" si="158"/>
        <v>1.7203124999999986</v>
      </c>
      <c r="K1841" s="56">
        <v>2.64</v>
      </c>
      <c r="L1841" s="15">
        <f t="shared" si="159"/>
        <v>0</v>
      </c>
      <c r="M1841" s="16">
        <f t="shared" si="160"/>
        <v>235.634784</v>
      </c>
      <c r="N1841" s="17">
        <f t="shared" si="161"/>
        <v>2.64</v>
      </c>
      <c r="O1841" s="17">
        <f t="shared" si="162"/>
        <v>5068.8</v>
      </c>
      <c r="P1841" s="18">
        <f t="shared" si="163"/>
        <v>452418.78528000001</v>
      </c>
    </row>
    <row r="1842" spans="2:16" ht="12.75">
      <c r="B1842" s="10">
        <v>46128</v>
      </c>
      <c r="C1842" s="11">
        <f>VLOOKUP(B:B,'Курс валют'!A:D,4,0)</f>
        <v>88.7303</v>
      </c>
      <c r="D1842" s="57" t="s">
        <v>946</v>
      </c>
      <c r="E1842" s="50" t="s">
        <v>51</v>
      </c>
      <c r="F1842" s="58">
        <v>800</v>
      </c>
      <c r="G1842" s="13">
        <v>805.14</v>
      </c>
      <c r="H1842" s="56">
        <v>0</v>
      </c>
      <c r="I1842" s="13">
        <f t="shared" si="166"/>
        <v>5.1399999999999864</v>
      </c>
      <c r="J1842" s="14">
        <f t="shared" si="158"/>
        <v>0.64249999999999829</v>
      </c>
      <c r="K1842" s="56">
        <v>1.93</v>
      </c>
      <c r="L1842" s="15">
        <f t="shared" si="159"/>
        <v>0</v>
      </c>
      <c r="M1842" s="16">
        <f t="shared" si="160"/>
        <v>171.24947899999998</v>
      </c>
      <c r="N1842" s="17">
        <f t="shared" si="161"/>
        <v>1.93</v>
      </c>
      <c r="O1842" s="17">
        <f t="shared" si="162"/>
        <v>1544</v>
      </c>
      <c r="P1842" s="18">
        <f t="shared" si="163"/>
        <v>136999.58319999999</v>
      </c>
    </row>
    <row r="1843" spans="2:16" ht="12.75">
      <c r="B1843" s="10">
        <v>46128</v>
      </c>
      <c r="C1843" s="11">
        <f>VLOOKUP(B:B,'Курс валют'!A:D,4,0)</f>
        <v>88.7303</v>
      </c>
      <c r="D1843" s="57" t="s">
        <v>947</v>
      </c>
      <c r="E1843" s="50" t="s">
        <v>51</v>
      </c>
      <c r="F1843" s="58">
        <v>800</v>
      </c>
      <c r="G1843" s="13">
        <v>805.14</v>
      </c>
      <c r="H1843" s="56">
        <v>0</v>
      </c>
      <c r="I1843" s="13">
        <f t="shared" si="166"/>
        <v>5.1399999999999864</v>
      </c>
      <c r="J1843" s="14">
        <f t="shared" si="158"/>
        <v>0.64249999999999829</v>
      </c>
      <c r="K1843" s="56">
        <v>1.92</v>
      </c>
      <c r="L1843" s="15">
        <f t="shared" si="159"/>
        <v>0</v>
      </c>
      <c r="M1843" s="16">
        <f t="shared" si="160"/>
        <v>170.36217600000001</v>
      </c>
      <c r="N1843" s="17">
        <f t="shared" si="161"/>
        <v>1.92</v>
      </c>
      <c r="O1843" s="17">
        <f t="shared" si="162"/>
        <v>1536</v>
      </c>
      <c r="P1843" s="18">
        <f t="shared" si="163"/>
        <v>136289.7408</v>
      </c>
    </row>
    <row r="1844" spans="2:16" ht="12.75">
      <c r="B1844" s="10">
        <v>46128</v>
      </c>
      <c r="C1844" s="11">
        <f>VLOOKUP(B:B,'Курс валют'!A:D,4,0)</f>
        <v>88.7303</v>
      </c>
      <c r="D1844" s="57" t="s">
        <v>948</v>
      </c>
      <c r="E1844" s="50" t="s">
        <v>51</v>
      </c>
      <c r="F1844" s="58">
        <v>800</v>
      </c>
      <c r="G1844" s="13">
        <v>805.14</v>
      </c>
      <c r="H1844" s="56">
        <v>0</v>
      </c>
      <c r="I1844" s="13">
        <f t="shared" si="166"/>
        <v>5.1399999999999864</v>
      </c>
      <c r="J1844" s="14">
        <f t="shared" si="158"/>
        <v>0.64249999999999829</v>
      </c>
      <c r="K1844" s="56">
        <v>1.92</v>
      </c>
      <c r="L1844" s="15">
        <f t="shared" si="159"/>
        <v>0</v>
      </c>
      <c r="M1844" s="16">
        <f t="shared" si="160"/>
        <v>170.36217600000001</v>
      </c>
      <c r="N1844" s="17">
        <f t="shared" si="161"/>
        <v>1.92</v>
      </c>
      <c r="O1844" s="17">
        <f t="shared" si="162"/>
        <v>1536</v>
      </c>
      <c r="P1844" s="18">
        <f t="shared" si="163"/>
        <v>136289.7408</v>
      </c>
    </row>
    <row r="1845" spans="2:16" ht="12.75">
      <c r="B1845" s="10">
        <v>46128</v>
      </c>
      <c r="C1845" s="11">
        <f>VLOOKUP(B:B,'Курс валют'!A:D,4,0)</f>
        <v>88.7303</v>
      </c>
      <c r="D1845" s="57" t="s">
        <v>949</v>
      </c>
      <c r="E1845" s="50" t="s">
        <v>51</v>
      </c>
      <c r="F1845" s="58">
        <v>800</v>
      </c>
      <c r="G1845" s="13">
        <v>805.14</v>
      </c>
      <c r="H1845" s="56">
        <v>0</v>
      </c>
      <c r="I1845" s="13">
        <f t="shared" si="166"/>
        <v>5.1399999999999864</v>
      </c>
      <c r="J1845" s="14">
        <f t="shared" si="158"/>
        <v>0.64249999999999829</v>
      </c>
      <c r="K1845" s="56">
        <v>1.92</v>
      </c>
      <c r="L1845" s="15">
        <f t="shared" si="159"/>
        <v>0</v>
      </c>
      <c r="M1845" s="16">
        <f t="shared" si="160"/>
        <v>170.36217600000001</v>
      </c>
      <c r="N1845" s="17">
        <f t="shared" si="161"/>
        <v>1.92</v>
      </c>
      <c r="O1845" s="17">
        <f t="shared" si="162"/>
        <v>1536</v>
      </c>
      <c r="P1845" s="18">
        <f t="shared" si="163"/>
        <v>136289.7408</v>
      </c>
    </row>
    <row r="1846" spans="2:16" ht="12.75">
      <c r="B1846" s="10">
        <v>46128</v>
      </c>
      <c r="C1846" s="11">
        <f>VLOOKUP(B:B,'Курс валют'!A:D,4,0)</f>
        <v>88.7303</v>
      </c>
      <c r="D1846" s="57" t="s">
        <v>950</v>
      </c>
      <c r="E1846" s="50" t="s">
        <v>51</v>
      </c>
      <c r="F1846" s="58">
        <v>800</v>
      </c>
      <c r="G1846" s="13">
        <v>805.14</v>
      </c>
      <c r="H1846" s="56">
        <v>0</v>
      </c>
      <c r="I1846" s="13">
        <f t="shared" si="166"/>
        <v>5.1399999999999864</v>
      </c>
      <c r="J1846" s="14">
        <f t="shared" si="158"/>
        <v>0.64249999999999829</v>
      </c>
      <c r="K1846" s="56">
        <v>1.93</v>
      </c>
      <c r="L1846" s="15">
        <f t="shared" si="159"/>
        <v>0</v>
      </c>
      <c r="M1846" s="16">
        <f t="shared" si="160"/>
        <v>171.24947899999998</v>
      </c>
      <c r="N1846" s="17">
        <f t="shared" si="161"/>
        <v>1.93</v>
      </c>
      <c r="O1846" s="17">
        <f t="shared" si="162"/>
        <v>1544</v>
      </c>
      <c r="P1846" s="18">
        <f t="shared" si="163"/>
        <v>136999.58319999999</v>
      </c>
    </row>
    <row r="1847" spans="2:16" ht="12.75">
      <c r="B1847" s="10">
        <v>46128</v>
      </c>
      <c r="C1847" s="11">
        <f>VLOOKUP(B:B,'Курс валют'!A:D,4,0)</f>
        <v>88.7303</v>
      </c>
      <c r="D1847" s="57" t="s">
        <v>951</v>
      </c>
      <c r="E1847" s="50" t="s">
        <v>125</v>
      </c>
      <c r="F1847" s="58">
        <v>2200</v>
      </c>
      <c r="G1847" s="13">
        <v>2225.52</v>
      </c>
      <c r="H1847" s="56">
        <v>0</v>
      </c>
      <c r="I1847" s="13">
        <f t="shared" si="166"/>
        <v>25.519999999999982</v>
      </c>
      <c r="J1847" s="14">
        <f t="shared" si="158"/>
        <v>1.1599999999999993</v>
      </c>
      <c r="K1847" s="56">
        <v>1.81</v>
      </c>
      <c r="L1847" s="15">
        <f t="shared" si="159"/>
        <v>0</v>
      </c>
      <c r="M1847" s="16">
        <f t="shared" si="160"/>
        <v>160.601843</v>
      </c>
      <c r="N1847" s="17">
        <f t="shared" si="161"/>
        <v>1.81</v>
      </c>
      <c r="O1847" s="17">
        <f t="shared" si="162"/>
        <v>3982</v>
      </c>
      <c r="P1847" s="18">
        <f t="shared" si="163"/>
        <v>353324.05459999997</v>
      </c>
    </row>
    <row r="1848" spans="2:16" ht="12.75">
      <c r="B1848" s="10">
        <v>46128</v>
      </c>
      <c r="C1848" s="11">
        <f>VLOOKUP(B:B,'Курс валют'!A:D,4,0)</f>
        <v>88.7303</v>
      </c>
      <c r="D1848" s="57" t="s">
        <v>952</v>
      </c>
      <c r="E1848" s="50" t="s">
        <v>68</v>
      </c>
      <c r="F1848" s="58">
        <v>800</v>
      </c>
      <c r="G1848" s="13">
        <v>803.93</v>
      </c>
      <c r="H1848" s="56">
        <v>0</v>
      </c>
      <c r="I1848" s="13">
        <f t="shared" si="166"/>
        <v>3.92999999999995</v>
      </c>
      <c r="J1848" s="14">
        <f t="shared" si="158"/>
        <v>0.49124999999999375</v>
      </c>
      <c r="K1848" s="56">
        <v>1.86</v>
      </c>
      <c r="L1848" s="15">
        <f t="shared" si="159"/>
        <v>0</v>
      </c>
      <c r="M1848" s="16">
        <f t="shared" si="160"/>
        <v>165.03835800000002</v>
      </c>
      <c r="N1848" s="17">
        <f t="shared" si="161"/>
        <v>1.86</v>
      </c>
      <c r="O1848" s="17">
        <f t="shared" si="162"/>
        <v>1488</v>
      </c>
      <c r="P1848" s="18">
        <f t="shared" si="163"/>
        <v>132030.68640000001</v>
      </c>
    </row>
    <row r="1849" spans="2:16" ht="12.75">
      <c r="B1849" s="10">
        <v>46128</v>
      </c>
      <c r="C1849" s="11">
        <f>VLOOKUP(B:B,'Курс валют'!A:D,4,0)</f>
        <v>88.7303</v>
      </c>
      <c r="D1849" s="57" t="s">
        <v>953</v>
      </c>
      <c r="E1849" s="50" t="s">
        <v>68</v>
      </c>
      <c r="F1849" s="58">
        <v>800</v>
      </c>
      <c r="G1849" s="13">
        <v>803.93</v>
      </c>
      <c r="H1849" s="56">
        <v>0</v>
      </c>
      <c r="I1849" s="13">
        <f t="shared" si="166"/>
        <v>3.92999999999995</v>
      </c>
      <c r="J1849" s="14">
        <f t="shared" si="158"/>
        <v>0.49124999999999375</v>
      </c>
      <c r="K1849" s="56">
        <v>1.85</v>
      </c>
      <c r="L1849" s="15">
        <f t="shared" si="159"/>
        <v>0</v>
      </c>
      <c r="M1849" s="16">
        <f t="shared" si="160"/>
        <v>164.15105500000001</v>
      </c>
      <c r="N1849" s="17">
        <f t="shared" si="161"/>
        <v>1.85</v>
      </c>
      <c r="O1849" s="17">
        <f t="shared" si="162"/>
        <v>1480</v>
      </c>
      <c r="P1849" s="18">
        <f t="shared" si="163"/>
        <v>131320.84400000001</v>
      </c>
    </row>
    <row r="1850" spans="2:16" ht="12.75">
      <c r="B1850" s="10">
        <v>46128</v>
      </c>
      <c r="C1850" s="11">
        <f>VLOOKUP(B:B,'Курс валют'!A:D,4,0)</f>
        <v>88.7303</v>
      </c>
      <c r="D1850" s="57" t="s">
        <v>954</v>
      </c>
      <c r="E1850" s="50" t="s">
        <v>68</v>
      </c>
      <c r="F1850" s="58">
        <v>800</v>
      </c>
      <c r="G1850" s="13">
        <v>803.93</v>
      </c>
      <c r="H1850" s="56">
        <v>0</v>
      </c>
      <c r="I1850" s="13">
        <f t="shared" si="166"/>
        <v>3.92999999999995</v>
      </c>
      <c r="J1850" s="14">
        <f t="shared" si="158"/>
        <v>0.49124999999999375</v>
      </c>
      <c r="K1850" s="56">
        <v>1.85</v>
      </c>
      <c r="L1850" s="15">
        <f t="shared" si="159"/>
        <v>0</v>
      </c>
      <c r="M1850" s="16">
        <f t="shared" si="160"/>
        <v>164.15105500000001</v>
      </c>
      <c r="N1850" s="17">
        <f t="shared" si="161"/>
        <v>1.85</v>
      </c>
      <c r="O1850" s="17">
        <f t="shared" si="162"/>
        <v>1480</v>
      </c>
      <c r="P1850" s="18">
        <f t="shared" si="163"/>
        <v>131320.84400000001</v>
      </c>
    </row>
    <row r="1851" spans="2:16" ht="12.75">
      <c r="B1851" s="10">
        <v>46128</v>
      </c>
      <c r="C1851" s="11">
        <f>VLOOKUP(B:B,'Курс валют'!A:D,4,0)</f>
        <v>88.7303</v>
      </c>
      <c r="D1851" s="57" t="s">
        <v>955</v>
      </c>
      <c r="E1851" s="50" t="s">
        <v>68</v>
      </c>
      <c r="F1851" s="58">
        <v>800</v>
      </c>
      <c r="G1851" s="13">
        <v>803.93</v>
      </c>
      <c r="H1851" s="56">
        <v>0</v>
      </c>
      <c r="I1851" s="13">
        <f t="shared" si="166"/>
        <v>3.92999999999995</v>
      </c>
      <c r="J1851" s="14">
        <f t="shared" si="158"/>
        <v>0.49124999999999375</v>
      </c>
      <c r="K1851" s="56">
        <v>1.85</v>
      </c>
      <c r="L1851" s="15">
        <f t="shared" si="159"/>
        <v>0</v>
      </c>
      <c r="M1851" s="16">
        <f t="shared" si="160"/>
        <v>164.15105500000001</v>
      </c>
      <c r="N1851" s="17">
        <f t="shared" si="161"/>
        <v>1.85</v>
      </c>
      <c r="O1851" s="17">
        <f t="shared" si="162"/>
        <v>1480</v>
      </c>
      <c r="P1851" s="18">
        <f t="shared" si="163"/>
        <v>131320.84400000001</v>
      </c>
    </row>
    <row r="1852" spans="2:16" ht="12.75">
      <c r="B1852" s="10">
        <v>46128</v>
      </c>
      <c r="C1852" s="11">
        <f>VLOOKUP(B:B,'Курс валют'!A:D,4,0)</f>
        <v>88.7303</v>
      </c>
      <c r="D1852" s="57" t="s">
        <v>956</v>
      </c>
      <c r="E1852" s="50" t="s">
        <v>68</v>
      </c>
      <c r="F1852" s="58">
        <v>800</v>
      </c>
      <c r="G1852" s="13">
        <v>803.93</v>
      </c>
      <c r="H1852" s="56">
        <v>0</v>
      </c>
      <c r="I1852" s="13">
        <f t="shared" si="166"/>
        <v>3.92999999999995</v>
      </c>
      <c r="J1852" s="14">
        <f t="shared" si="158"/>
        <v>0.49124999999999375</v>
      </c>
      <c r="K1852" s="56">
        <v>1.86</v>
      </c>
      <c r="L1852" s="15">
        <f t="shared" si="159"/>
        <v>0</v>
      </c>
      <c r="M1852" s="16">
        <f t="shared" si="160"/>
        <v>165.03835800000002</v>
      </c>
      <c r="N1852" s="17">
        <f t="shared" si="161"/>
        <v>1.86</v>
      </c>
      <c r="O1852" s="17">
        <f t="shared" si="162"/>
        <v>1488</v>
      </c>
      <c r="P1852" s="18">
        <f t="shared" si="163"/>
        <v>132030.68640000001</v>
      </c>
    </row>
    <row r="1853" spans="2:16" ht="12.75">
      <c r="B1853" s="10">
        <v>46129</v>
      </c>
      <c r="C1853" s="11">
        <f>VLOOKUP(B:B,'Курс валют'!A:D,4,0)</f>
        <v>89.411299999999997</v>
      </c>
      <c r="D1853" s="57" t="s">
        <v>957</v>
      </c>
      <c r="E1853" s="50" t="s">
        <v>15</v>
      </c>
      <c r="F1853" s="58">
        <v>1100</v>
      </c>
      <c r="G1853" s="13">
        <v>1107.5</v>
      </c>
      <c r="H1853" s="56">
        <v>0</v>
      </c>
      <c r="I1853" s="13">
        <f t="shared" si="166"/>
        <v>7.5</v>
      </c>
      <c r="J1853" s="14">
        <f t="shared" si="158"/>
        <v>0.68181818181818177</v>
      </c>
      <c r="K1853" s="56">
        <v>2.23</v>
      </c>
      <c r="L1853" s="15">
        <f t="shared" si="159"/>
        <v>0</v>
      </c>
      <c r="M1853" s="16">
        <f t="shared" si="160"/>
        <v>199.38719899999998</v>
      </c>
      <c r="N1853" s="17">
        <f t="shared" si="161"/>
        <v>2.23</v>
      </c>
      <c r="O1853" s="17">
        <f t="shared" si="162"/>
        <v>2453</v>
      </c>
      <c r="P1853" s="18">
        <f t="shared" si="163"/>
        <v>219325.91889999999</v>
      </c>
    </row>
    <row r="1854" spans="2:16" ht="12.75">
      <c r="B1854" s="10">
        <v>46129</v>
      </c>
      <c r="C1854" s="11">
        <f>VLOOKUP(B:B,'Курс валют'!A:D,4,0)</f>
        <v>89.411299999999997</v>
      </c>
      <c r="D1854" s="57" t="s">
        <v>958</v>
      </c>
      <c r="E1854" s="50" t="s">
        <v>15</v>
      </c>
      <c r="F1854" s="58">
        <v>1100</v>
      </c>
      <c r="G1854" s="13">
        <v>1107.5</v>
      </c>
      <c r="H1854" s="56">
        <v>0</v>
      </c>
      <c r="I1854" s="13">
        <f t="shared" si="166"/>
        <v>7.5</v>
      </c>
      <c r="J1854" s="14">
        <f t="shared" si="158"/>
        <v>0.68181818181818177</v>
      </c>
      <c r="K1854" s="56">
        <v>2.23</v>
      </c>
      <c r="L1854" s="15">
        <f t="shared" si="159"/>
        <v>0</v>
      </c>
      <c r="M1854" s="16">
        <f t="shared" si="160"/>
        <v>199.38719899999998</v>
      </c>
      <c r="N1854" s="17">
        <f t="shared" si="161"/>
        <v>2.23</v>
      </c>
      <c r="O1854" s="17">
        <f t="shared" si="162"/>
        <v>2453</v>
      </c>
      <c r="P1854" s="18">
        <f t="shared" si="163"/>
        <v>219325.91889999999</v>
      </c>
    </row>
    <row r="1855" spans="2:16" ht="12.75">
      <c r="B1855" s="10">
        <v>46129</v>
      </c>
      <c r="C1855" s="11">
        <f>VLOOKUP(B:B,'Курс валют'!A:D,4,0)</f>
        <v>89.411299999999997</v>
      </c>
      <c r="D1855" s="57" t="s">
        <v>959</v>
      </c>
      <c r="E1855" s="50" t="s">
        <v>15</v>
      </c>
      <c r="F1855" s="58">
        <v>1100</v>
      </c>
      <c r="G1855" s="13">
        <v>1107.5</v>
      </c>
      <c r="H1855" s="56">
        <v>0</v>
      </c>
      <c r="I1855" s="13">
        <f t="shared" si="166"/>
        <v>7.5</v>
      </c>
      <c r="J1855" s="14">
        <f t="shared" si="158"/>
        <v>0.68181818181818177</v>
      </c>
      <c r="K1855" s="56">
        <v>2.23</v>
      </c>
      <c r="L1855" s="15">
        <f t="shared" si="159"/>
        <v>0</v>
      </c>
      <c r="M1855" s="16">
        <f t="shared" si="160"/>
        <v>199.38719899999998</v>
      </c>
      <c r="N1855" s="17">
        <f t="shared" si="161"/>
        <v>2.23</v>
      </c>
      <c r="O1855" s="17">
        <f t="shared" si="162"/>
        <v>2453</v>
      </c>
      <c r="P1855" s="18">
        <f t="shared" si="163"/>
        <v>219325.91889999999</v>
      </c>
    </row>
    <row r="1856" spans="2:16" ht="12.75">
      <c r="B1856" s="10">
        <v>46129</v>
      </c>
      <c r="C1856" s="11">
        <f>VLOOKUP(B:B,'Курс валют'!A:D,4,0)</f>
        <v>89.411299999999997</v>
      </c>
      <c r="D1856" s="57" t="s">
        <v>960</v>
      </c>
      <c r="E1856" s="50" t="s">
        <v>15</v>
      </c>
      <c r="F1856" s="58">
        <v>1100</v>
      </c>
      <c r="G1856" s="13">
        <v>1107.5</v>
      </c>
      <c r="H1856" s="56">
        <v>0</v>
      </c>
      <c r="I1856" s="13">
        <f t="shared" si="166"/>
        <v>7.5</v>
      </c>
      <c r="J1856" s="14">
        <f t="shared" si="158"/>
        <v>0.68181818181818177</v>
      </c>
      <c r="K1856" s="56">
        <v>2.23</v>
      </c>
      <c r="L1856" s="15">
        <f t="shared" si="159"/>
        <v>0</v>
      </c>
      <c r="M1856" s="16">
        <f t="shared" si="160"/>
        <v>199.38719899999998</v>
      </c>
      <c r="N1856" s="17">
        <f t="shared" si="161"/>
        <v>2.23</v>
      </c>
      <c r="O1856" s="17">
        <f t="shared" si="162"/>
        <v>2453</v>
      </c>
      <c r="P1856" s="18">
        <f t="shared" si="163"/>
        <v>219325.91889999999</v>
      </c>
    </row>
    <row r="1857" spans="2:16" ht="12.75">
      <c r="B1857" s="10">
        <v>46129</v>
      </c>
      <c r="C1857" s="11">
        <f>VLOOKUP(B:B,'Курс валют'!A:D,4,0)</f>
        <v>89.411299999999997</v>
      </c>
      <c r="D1857" s="57" t="s">
        <v>961</v>
      </c>
      <c r="E1857" s="50" t="s">
        <v>15</v>
      </c>
      <c r="F1857" s="58">
        <v>1100</v>
      </c>
      <c r="G1857" s="13">
        <v>1107.5</v>
      </c>
      <c r="H1857" s="56">
        <v>0</v>
      </c>
      <c r="I1857" s="13">
        <f t="shared" si="166"/>
        <v>7.5</v>
      </c>
      <c r="J1857" s="14">
        <f t="shared" si="158"/>
        <v>0.68181818181818177</v>
      </c>
      <c r="K1857" s="56">
        <v>2.23</v>
      </c>
      <c r="L1857" s="15">
        <f t="shared" si="159"/>
        <v>0</v>
      </c>
      <c r="M1857" s="16">
        <f t="shared" si="160"/>
        <v>199.38719899999998</v>
      </c>
      <c r="N1857" s="17">
        <f t="shared" si="161"/>
        <v>2.23</v>
      </c>
      <c r="O1857" s="17">
        <f t="shared" si="162"/>
        <v>2453</v>
      </c>
      <c r="P1857" s="18">
        <f t="shared" si="163"/>
        <v>219325.91889999999</v>
      </c>
    </row>
    <row r="1858" spans="2:16" ht="12.75">
      <c r="B1858" s="10">
        <v>46129</v>
      </c>
      <c r="C1858" s="11">
        <f>VLOOKUP(B:B,'Курс валют'!A:D,4,0)</f>
        <v>89.411299999999997</v>
      </c>
      <c r="D1858" s="57" t="s">
        <v>962</v>
      </c>
      <c r="E1858" s="50" t="s">
        <v>15</v>
      </c>
      <c r="F1858" s="58">
        <v>1100</v>
      </c>
      <c r="G1858" s="13">
        <v>1107.5</v>
      </c>
      <c r="H1858" s="56">
        <v>0</v>
      </c>
      <c r="I1858" s="13">
        <f t="shared" si="166"/>
        <v>7.5</v>
      </c>
      <c r="J1858" s="14">
        <f t="shared" si="158"/>
        <v>0.68181818181818177</v>
      </c>
      <c r="K1858" s="56">
        <v>2.23</v>
      </c>
      <c r="L1858" s="15">
        <f t="shared" si="159"/>
        <v>0</v>
      </c>
      <c r="M1858" s="16">
        <f t="shared" si="160"/>
        <v>199.38719899999998</v>
      </c>
      <c r="N1858" s="17">
        <f t="shared" si="161"/>
        <v>2.23</v>
      </c>
      <c r="O1858" s="17">
        <f t="shared" si="162"/>
        <v>2453</v>
      </c>
      <c r="P1858" s="18">
        <f t="shared" si="163"/>
        <v>219325.91889999999</v>
      </c>
    </row>
    <row r="1859" spans="2:16" ht="12.75">
      <c r="B1859" s="10">
        <v>46129</v>
      </c>
      <c r="C1859" s="11">
        <f>VLOOKUP(B:B,'Курс валют'!A:D,4,0)</f>
        <v>89.411299999999997</v>
      </c>
      <c r="D1859" s="57" t="s">
        <v>963</v>
      </c>
      <c r="E1859" s="50" t="s">
        <v>15</v>
      </c>
      <c r="F1859" s="58">
        <v>1100</v>
      </c>
      <c r="G1859" s="13">
        <v>1107.5</v>
      </c>
      <c r="H1859" s="56">
        <v>0</v>
      </c>
      <c r="I1859" s="13">
        <f t="shared" si="166"/>
        <v>7.5</v>
      </c>
      <c r="J1859" s="14">
        <f t="shared" si="158"/>
        <v>0.68181818181818177</v>
      </c>
      <c r="K1859" s="56">
        <v>2.23</v>
      </c>
      <c r="L1859" s="15">
        <f t="shared" si="159"/>
        <v>0</v>
      </c>
      <c r="M1859" s="16">
        <f t="shared" si="160"/>
        <v>199.38719899999998</v>
      </c>
      <c r="N1859" s="17">
        <f t="shared" si="161"/>
        <v>2.23</v>
      </c>
      <c r="O1859" s="17">
        <f t="shared" si="162"/>
        <v>2453</v>
      </c>
      <c r="P1859" s="18">
        <f t="shared" si="163"/>
        <v>219325.91889999999</v>
      </c>
    </row>
    <row r="1860" spans="2:16" ht="12.75">
      <c r="B1860" s="10">
        <v>46129</v>
      </c>
      <c r="C1860" s="11">
        <f>VLOOKUP(B:B,'Курс валют'!A:D,4,0)</f>
        <v>89.411299999999997</v>
      </c>
      <c r="D1860" s="57" t="s">
        <v>964</v>
      </c>
      <c r="E1860" s="50" t="s">
        <v>15</v>
      </c>
      <c r="F1860" s="58">
        <v>1100</v>
      </c>
      <c r="G1860" s="13">
        <v>1107.5</v>
      </c>
      <c r="H1860" s="56">
        <v>0</v>
      </c>
      <c r="I1860" s="13">
        <f t="shared" si="166"/>
        <v>7.5</v>
      </c>
      <c r="J1860" s="14">
        <f t="shared" si="158"/>
        <v>0.68181818181818177</v>
      </c>
      <c r="K1860" s="56">
        <v>2.23</v>
      </c>
      <c r="L1860" s="15">
        <f t="shared" si="159"/>
        <v>0</v>
      </c>
      <c r="M1860" s="16">
        <f t="shared" si="160"/>
        <v>199.38719899999998</v>
      </c>
      <c r="N1860" s="17">
        <f t="shared" si="161"/>
        <v>2.23</v>
      </c>
      <c r="O1860" s="17">
        <f t="shared" si="162"/>
        <v>2453</v>
      </c>
      <c r="P1860" s="18">
        <f t="shared" si="163"/>
        <v>219325.91889999999</v>
      </c>
    </row>
    <row r="1861" spans="2:16" ht="12.75">
      <c r="B1861" s="10">
        <v>46129</v>
      </c>
      <c r="C1861" s="11">
        <f>VLOOKUP(B:B,'Курс валют'!A:D,4,0)</f>
        <v>89.411299999999997</v>
      </c>
      <c r="D1861" s="57" t="s">
        <v>965</v>
      </c>
      <c r="E1861" s="50" t="s">
        <v>125</v>
      </c>
      <c r="F1861" s="58">
        <v>2200</v>
      </c>
      <c r="G1861" s="13">
        <v>2225.52</v>
      </c>
      <c r="H1861" s="56">
        <v>0</v>
      </c>
      <c r="I1861" s="13">
        <f t="shared" si="166"/>
        <v>25.519999999999982</v>
      </c>
      <c r="J1861" s="14">
        <f t="shared" si="158"/>
        <v>1.1599999999999993</v>
      </c>
      <c r="K1861" s="56">
        <v>1.8</v>
      </c>
      <c r="L1861" s="15">
        <f t="shared" si="159"/>
        <v>0</v>
      </c>
      <c r="M1861" s="16">
        <f t="shared" si="160"/>
        <v>160.94033999999999</v>
      </c>
      <c r="N1861" s="17">
        <f t="shared" si="161"/>
        <v>1.8</v>
      </c>
      <c r="O1861" s="17">
        <f t="shared" si="162"/>
        <v>3960</v>
      </c>
      <c r="P1861" s="18">
        <f t="shared" si="163"/>
        <v>354068.74799999996</v>
      </c>
    </row>
    <row r="1862" spans="2:16" ht="12.75">
      <c r="B1862" s="10">
        <v>46129</v>
      </c>
      <c r="C1862" s="11">
        <f>VLOOKUP(B:B,'Курс валют'!A:D,4,0)</f>
        <v>89.411299999999997</v>
      </c>
      <c r="D1862" s="57" t="s">
        <v>966</v>
      </c>
      <c r="E1862" s="50" t="s">
        <v>125</v>
      </c>
      <c r="F1862" s="58">
        <v>2200</v>
      </c>
      <c r="G1862" s="13">
        <v>2225.52</v>
      </c>
      <c r="H1862" s="56">
        <v>0</v>
      </c>
      <c r="I1862" s="13">
        <f t="shared" si="166"/>
        <v>25.519999999999982</v>
      </c>
      <c r="J1862" s="14">
        <f t="shared" si="158"/>
        <v>1.1599999999999993</v>
      </c>
      <c r="K1862" s="56">
        <v>1.8</v>
      </c>
      <c r="L1862" s="15">
        <f t="shared" si="159"/>
        <v>0</v>
      </c>
      <c r="M1862" s="16">
        <f t="shared" si="160"/>
        <v>160.94033999999999</v>
      </c>
      <c r="N1862" s="17">
        <f t="shared" si="161"/>
        <v>1.8</v>
      </c>
      <c r="O1862" s="17">
        <f t="shared" si="162"/>
        <v>3960</v>
      </c>
      <c r="P1862" s="18">
        <f t="shared" si="163"/>
        <v>354068.74799999996</v>
      </c>
    </row>
    <row r="1863" spans="2:16" ht="12.75">
      <c r="B1863" s="10">
        <v>46129</v>
      </c>
      <c r="C1863" s="11">
        <f>VLOOKUP(B:B,'Курс валют'!A:D,4,0)</f>
        <v>89.411299999999997</v>
      </c>
      <c r="D1863" s="57" t="s">
        <v>967</v>
      </c>
      <c r="E1863" s="50" t="s">
        <v>15</v>
      </c>
      <c r="F1863" s="58">
        <v>1100</v>
      </c>
      <c r="G1863" s="13">
        <v>1107.5</v>
      </c>
      <c r="H1863" s="56">
        <v>0</v>
      </c>
      <c r="I1863" s="13">
        <f t="shared" si="166"/>
        <v>7.5</v>
      </c>
      <c r="J1863" s="14">
        <f t="shared" si="158"/>
        <v>0.68181818181818177</v>
      </c>
      <c r="K1863" s="56">
        <v>2.23</v>
      </c>
      <c r="L1863" s="15">
        <f t="shared" si="159"/>
        <v>0</v>
      </c>
      <c r="M1863" s="16">
        <f t="shared" si="160"/>
        <v>199.38719899999998</v>
      </c>
      <c r="N1863" s="17">
        <f t="shared" si="161"/>
        <v>2.23</v>
      </c>
      <c r="O1863" s="17">
        <f t="shared" si="162"/>
        <v>2453</v>
      </c>
      <c r="P1863" s="18">
        <f t="shared" si="163"/>
        <v>219325.91889999999</v>
      </c>
    </row>
    <row r="1864" spans="2:16" ht="12.75">
      <c r="B1864" s="10">
        <v>46129</v>
      </c>
      <c r="C1864" s="11">
        <f>VLOOKUP(B:B,'Курс валют'!A:D,4,0)</f>
        <v>89.411299999999997</v>
      </c>
      <c r="D1864" s="57" t="s">
        <v>968</v>
      </c>
      <c r="E1864" s="50" t="s">
        <v>15</v>
      </c>
      <c r="F1864" s="58">
        <v>1100</v>
      </c>
      <c r="G1864" s="13">
        <v>1107.5</v>
      </c>
      <c r="H1864" s="56">
        <v>0</v>
      </c>
      <c r="I1864" s="13">
        <f t="shared" si="166"/>
        <v>7.5</v>
      </c>
      <c r="J1864" s="14">
        <f t="shared" si="158"/>
        <v>0.68181818181818177</v>
      </c>
      <c r="K1864" s="56">
        <v>2.2400000000000002</v>
      </c>
      <c r="L1864" s="15">
        <f t="shared" si="159"/>
        <v>0</v>
      </c>
      <c r="M1864" s="16">
        <f t="shared" si="160"/>
        <v>200.28131200000004</v>
      </c>
      <c r="N1864" s="17">
        <f t="shared" si="161"/>
        <v>2.2400000000000002</v>
      </c>
      <c r="O1864" s="17">
        <f t="shared" si="162"/>
        <v>2464.0000000000005</v>
      </c>
      <c r="P1864" s="18">
        <f t="shared" si="163"/>
        <v>220309.44320000004</v>
      </c>
    </row>
    <row r="1865" spans="2:16" ht="12.75">
      <c r="B1865" s="10">
        <v>46129</v>
      </c>
      <c r="C1865" s="11">
        <f>VLOOKUP(B:B,'Курс валют'!A:D,4,0)</f>
        <v>89.411299999999997</v>
      </c>
      <c r="D1865" s="57" t="s">
        <v>969</v>
      </c>
      <c r="E1865" s="50" t="s">
        <v>116</v>
      </c>
      <c r="F1865" s="58">
        <v>10</v>
      </c>
      <c r="G1865" s="13">
        <v>10.247999999999999</v>
      </c>
      <c r="H1865" s="56">
        <v>0</v>
      </c>
      <c r="I1865" s="13">
        <f t="shared" si="166"/>
        <v>0.24799999999999933</v>
      </c>
      <c r="J1865" s="14">
        <f t="shared" si="158"/>
        <v>2.4799999999999933</v>
      </c>
      <c r="K1865" s="56">
        <v>2.31</v>
      </c>
      <c r="L1865" s="15">
        <f t="shared" si="159"/>
        <v>0</v>
      </c>
      <c r="M1865" s="16">
        <f t="shared" si="160"/>
        <v>206.54010299999999</v>
      </c>
      <c r="N1865" s="17">
        <f t="shared" si="161"/>
        <v>2.31</v>
      </c>
      <c r="O1865" s="17">
        <f t="shared" si="162"/>
        <v>23.1</v>
      </c>
      <c r="P1865" s="18">
        <f t="shared" si="163"/>
        <v>2065.40103</v>
      </c>
    </row>
    <row r="1866" spans="2:16" ht="12.75">
      <c r="B1866" s="10">
        <v>46130</v>
      </c>
      <c r="C1866" s="11">
        <f>VLOOKUP(B:B,'Курс валют'!A:D,4,0)</f>
        <v>89.625600000000006</v>
      </c>
      <c r="D1866" s="57" t="s">
        <v>970</v>
      </c>
      <c r="E1866" s="50" t="s">
        <v>125</v>
      </c>
      <c r="F1866" s="58">
        <v>2200</v>
      </c>
      <c r="G1866" s="13">
        <v>2225.38</v>
      </c>
      <c r="H1866" s="56">
        <v>0</v>
      </c>
      <c r="I1866" s="13">
        <f t="shared" si="166"/>
        <v>25.380000000000109</v>
      </c>
      <c r="J1866" s="14">
        <f t="shared" si="158"/>
        <v>1.1536363636363687</v>
      </c>
      <c r="K1866" s="56">
        <v>1.81</v>
      </c>
      <c r="L1866" s="15">
        <f t="shared" si="159"/>
        <v>0</v>
      </c>
      <c r="M1866" s="16">
        <f t="shared" si="160"/>
        <v>162.22233600000001</v>
      </c>
      <c r="N1866" s="17">
        <f t="shared" si="161"/>
        <v>1.81</v>
      </c>
      <c r="O1866" s="17">
        <f t="shared" si="162"/>
        <v>3982</v>
      </c>
      <c r="P1866" s="18">
        <f t="shared" si="163"/>
        <v>356889.13920000003</v>
      </c>
    </row>
    <row r="1867" spans="2:16" ht="12.75">
      <c r="B1867" s="10">
        <v>46130</v>
      </c>
      <c r="C1867" s="11">
        <f>VLOOKUP(B:B,'Курс валют'!A:D,4,0)</f>
        <v>89.625600000000006</v>
      </c>
      <c r="D1867" s="57" t="s">
        <v>971</v>
      </c>
      <c r="E1867" s="50" t="s">
        <v>51</v>
      </c>
      <c r="F1867" s="58">
        <v>800</v>
      </c>
      <c r="G1867" s="13">
        <v>805.14</v>
      </c>
      <c r="H1867" s="56">
        <v>0</v>
      </c>
      <c r="I1867" s="13">
        <f t="shared" si="166"/>
        <v>5.1399999999999864</v>
      </c>
      <c r="J1867" s="14">
        <f t="shared" si="158"/>
        <v>0.64249999999999829</v>
      </c>
      <c r="K1867" s="56">
        <v>1.77</v>
      </c>
      <c r="L1867" s="15">
        <f t="shared" si="159"/>
        <v>0</v>
      </c>
      <c r="M1867" s="16">
        <f t="shared" si="160"/>
        <v>158.63731200000001</v>
      </c>
      <c r="N1867" s="17">
        <f t="shared" si="161"/>
        <v>1.77</v>
      </c>
      <c r="O1867" s="17">
        <f t="shared" si="162"/>
        <v>1416</v>
      </c>
      <c r="P1867" s="18">
        <f t="shared" si="163"/>
        <v>126909.8496</v>
      </c>
    </row>
    <row r="1868" spans="2:16" ht="12.75">
      <c r="B1868" s="10">
        <v>46130</v>
      </c>
      <c r="C1868" s="11">
        <f>VLOOKUP(B:B,'Курс валют'!A:D,4,0)</f>
        <v>89.625600000000006</v>
      </c>
      <c r="D1868" s="57" t="s">
        <v>972</v>
      </c>
      <c r="E1868" s="50" t="s">
        <v>51</v>
      </c>
      <c r="F1868" s="58">
        <v>800</v>
      </c>
      <c r="G1868" s="13">
        <v>805.14</v>
      </c>
      <c r="H1868" s="56">
        <v>0</v>
      </c>
      <c r="I1868" s="13">
        <f t="shared" si="166"/>
        <v>5.1399999999999864</v>
      </c>
      <c r="J1868" s="14">
        <f t="shared" si="158"/>
        <v>0.64249999999999829</v>
      </c>
      <c r="K1868" s="56">
        <v>1.77</v>
      </c>
      <c r="L1868" s="15">
        <f t="shared" si="159"/>
        <v>0</v>
      </c>
      <c r="M1868" s="16">
        <f t="shared" si="160"/>
        <v>158.63731200000001</v>
      </c>
      <c r="N1868" s="17">
        <f t="shared" si="161"/>
        <v>1.77</v>
      </c>
      <c r="O1868" s="17">
        <f t="shared" si="162"/>
        <v>1416</v>
      </c>
      <c r="P1868" s="18">
        <f t="shared" si="163"/>
        <v>126909.8496</v>
      </c>
    </row>
    <row r="1869" spans="2:16" ht="12.75">
      <c r="B1869" s="10">
        <v>46130</v>
      </c>
      <c r="C1869" s="11">
        <f>VLOOKUP(B:B,'Курс валют'!A:D,4,0)</f>
        <v>89.625600000000006</v>
      </c>
      <c r="D1869" s="57" t="s">
        <v>973</v>
      </c>
      <c r="E1869" s="50" t="s">
        <v>51</v>
      </c>
      <c r="F1869" s="58">
        <v>800</v>
      </c>
      <c r="G1869" s="13">
        <v>805.14</v>
      </c>
      <c r="H1869" s="56">
        <v>0</v>
      </c>
      <c r="I1869" s="13">
        <f t="shared" si="166"/>
        <v>5.1399999999999864</v>
      </c>
      <c r="J1869" s="14">
        <f t="shared" si="158"/>
        <v>0.64249999999999829</v>
      </c>
      <c r="K1869" s="56">
        <v>1.77</v>
      </c>
      <c r="L1869" s="15">
        <f t="shared" si="159"/>
        <v>0</v>
      </c>
      <c r="M1869" s="16">
        <f t="shared" si="160"/>
        <v>158.63731200000001</v>
      </c>
      <c r="N1869" s="17">
        <f t="shared" si="161"/>
        <v>1.77</v>
      </c>
      <c r="O1869" s="17">
        <f t="shared" si="162"/>
        <v>1416</v>
      </c>
      <c r="P1869" s="18">
        <f t="shared" si="163"/>
        <v>126909.8496</v>
      </c>
    </row>
    <row r="1870" spans="2:16" ht="12.75">
      <c r="B1870" s="10">
        <v>46130</v>
      </c>
      <c r="C1870" s="11">
        <f>VLOOKUP(B:B,'Курс валют'!A:D,4,0)</f>
        <v>89.625600000000006</v>
      </c>
      <c r="D1870" s="57" t="s">
        <v>974</v>
      </c>
      <c r="E1870" s="50" t="s">
        <v>51</v>
      </c>
      <c r="F1870" s="58">
        <v>800</v>
      </c>
      <c r="G1870" s="13">
        <v>805.14</v>
      </c>
      <c r="H1870" s="56">
        <v>0</v>
      </c>
      <c r="I1870" s="13">
        <f t="shared" si="166"/>
        <v>5.1399999999999864</v>
      </c>
      <c r="J1870" s="14">
        <f t="shared" si="158"/>
        <v>0.64249999999999829</v>
      </c>
      <c r="K1870" s="56">
        <v>1.77</v>
      </c>
      <c r="L1870" s="15">
        <f t="shared" si="159"/>
        <v>0</v>
      </c>
      <c r="M1870" s="16">
        <f t="shared" si="160"/>
        <v>158.63731200000001</v>
      </c>
      <c r="N1870" s="17">
        <f t="shared" si="161"/>
        <v>1.77</v>
      </c>
      <c r="O1870" s="17">
        <f t="shared" si="162"/>
        <v>1416</v>
      </c>
      <c r="P1870" s="18">
        <f t="shared" si="163"/>
        <v>126909.8496</v>
      </c>
    </row>
    <row r="1871" spans="2:16" ht="12.75">
      <c r="B1871" s="10">
        <v>46130</v>
      </c>
      <c r="C1871" s="11">
        <f>VLOOKUP(B:B,'Курс валют'!A:D,4,0)</f>
        <v>89.625600000000006</v>
      </c>
      <c r="D1871" s="57" t="s">
        <v>975</v>
      </c>
      <c r="E1871" s="50" t="s">
        <v>51</v>
      </c>
      <c r="F1871" s="58">
        <v>800</v>
      </c>
      <c r="G1871" s="13">
        <v>805.14</v>
      </c>
      <c r="H1871" s="56">
        <v>0</v>
      </c>
      <c r="I1871" s="13">
        <f t="shared" si="166"/>
        <v>5.1399999999999864</v>
      </c>
      <c r="J1871" s="14">
        <f t="shared" si="158"/>
        <v>0.64249999999999829</v>
      </c>
      <c r="K1871" s="56">
        <v>1.77</v>
      </c>
      <c r="L1871" s="15">
        <f t="shared" si="159"/>
        <v>0</v>
      </c>
      <c r="M1871" s="16">
        <f t="shared" si="160"/>
        <v>158.63731200000001</v>
      </c>
      <c r="N1871" s="17">
        <f t="shared" si="161"/>
        <v>1.77</v>
      </c>
      <c r="O1871" s="17">
        <f t="shared" si="162"/>
        <v>1416</v>
      </c>
      <c r="P1871" s="18">
        <f t="shared" si="163"/>
        <v>126909.8496</v>
      </c>
    </row>
    <row r="1872" spans="2:16" ht="12.75">
      <c r="B1872" s="10">
        <v>46130</v>
      </c>
      <c r="C1872" s="11">
        <f>VLOOKUP(B:B,'Курс валют'!A:D,4,0)</f>
        <v>89.625600000000006</v>
      </c>
      <c r="D1872" s="57" t="s">
        <v>976</v>
      </c>
      <c r="E1872" s="50" t="s">
        <v>51</v>
      </c>
      <c r="F1872" s="58">
        <v>800</v>
      </c>
      <c r="G1872" s="13">
        <v>805.14</v>
      </c>
      <c r="H1872" s="56">
        <v>0</v>
      </c>
      <c r="I1872" s="13">
        <f t="shared" si="166"/>
        <v>5.1399999999999864</v>
      </c>
      <c r="J1872" s="14">
        <f t="shared" si="158"/>
        <v>0.64249999999999829</v>
      </c>
      <c r="K1872" s="56">
        <v>1.77</v>
      </c>
      <c r="L1872" s="15">
        <f t="shared" si="159"/>
        <v>0</v>
      </c>
      <c r="M1872" s="16">
        <f t="shared" si="160"/>
        <v>158.63731200000001</v>
      </c>
      <c r="N1872" s="17">
        <f t="shared" si="161"/>
        <v>1.77</v>
      </c>
      <c r="O1872" s="17">
        <f t="shared" si="162"/>
        <v>1416</v>
      </c>
      <c r="P1872" s="18">
        <f t="shared" si="163"/>
        <v>126909.8496</v>
      </c>
    </row>
    <row r="1873" spans="2:18" ht="12.75">
      <c r="B1873" s="10">
        <v>46130</v>
      </c>
      <c r="C1873" s="11">
        <f>VLOOKUP(B:B,'Курс валют'!A:D,4,0)</f>
        <v>89.625600000000006</v>
      </c>
      <c r="D1873" s="57" t="s">
        <v>977</v>
      </c>
      <c r="E1873" s="50" t="s">
        <v>51</v>
      </c>
      <c r="F1873" s="58">
        <v>800</v>
      </c>
      <c r="G1873" s="13">
        <v>805.14</v>
      </c>
      <c r="H1873" s="56">
        <v>0</v>
      </c>
      <c r="I1873" s="13">
        <f t="shared" si="166"/>
        <v>5.1399999999999864</v>
      </c>
      <c r="J1873" s="14">
        <f t="shared" si="158"/>
        <v>0.64249999999999829</v>
      </c>
      <c r="K1873" s="56">
        <v>1.77</v>
      </c>
      <c r="L1873" s="15">
        <f t="shared" si="159"/>
        <v>0</v>
      </c>
      <c r="M1873" s="16">
        <f t="shared" si="160"/>
        <v>158.63731200000001</v>
      </c>
      <c r="N1873" s="17">
        <f t="shared" si="161"/>
        <v>1.77</v>
      </c>
      <c r="O1873" s="17">
        <f t="shared" si="162"/>
        <v>1416</v>
      </c>
      <c r="P1873" s="18">
        <f t="shared" si="163"/>
        <v>126909.8496</v>
      </c>
    </row>
    <row r="1874" spans="2:18" ht="12.75">
      <c r="B1874" s="10">
        <v>46130</v>
      </c>
      <c r="C1874" s="11">
        <f>VLOOKUP(B:B,'Курс валют'!A:D,4,0)</f>
        <v>89.625600000000006</v>
      </c>
      <c r="D1874" s="57" t="s">
        <v>978</v>
      </c>
      <c r="E1874" s="50" t="s">
        <v>51</v>
      </c>
      <c r="F1874" s="58">
        <v>800</v>
      </c>
      <c r="G1874" s="13">
        <v>805.14</v>
      </c>
      <c r="H1874" s="56">
        <v>0</v>
      </c>
      <c r="I1874" s="13">
        <f t="shared" si="166"/>
        <v>5.1399999999999864</v>
      </c>
      <c r="J1874" s="14">
        <f t="shared" si="158"/>
        <v>0.64249999999999829</v>
      </c>
      <c r="K1874" s="56">
        <v>1.94</v>
      </c>
      <c r="L1874" s="15">
        <f t="shared" si="159"/>
        <v>0</v>
      </c>
      <c r="M1874" s="16">
        <f t="shared" si="160"/>
        <v>173.87366400000002</v>
      </c>
      <c r="N1874" s="17">
        <f t="shared" si="161"/>
        <v>1.94</v>
      </c>
      <c r="O1874" s="17">
        <f t="shared" si="162"/>
        <v>1552</v>
      </c>
      <c r="P1874" s="18">
        <f t="shared" si="163"/>
        <v>139098.93120000002</v>
      </c>
    </row>
    <row r="1875" spans="2:18" ht="12.75">
      <c r="B1875" s="10">
        <v>46130</v>
      </c>
      <c r="C1875" s="11">
        <f>VLOOKUP(B:B,'Курс валют'!A:D,4,0)</f>
        <v>89.625600000000006</v>
      </c>
      <c r="D1875" s="57" t="s">
        <v>979</v>
      </c>
      <c r="E1875" s="50" t="s">
        <v>51</v>
      </c>
      <c r="F1875" s="58">
        <v>800</v>
      </c>
      <c r="G1875" s="13">
        <v>805.14</v>
      </c>
      <c r="H1875" s="56">
        <v>0</v>
      </c>
      <c r="I1875" s="13">
        <f t="shared" si="166"/>
        <v>5.1399999999999864</v>
      </c>
      <c r="J1875" s="14">
        <f t="shared" si="158"/>
        <v>0.64249999999999829</v>
      </c>
      <c r="K1875" s="56">
        <v>1.91</v>
      </c>
      <c r="L1875" s="15">
        <f t="shared" si="159"/>
        <v>0</v>
      </c>
      <c r="M1875" s="16">
        <f t="shared" si="160"/>
        <v>171.18489600000001</v>
      </c>
      <c r="N1875" s="17">
        <f t="shared" si="161"/>
        <v>1.91</v>
      </c>
      <c r="O1875" s="17">
        <f t="shared" si="162"/>
        <v>1528</v>
      </c>
      <c r="P1875" s="18">
        <f t="shared" si="163"/>
        <v>136947.91680000001</v>
      </c>
    </row>
    <row r="1876" spans="2:18" ht="12.75">
      <c r="B1876" s="10">
        <v>46130</v>
      </c>
      <c r="C1876" s="11">
        <f>VLOOKUP(B:B,'Курс валют'!A:D,4,0)</f>
        <v>89.625600000000006</v>
      </c>
      <c r="D1876" s="57" t="s">
        <v>980</v>
      </c>
      <c r="E1876" s="50" t="s">
        <v>51</v>
      </c>
      <c r="F1876" s="58">
        <v>800</v>
      </c>
      <c r="G1876" s="13">
        <v>805.14</v>
      </c>
      <c r="H1876" s="56">
        <v>0</v>
      </c>
      <c r="I1876" s="13">
        <f t="shared" si="166"/>
        <v>5.1399999999999864</v>
      </c>
      <c r="J1876" s="14">
        <f t="shared" si="158"/>
        <v>0.64249999999999829</v>
      </c>
      <c r="K1876" s="56">
        <v>1.88</v>
      </c>
      <c r="L1876" s="15">
        <f t="shared" si="159"/>
        <v>0</v>
      </c>
      <c r="M1876" s="16">
        <f t="shared" si="160"/>
        <v>168.49612800000003</v>
      </c>
      <c r="N1876" s="17">
        <f t="shared" si="161"/>
        <v>1.88</v>
      </c>
      <c r="O1876" s="17">
        <f t="shared" si="162"/>
        <v>1504</v>
      </c>
      <c r="P1876" s="18">
        <f t="shared" si="163"/>
        <v>134796.90240000002</v>
      </c>
    </row>
    <row r="1877" spans="2:18" ht="12.75">
      <c r="B1877" s="10">
        <v>46131</v>
      </c>
      <c r="C1877" s="11">
        <f>VLOOKUP(B:B,'Курс валют'!A:D,4,0)</f>
        <v>89.625600000000006</v>
      </c>
      <c r="D1877" s="57" t="s">
        <v>981</v>
      </c>
      <c r="E1877" s="50" t="s">
        <v>125</v>
      </c>
      <c r="F1877" s="58">
        <v>2200</v>
      </c>
      <c r="G1877" s="58">
        <v>2225.52</v>
      </c>
      <c r="H1877" s="56">
        <v>0</v>
      </c>
      <c r="I1877" s="58">
        <f t="shared" si="166"/>
        <v>25.519999999999982</v>
      </c>
      <c r="J1877" s="14">
        <f t="shared" si="158"/>
        <v>1.1599999999999993</v>
      </c>
      <c r="K1877" s="56">
        <v>1.81</v>
      </c>
      <c r="L1877" s="15">
        <f t="shared" si="159"/>
        <v>0</v>
      </c>
      <c r="M1877" s="16">
        <f t="shared" si="160"/>
        <v>162.22233600000001</v>
      </c>
      <c r="N1877" s="17">
        <f t="shared" si="161"/>
        <v>1.81</v>
      </c>
      <c r="O1877" s="17">
        <f t="shared" si="162"/>
        <v>3982</v>
      </c>
      <c r="P1877" s="18">
        <f t="shared" si="163"/>
        <v>356889.13920000003</v>
      </c>
    </row>
    <row r="1878" spans="2:18" ht="12.75">
      <c r="B1878" s="10">
        <v>46131</v>
      </c>
      <c r="C1878" s="11">
        <f>VLOOKUP(B:B,'Курс валют'!A:D,4,0)</f>
        <v>89.625600000000006</v>
      </c>
      <c r="D1878" s="57" t="s">
        <v>982</v>
      </c>
      <c r="E1878" s="50" t="s">
        <v>95</v>
      </c>
      <c r="F1878" s="58">
        <v>6120</v>
      </c>
      <c r="G1878" s="58">
        <v>6150</v>
      </c>
      <c r="H1878" s="56">
        <v>0</v>
      </c>
      <c r="I1878" s="58">
        <f t="shared" si="166"/>
        <v>30</v>
      </c>
      <c r="J1878" s="14">
        <f t="shared" si="158"/>
        <v>0.49019607843137253</v>
      </c>
      <c r="K1878" s="56">
        <v>2.25</v>
      </c>
      <c r="L1878" s="15">
        <f t="shared" si="159"/>
        <v>0</v>
      </c>
      <c r="M1878" s="16">
        <f t="shared" si="160"/>
        <v>201.65760000000003</v>
      </c>
      <c r="N1878" s="17">
        <f t="shared" si="161"/>
        <v>2.25</v>
      </c>
      <c r="O1878" s="17">
        <f t="shared" si="162"/>
        <v>13770</v>
      </c>
      <c r="P1878" s="18">
        <f t="shared" si="163"/>
        <v>1234144.5120000001</v>
      </c>
    </row>
    <row r="1879" spans="2:18" ht="12.75">
      <c r="B1879" s="10">
        <v>46131</v>
      </c>
      <c r="C1879" s="11">
        <f>VLOOKUP(B:B,'Курс валют'!A:D,4,0)</f>
        <v>89.625600000000006</v>
      </c>
      <c r="D1879" s="57" t="s">
        <v>983</v>
      </c>
      <c r="E1879" s="50" t="s">
        <v>117</v>
      </c>
      <c r="F1879" s="58">
        <v>60</v>
      </c>
      <c r="G1879" s="58">
        <v>63.1</v>
      </c>
      <c r="H1879" s="56">
        <v>0</v>
      </c>
      <c r="I1879" s="58">
        <f t="shared" si="166"/>
        <v>3.1000000000000014</v>
      </c>
      <c r="J1879" s="14">
        <f t="shared" si="158"/>
        <v>5.1666666666666687</v>
      </c>
      <c r="K1879" s="56">
        <v>3.55</v>
      </c>
      <c r="L1879" s="15">
        <f t="shared" si="159"/>
        <v>0</v>
      </c>
      <c r="M1879" s="16">
        <f t="shared" si="160"/>
        <v>318.17088000000001</v>
      </c>
      <c r="N1879" s="17">
        <f t="shared" si="161"/>
        <v>3.55</v>
      </c>
      <c r="O1879" s="17">
        <f t="shared" si="162"/>
        <v>213</v>
      </c>
      <c r="P1879" s="18">
        <f t="shared" si="163"/>
        <v>19090.252800000002</v>
      </c>
    </row>
    <row r="1880" spans="2:18" ht="12.75">
      <c r="B1880" s="10">
        <v>46132</v>
      </c>
      <c r="C1880" s="11">
        <f>VLOOKUP(B:B,'Курс валют'!A:D,4,0)</f>
        <v>89.625600000000006</v>
      </c>
      <c r="D1880" s="57" t="s">
        <v>984</v>
      </c>
      <c r="E1880" s="50" t="s">
        <v>125</v>
      </c>
      <c r="F1880" s="58">
        <v>2200</v>
      </c>
      <c r="G1880" s="13">
        <v>2225.52</v>
      </c>
      <c r="H1880" s="56">
        <v>0</v>
      </c>
      <c r="I1880" s="13">
        <f t="shared" si="166"/>
        <v>25.519999999999982</v>
      </c>
      <c r="J1880" s="14">
        <f t="shared" si="158"/>
        <v>1.1599999999999993</v>
      </c>
      <c r="K1880" s="56">
        <v>1.81</v>
      </c>
      <c r="L1880" s="15">
        <f t="shared" si="159"/>
        <v>0</v>
      </c>
      <c r="M1880" s="16">
        <f t="shared" si="160"/>
        <v>162.22233600000001</v>
      </c>
      <c r="N1880" s="17">
        <f t="shared" si="161"/>
        <v>1.81</v>
      </c>
      <c r="O1880" s="17">
        <f t="shared" si="162"/>
        <v>3982</v>
      </c>
      <c r="P1880" s="18">
        <f t="shared" si="163"/>
        <v>356889.13920000003</v>
      </c>
    </row>
    <row r="1881" spans="2:18" ht="12.75">
      <c r="B1881" s="10">
        <v>46132</v>
      </c>
      <c r="C1881" s="11">
        <f>VLOOKUP(B:B,'Курс валют'!A:D,4,0)</f>
        <v>89.625600000000006</v>
      </c>
      <c r="D1881" s="57" t="s">
        <v>985</v>
      </c>
      <c r="E1881" s="50" t="s">
        <v>78</v>
      </c>
      <c r="F1881" s="58">
        <v>2000</v>
      </c>
      <c r="G1881" s="13">
        <v>2060.65</v>
      </c>
      <c r="H1881" s="56">
        <v>0</v>
      </c>
      <c r="I1881" s="13">
        <f t="shared" si="166"/>
        <v>60.650000000000091</v>
      </c>
      <c r="J1881" s="14">
        <f t="shared" si="158"/>
        <v>3.0325000000000046</v>
      </c>
      <c r="K1881" s="56">
        <v>2.33</v>
      </c>
      <c r="L1881" s="15">
        <f t="shared" si="159"/>
        <v>0</v>
      </c>
      <c r="M1881" s="16">
        <f t="shared" si="160"/>
        <v>208.82764800000001</v>
      </c>
      <c r="N1881" s="17">
        <f t="shared" si="161"/>
        <v>2.33</v>
      </c>
      <c r="O1881" s="17">
        <f t="shared" si="162"/>
        <v>4660</v>
      </c>
      <c r="P1881" s="18">
        <f t="shared" si="163"/>
        <v>417655.29600000003</v>
      </c>
    </row>
    <row r="1882" spans="2:18" ht="12.75">
      <c r="B1882" s="10">
        <v>46133</v>
      </c>
      <c r="C1882" s="11">
        <f>VLOOKUP(B:B,'Курс валют'!A:D,4,0)</f>
        <v>88.376900000000006</v>
      </c>
      <c r="D1882" s="57" t="s">
        <v>986</v>
      </c>
      <c r="E1882" s="50" t="s">
        <v>113</v>
      </c>
      <c r="F1882" s="58">
        <v>140</v>
      </c>
      <c r="G1882" s="58">
        <v>146.19999999999999</v>
      </c>
      <c r="H1882" s="56"/>
      <c r="I1882" s="58">
        <f t="shared" si="166"/>
        <v>6.1999999999999886</v>
      </c>
      <c r="J1882" s="14">
        <f t="shared" si="158"/>
        <v>4.4285714285714208</v>
      </c>
      <c r="K1882" s="56"/>
      <c r="L1882" s="15">
        <f t="shared" si="159"/>
        <v>0</v>
      </c>
      <c r="M1882" s="16">
        <f t="shared" si="160"/>
        <v>0</v>
      </c>
      <c r="N1882" s="17">
        <f t="shared" si="161"/>
        <v>0</v>
      </c>
      <c r="O1882" s="17">
        <f t="shared" si="162"/>
        <v>0</v>
      </c>
      <c r="P1882" s="18">
        <f t="shared" si="163"/>
        <v>0</v>
      </c>
    </row>
    <row r="1883" spans="2:18" ht="12.75">
      <c r="B1883" s="10">
        <v>46133</v>
      </c>
      <c r="C1883" s="11">
        <f>VLOOKUP(B:B,'Курс валют'!A:D,4,0)</f>
        <v>88.376900000000006</v>
      </c>
      <c r="D1883" s="57" t="s">
        <v>987</v>
      </c>
      <c r="E1883" s="50" t="s">
        <v>112</v>
      </c>
      <c r="F1883" s="58">
        <v>80</v>
      </c>
      <c r="G1883" s="58">
        <v>84.07</v>
      </c>
      <c r="H1883" s="56">
        <v>0</v>
      </c>
      <c r="I1883" s="58">
        <f t="shared" si="166"/>
        <v>4.0699999999999932</v>
      </c>
      <c r="J1883" s="14">
        <f t="shared" si="158"/>
        <v>5.0874999999999915</v>
      </c>
      <c r="K1883" s="56">
        <v>2.97</v>
      </c>
      <c r="L1883" s="15">
        <f t="shared" si="159"/>
        <v>0</v>
      </c>
      <c r="M1883" s="16">
        <f t="shared" si="160"/>
        <v>262.47939300000002</v>
      </c>
      <c r="N1883" s="17">
        <f t="shared" si="161"/>
        <v>2.97</v>
      </c>
      <c r="O1883" s="17">
        <f t="shared" si="162"/>
        <v>237.60000000000002</v>
      </c>
      <c r="P1883" s="18">
        <f t="shared" si="163"/>
        <v>20998.351440000002</v>
      </c>
    </row>
    <row r="1884" spans="2:18" ht="12.75">
      <c r="B1884" s="10">
        <v>46133</v>
      </c>
      <c r="C1884" s="11">
        <f>VLOOKUP(B:B,'Курс валют'!A:D,4,0)</f>
        <v>88.376900000000006</v>
      </c>
      <c r="D1884" s="57" t="s">
        <v>988</v>
      </c>
      <c r="E1884" s="50" t="s">
        <v>60</v>
      </c>
      <c r="F1884" s="58">
        <v>2250</v>
      </c>
      <c r="G1884" s="13">
        <v>2273.1</v>
      </c>
      <c r="H1884" s="56">
        <v>0</v>
      </c>
      <c r="I1884" s="13">
        <f t="shared" si="166"/>
        <v>23.099999999999909</v>
      </c>
      <c r="J1884" s="14">
        <f t="shared" si="158"/>
        <v>1.0266666666666626</v>
      </c>
      <c r="K1884" s="56">
        <v>1.94</v>
      </c>
      <c r="L1884" s="15">
        <f t="shared" si="159"/>
        <v>0</v>
      </c>
      <c r="M1884" s="16">
        <f t="shared" si="160"/>
        <v>171.45118600000001</v>
      </c>
      <c r="N1884" s="17">
        <f t="shared" si="161"/>
        <v>1.94</v>
      </c>
      <c r="O1884" s="17">
        <f t="shared" si="162"/>
        <v>4365</v>
      </c>
      <c r="P1884" s="18">
        <f t="shared" si="163"/>
        <v>385765.16850000003</v>
      </c>
    </row>
    <row r="1885" spans="2:18" ht="12.75">
      <c r="B1885" s="10">
        <v>46133</v>
      </c>
      <c r="C1885" s="11">
        <f>VLOOKUP(B:B,'Курс валют'!A:D,4,0)</f>
        <v>88.376900000000006</v>
      </c>
      <c r="D1885" s="57" t="s">
        <v>989</v>
      </c>
      <c r="E1885" s="50" t="s">
        <v>204</v>
      </c>
      <c r="F1885" s="58">
        <v>220</v>
      </c>
      <c r="G1885" s="58">
        <v>220</v>
      </c>
      <c r="H1885" s="56">
        <v>0</v>
      </c>
      <c r="I1885" s="58">
        <f t="shared" si="166"/>
        <v>0</v>
      </c>
      <c r="J1885" s="14">
        <f t="shared" si="158"/>
        <v>0</v>
      </c>
      <c r="K1885" s="56">
        <v>2.5099999999999998</v>
      </c>
      <c r="L1885" s="15">
        <f t="shared" si="159"/>
        <v>0</v>
      </c>
      <c r="M1885" s="16">
        <f t="shared" si="160"/>
        <v>221.826019</v>
      </c>
      <c r="N1885" s="17">
        <f t="shared" si="161"/>
        <v>2.5099999999999998</v>
      </c>
      <c r="O1885" s="17">
        <f t="shared" si="162"/>
        <v>552.19999999999993</v>
      </c>
      <c r="P1885" s="18">
        <f t="shared" si="163"/>
        <v>48801.724179999997</v>
      </c>
      <c r="R1885" s="33" t="s">
        <v>990</v>
      </c>
    </row>
    <row r="1886" spans="2:18" ht="12.75">
      <c r="B1886" s="10">
        <v>46133</v>
      </c>
      <c r="C1886" s="11">
        <f>VLOOKUP(B:B,'Курс валют'!A:D,4,0)</f>
        <v>88.376900000000006</v>
      </c>
      <c r="D1886" s="57" t="s">
        <v>991</v>
      </c>
      <c r="E1886" s="50" t="s">
        <v>87</v>
      </c>
      <c r="F1886" s="58">
        <v>198</v>
      </c>
      <c r="G1886" s="58">
        <v>200</v>
      </c>
      <c r="H1886" s="56">
        <v>0</v>
      </c>
      <c r="I1886" s="58">
        <f t="shared" si="166"/>
        <v>2</v>
      </c>
      <c r="J1886" s="14">
        <f t="shared" si="158"/>
        <v>1.0101010101010102</v>
      </c>
      <c r="K1886" s="56">
        <v>2.3199999999999998</v>
      </c>
      <c r="L1886" s="15">
        <f t="shared" si="159"/>
        <v>0</v>
      </c>
      <c r="M1886" s="16">
        <f t="shared" si="160"/>
        <v>205.03440800000001</v>
      </c>
      <c r="N1886" s="17">
        <f t="shared" si="161"/>
        <v>2.3199999999999998</v>
      </c>
      <c r="O1886" s="17">
        <f t="shared" si="162"/>
        <v>459.35999999999996</v>
      </c>
      <c r="P1886" s="18">
        <f t="shared" si="163"/>
        <v>40596.812784000002</v>
      </c>
      <c r="R1886" s="33" t="s">
        <v>992</v>
      </c>
    </row>
    <row r="1887" spans="2:18" ht="12.75">
      <c r="B1887" s="10">
        <v>46133</v>
      </c>
      <c r="C1887" s="11">
        <f>VLOOKUP(B:B,'Курс валют'!A:D,4,0)</f>
        <v>88.376900000000006</v>
      </c>
      <c r="D1887" s="57" t="s">
        <v>993</v>
      </c>
      <c r="E1887" s="50" t="s">
        <v>56</v>
      </c>
      <c r="F1887" s="58">
        <v>2000</v>
      </c>
      <c r="G1887" s="13">
        <v>2056.5500000000002</v>
      </c>
      <c r="H1887" s="56">
        <v>0</v>
      </c>
      <c r="I1887" s="13">
        <f t="shared" si="166"/>
        <v>56.550000000000182</v>
      </c>
      <c r="J1887" s="14">
        <f t="shared" si="158"/>
        <v>2.827500000000009</v>
      </c>
      <c r="K1887" s="56">
        <v>2.3199999999999998</v>
      </c>
      <c r="L1887" s="15">
        <f t="shared" si="159"/>
        <v>0</v>
      </c>
      <c r="M1887" s="16">
        <f t="shared" si="160"/>
        <v>205.03440800000001</v>
      </c>
      <c r="N1887" s="17">
        <f t="shared" si="161"/>
        <v>2.3199999999999998</v>
      </c>
      <c r="O1887" s="17">
        <f t="shared" si="162"/>
        <v>4640</v>
      </c>
      <c r="P1887" s="18">
        <f t="shared" si="163"/>
        <v>410068.81600000005</v>
      </c>
    </row>
    <row r="1888" spans="2:18" ht="12.75">
      <c r="B1888" s="10">
        <v>46134</v>
      </c>
      <c r="C1888" s="11">
        <f>VLOOKUP(B:B,'Курс валют'!A:D,4,0)</f>
        <v>87.765900000000002</v>
      </c>
      <c r="D1888" s="57" t="s">
        <v>994</v>
      </c>
      <c r="E1888" s="50" t="s">
        <v>15</v>
      </c>
      <c r="F1888" s="58">
        <v>1100</v>
      </c>
      <c r="G1888" s="13">
        <v>1105.8</v>
      </c>
      <c r="H1888" s="56">
        <v>0</v>
      </c>
      <c r="I1888" s="13">
        <f t="shared" si="166"/>
        <v>5.7999999999999545</v>
      </c>
      <c r="J1888" s="14">
        <f t="shared" si="158"/>
        <v>0.52727272727272312</v>
      </c>
      <c r="K1888" s="56">
        <v>2.42</v>
      </c>
      <c r="L1888" s="15">
        <f t="shared" si="159"/>
        <v>0</v>
      </c>
      <c r="M1888" s="16">
        <f t="shared" si="160"/>
        <v>212.39347799999999</v>
      </c>
      <c r="N1888" s="17">
        <f t="shared" si="161"/>
        <v>2.42</v>
      </c>
      <c r="O1888" s="17">
        <f t="shared" si="162"/>
        <v>2662</v>
      </c>
      <c r="P1888" s="18">
        <f t="shared" si="163"/>
        <v>233632.82579999999</v>
      </c>
    </row>
    <row r="1889" spans="2:16" ht="12.75">
      <c r="B1889" s="10">
        <v>46134</v>
      </c>
      <c r="C1889" s="11">
        <f>VLOOKUP(B:B,'Курс валют'!A:D,4,0)</f>
        <v>87.765900000000002</v>
      </c>
      <c r="D1889" s="57" t="s">
        <v>995</v>
      </c>
      <c r="E1889" s="50" t="s">
        <v>15</v>
      </c>
      <c r="F1889" s="58">
        <v>1100</v>
      </c>
      <c r="G1889" s="13">
        <v>1105.8</v>
      </c>
      <c r="H1889" s="56">
        <v>0</v>
      </c>
      <c r="I1889" s="13">
        <f t="shared" si="166"/>
        <v>5.7999999999999545</v>
      </c>
      <c r="J1889" s="14">
        <f t="shared" si="158"/>
        <v>0.52727272727272312</v>
      </c>
      <c r="K1889" s="56">
        <v>2.42</v>
      </c>
      <c r="L1889" s="15">
        <f t="shared" si="159"/>
        <v>0</v>
      </c>
      <c r="M1889" s="16">
        <f t="shared" si="160"/>
        <v>212.39347799999999</v>
      </c>
      <c r="N1889" s="17">
        <f t="shared" si="161"/>
        <v>2.42</v>
      </c>
      <c r="O1889" s="17">
        <f t="shared" si="162"/>
        <v>2662</v>
      </c>
      <c r="P1889" s="18">
        <f t="shared" si="163"/>
        <v>233632.82579999999</v>
      </c>
    </row>
    <row r="1890" spans="2:16" ht="12.75">
      <c r="B1890" s="10">
        <v>46134</v>
      </c>
      <c r="C1890" s="11">
        <f>VLOOKUP(B:B,'Курс валют'!A:D,4,0)</f>
        <v>87.765900000000002</v>
      </c>
      <c r="D1890" s="57" t="s">
        <v>996</v>
      </c>
      <c r="E1890" s="50" t="s">
        <v>15</v>
      </c>
      <c r="F1890" s="58">
        <v>1100</v>
      </c>
      <c r="G1890" s="13">
        <v>1105.8</v>
      </c>
      <c r="H1890" s="56">
        <v>0</v>
      </c>
      <c r="I1890" s="13">
        <f t="shared" si="166"/>
        <v>5.7999999999999545</v>
      </c>
      <c r="J1890" s="14">
        <f t="shared" si="158"/>
        <v>0.52727272727272312</v>
      </c>
      <c r="K1890" s="56">
        <v>2.42</v>
      </c>
      <c r="L1890" s="15">
        <f t="shared" si="159"/>
        <v>0</v>
      </c>
      <c r="M1890" s="16">
        <f t="shared" si="160"/>
        <v>212.39347799999999</v>
      </c>
      <c r="N1890" s="17">
        <f t="shared" si="161"/>
        <v>2.42</v>
      </c>
      <c r="O1890" s="17">
        <f t="shared" si="162"/>
        <v>2662</v>
      </c>
      <c r="P1890" s="18">
        <f t="shared" si="163"/>
        <v>233632.82579999999</v>
      </c>
    </row>
    <row r="1891" spans="2:16" ht="12.75">
      <c r="B1891" s="10">
        <v>46134</v>
      </c>
      <c r="C1891" s="11">
        <f>VLOOKUP(B:B,'Курс валют'!A:D,4,0)</f>
        <v>87.765900000000002</v>
      </c>
      <c r="D1891" s="57" t="s">
        <v>997</v>
      </c>
      <c r="E1891" s="50" t="s">
        <v>15</v>
      </c>
      <c r="F1891" s="58">
        <v>1100</v>
      </c>
      <c r="G1891" s="13">
        <v>1105.8</v>
      </c>
      <c r="H1891" s="56">
        <v>0</v>
      </c>
      <c r="I1891" s="13">
        <f t="shared" si="166"/>
        <v>5.7999999999999545</v>
      </c>
      <c r="J1891" s="14">
        <f t="shared" si="158"/>
        <v>0.52727272727272312</v>
      </c>
      <c r="K1891" s="56">
        <v>2.42</v>
      </c>
      <c r="L1891" s="15">
        <f t="shared" si="159"/>
        <v>0</v>
      </c>
      <c r="M1891" s="16">
        <f t="shared" si="160"/>
        <v>212.39347799999999</v>
      </c>
      <c r="N1891" s="17">
        <f t="shared" si="161"/>
        <v>2.42</v>
      </c>
      <c r="O1891" s="17">
        <f t="shared" si="162"/>
        <v>2662</v>
      </c>
      <c r="P1891" s="18">
        <f t="shared" si="163"/>
        <v>233632.82579999999</v>
      </c>
    </row>
    <row r="1892" spans="2:16" ht="12.75">
      <c r="B1892" s="10">
        <v>46134</v>
      </c>
      <c r="C1892" s="11">
        <f>VLOOKUP(B:B,'Курс валют'!A:D,4,0)</f>
        <v>87.765900000000002</v>
      </c>
      <c r="D1892" s="57" t="s">
        <v>998</v>
      </c>
      <c r="E1892" s="50" t="s">
        <v>15</v>
      </c>
      <c r="F1892" s="58">
        <v>1100</v>
      </c>
      <c r="G1892" s="13">
        <v>1105.8</v>
      </c>
      <c r="H1892" s="56">
        <v>0</v>
      </c>
      <c r="I1892" s="13">
        <f t="shared" si="166"/>
        <v>5.7999999999999545</v>
      </c>
      <c r="J1892" s="14">
        <f t="shared" si="158"/>
        <v>0.52727272727272312</v>
      </c>
      <c r="K1892" s="56">
        <v>2.42</v>
      </c>
      <c r="L1892" s="15">
        <f t="shared" si="159"/>
        <v>0</v>
      </c>
      <c r="M1892" s="16">
        <f t="shared" si="160"/>
        <v>212.39347799999999</v>
      </c>
      <c r="N1892" s="17">
        <f t="shared" si="161"/>
        <v>2.42</v>
      </c>
      <c r="O1892" s="17">
        <f t="shared" si="162"/>
        <v>2662</v>
      </c>
      <c r="P1892" s="18">
        <f t="shared" si="163"/>
        <v>233632.82579999999</v>
      </c>
    </row>
    <row r="1893" spans="2:16" ht="12.75">
      <c r="B1893" s="10">
        <v>46134</v>
      </c>
      <c r="C1893" s="11">
        <f>VLOOKUP(B:B,'Курс валют'!A:D,4,0)</f>
        <v>87.765900000000002</v>
      </c>
      <c r="D1893" s="57" t="s">
        <v>999</v>
      </c>
      <c r="E1893" s="50" t="s">
        <v>15</v>
      </c>
      <c r="F1893" s="58">
        <v>1100</v>
      </c>
      <c r="G1893" s="13">
        <v>1105.8</v>
      </c>
      <c r="H1893" s="56">
        <v>0</v>
      </c>
      <c r="I1893" s="13">
        <f t="shared" si="166"/>
        <v>5.7999999999999545</v>
      </c>
      <c r="J1893" s="14">
        <f t="shared" si="158"/>
        <v>0.52727272727272312</v>
      </c>
      <c r="K1893" s="56">
        <v>2.42</v>
      </c>
      <c r="L1893" s="15">
        <f t="shared" si="159"/>
        <v>0</v>
      </c>
      <c r="M1893" s="16">
        <f t="shared" si="160"/>
        <v>212.39347799999999</v>
      </c>
      <c r="N1893" s="17">
        <f t="shared" si="161"/>
        <v>2.42</v>
      </c>
      <c r="O1893" s="17">
        <f t="shared" si="162"/>
        <v>2662</v>
      </c>
      <c r="P1893" s="18">
        <f t="shared" si="163"/>
        <v>233632.82579999999</v>
      </c>
    </row>
    <row r="1894" spans="2:16" ht="12.75">
      <c r="B1894" s="10">
        <v>46134</v>
      </c>
      <c r="C1894" s="11">
        <f>VLOOKUP(B:B,'Курс валют'!A:D,4,0)</f>
        <v>87.765900000000002</v>
      </c>
      <c r="D1894" s="57" t="s">
        <v>1000</v>
      </c>
      <c r="E1894" s="50" t="s">
        <v>15</v>
      </c>
      <c r="F1894" s="58">
        <v>1100</v>
      </c>
      <c r="G1894" s="13">
        <v>1105.8</v>
      </c>
      <c r="H1894" s="56">
        <v>0</v>
      </c>
      <c r="I1894" s="13">
        <f t="shared" si="166"/>
        <v>5.7999999999999545</v>
      </c>
      <c r="J1894" s="14">
        <f t="shared" si="158"/>
        <v>0.52727272727272312</v>
      </c>
      <c r="K1894" s="56">
        <v>2.41</v>
      </c>
      <c r="L1894" s="15">
        <f t="shared" si="159"/>
        <v>0</v>
      </c>
      <c r="M1894" s="16">
        <f t="shared" si="160"/>
        <v>211.51581899999999</v>
      </c>
      <c r="N1894" s="17">
        <f t="shared" si="161"/>
        <v>2.41</v>
      </c>
      <c r="O1894" s="17">
        <f t="shared" si="162"/>
        <v>2651</v>
      </c>
      <c r="P1894" s="18">
        <f t="shared" si="163"/>
        <v>232667.40090000001</v>
      </c>
    </row>
    <row r="1895" spans="2:16" ht="12.75">
      <c r="B1895" s="10">
        <v>46134</v>
      </c>
      <c r="C1895" s="11">
        <f>VLOOKUP(B:B,'Курс валют'!A:D,4,0)</f>
        <v>87.765900000000002</v>
      </c>
      <c r="D1895" s="57" t="s">
        <v>1001</v>
      </c>
      <c r="E1895" s="50" t="s">
        <v>15</v>
      </c>
      <c r="F1895" s="58">
        <v>1100</v>
      </c>
      <c r="G1895" s="13">
        <v>1105.8</v>
      </c>
      <c r="H1895" s="56">
        <v>0</v>
      </c>
      <c r="I1895" s="13">
        <f t="shared" si="166"/>
        <v>5.7999999999999545</v>
      </c>
      <c r="J1895" s="14">
        <f t="shared" si="158"/>
        <v>0.52727272727272312</v>
      </c>
      <c r="K1895" s="56">
        <v>2.41</v>
      </c>
      <c r="L1895" s="15">
        <f t="shared" si="159"/>
        <v>0</v>
      </c>
      <c r="M1895" s="16">
        <f t="shared" si="160"/>
        <v>211.51581899999999</v>
      </c>
      <c r="N1895" s="17">
        <f t="shared" si="161"/>
        <v>2.41</v>
      </c>
      <c r="O1895" s="17">
        <f t="shared" si="162"/>
        <v>2651</v>
      </c>
      <c r="P1895" s="18">
        <f t="shared" si="163"/>
        <v>232667.40090000001</v>
      </c>
    </row>
    <row r="1896" spans="2:16" ht="12.75">
      <c r="B1896" s="10">
        <v>46134</v>
      </c>
      <c r="C1896" s="11">
        <f>VLOOKUP(B:B,'Курс валют'!A:D,4,0)</f>
        <v>87.765900000000002</v>
      </c>
      <c r="D1896" s="57" t="s">
        <v>1002</v>
      </c>
      <c r="E1896" s="50" t="s">
        <v>125</v>
      </c>
      <c r="F1896" s="58">
        <v>2200</v>
      </c>
      <c r="G1896" s="13">
        <v>2228.52</v>
      </c>
      <c r="H1896" s="56">
        <v>0</v>
      </c>
      <c r="I1896" s="13">
        <f t="shared" si="166"/>
        <v>28.519999999999982</v>
      </c>
      <c r="J1896" s="14">
        <f t="shared" si="158"/>
        <v>1.2963636363636355</v>
      </c>
      <c r="K1896" s="56">
        <v>1.82</v>
      </c>
      <c r="L1896" s="15">
        <f t="shared" si="159"/>
        <v>0</v>
      </c>
      <c r="M1896" s="16">
        <f t="shared" si="160"/>
        <v>159.73393800000002</v>
      </c>
      <c r="N1896" s="17">
        <f t="shared" si="161"/>
        <v>1.82</v>
      </c>
      <c r="O1896" s="17">
        <f t="shared" si="162"/>
        <v>4004</v>
      </c>
      <c r="P1896" s="18">
        <f t="shared" si="163"/>
        <v>351414.66360000003</v>
      </c>
    </row>
    <row r="1897" spans="2:16" ht="12.75">
      <c r="B1897" s="10">
        <v>46135</v>
      </c>
      <c r="C1897" s="11">
        <f>VLOOKUP(B:B,'Курс валют'!A:D,4,0)</f>
        <v>87.973299999999995</v>
      </c>
      <c r="D1897" s="57" t="s">
        <v>1003</v>
      </c>
      <c r="E1897" s="50" t="s">
        <v>15</v>
      </c>
      <c r="F1897" s="58">
        <v>1100</v>
      </c>
      <c r="G1897" s="61">
        <v>1106</v>
      </c>
      <c r="H1897" s="56">
        <v>0</v>
      </c>
      <c r="I1897" s="61">
        <f t="shared" si="166"/>
        <v>6</v>
      </c>
      <c r="J1897" s="14">
        <f t="shared" si="158"/>
        <v>0.54545454545454553</v>
      </c>
      <c r="K1897" s="56">
        <v>2.42</v>
      </c>
      <c r="L1897" s="15">
        <f t="shared" si="159"/>
        <v>0</v>
      </c>
      <c r="M1897" s="16">
        <f t="shared" si="160"/>
        <v>212.895386</v>
      </c>
      <c r="N1897" s="17">
        <f t="shared" si="161"/>
        <v>2.42</v>
      </c>
      <c r="O1897" s="17">
        <f t="shared" si="162"/>
        <v>2662</v>
      </c>
      <c r="P1897" s="18">
        <f t="shared" si="163"/>
        <v>234184.9246</v>
      </c>
    </row>
    <row r="1898" spans="2:16" ht="12.75">
      <c r="B1898" s="10">
        <v>46135</v>
      </c>
      <c r="C1898" s="11">
        <f>VLOOKUP(B:B,'Курс валют'!A:D,4,0)</f>
        <v>87.973299999999995</v>
      </c>
      <c r="D1898" s="57" t="s">
        <v>1004</v>
      </c>
      <c r="E1898" s="50" t="s">
        <v>15</v>
      </c>
      <c r="F1898" s="58">
        <v>1100</v>
      </c>
      <c r="G1898" s="13">
        <v>1105.8</v>
      </c>
      <c r="H1898" s="56">
        <v>0</v>
      </c>
      <c r="I1898" s="13">
        <f t="shared" si="166"/>
        <v>5.7999999999999545</v>
      </c>
      <c r="J1898" s="14">
        <f t="shared" si="158"/>
        <v>0.52727272727272312</v>
      </c>
      <c r="K1898" s="56">
        <v>2.42</v>
      </c>
      <c r="L1898" s="15">
        <f t="shared" si="159"/>
        <v>0</v>
      </c>
      <c r="M1898" s="16">
        <f t="shared" si="160"/>
        <v>212.895386</v>
      </c>
      <c r="N1898" s="17">
        <f t="shared" si="161"/>
        <v>2.42</v>
      </c>
      <c r="O1898" s="17">
        <f t="shared" si="162"/>
        <v>2662</v>
      </c>
      <c r="P1898" s="18">
        <f t="shared" si="163"/>
        <v>234184.9246</v>
      </c>
    </row>
    <row r="1899" spans="2:16" ht="12.75">
      <c r="B1899" s="10">
        <v>46135</v>
      </c>
      <c r="C1899" s="11">
        <f>VLOOKUP(B:B,'Курс валют'!A:D,4,0)</f>
        <v>87.973299999999995</v>
      </c>
      <c r="D1899" s="57" t="s">
        <v>1005</v>
      </c>
      <c r="E1899" s="50" t="s">
        <v>15</v>
      </c>
      <c r="F1899" s="58">
        <v>1100</v>
      </c>
      <c r="G1899" s="13">
        <v>1105.8</v>
      </c>
      <c r="H1899" s="56">
        <v>0</v>
      </c>
      <c r="I1899" s="13">
        <f t="shared" si="166"/>
        <v>5.7999999999999545</v>
      </c>
      <c r="J1899" s="14">
        <f t="shared" si="158"/>
        <v>0.52727272727272312</v>
      </c>
      <c r="K1899" s="56">
        <v>2.42</v>
      </c>
      <c r="L1899" s="15">
        <f t="shared" si="159"/>
        <v>0</v>
      </c>
      <c r="M1899" s="16">
        <f t="shared" si="160"/>
        <v>212.895386</v>
      </c>
      <c r="N1899" s="17">
        <f t="shared" si="161"/>
        <v>2.42</v>
      </c>
      <c r="O1899" s="17">
        <f t="shared" si="162"/>
        <v>2662</v>
      </c>
      <c r="P1899" s="18">
        <f t="shared" si="163"/>
        <v>234184.9246</v>
      </c>
    </row>
    <row r="1900" spans="2:16" ht="12.75">
      <c r="B1900" s="10">
        <v>46135</v>
      </c>
      <c r="C1900" s="11">
        <f>VLOOKUP(B:B,'Курс валют'!A:D,4,0)</f>
        <v>87.973299999999995</v>
      </c>
      <c r="D1900" s="57" t="s">
        <v>1006</v>
      </c>
      <c r="E1900" s="50" t="s">
        <v>15</v>
      </c>
      <c r="F1900" s="58">
        <v>1100</v>
      </c>
      <c r="G1900" s="13">
        <v>1105.8</v>
      </c>
      <c r="H1900" s="56">
        <v>0</v>
      </c>
      <c r="I1900" s="13">
        <f t="shared" si="166"/>
        <v>5.7999999999999545</v>
      </c>
      <c r="J1900" s="14">
        <f t="shared" si="158"/>
        <v>0.52727272727272312</v>
      </c>
      <c r="K1900" s="56">
        <v>2.4300000000000002</v>
      </c>
      <c r="L1900" s="15">
        <f t="shared" si="159"/>
        <v>0</v>
      </c>
      <c r="M1900" s="16">
        <f t="shared" si="160"/>
        <v>213.77511899999999</v>
      </c>
      <c r="N1900" s="17">
        <f t="shared" si="161"/>
        <v>2.4300000000000002</v>
      </c>
      <c r="O1900" s="17">
        <f t="shared" si="162"/>
        <v>2673</v>
      </c>
      <c r="P1900" s="18">
        <f t="shared" si="163"/>
        <v>235152.63089999999</v>
      </c>
    </row>
    <row r="1901" spans="2:16" ht="12.75">
      <c r="B1901" s="10">
        <v>46135</v>
      </c>
      <c r="C1901" s="11">
        <f>VLOOKUP(B:B,'Курс валют'!A:D,4,0)</f>
        <v>87.973299999999995</v>
      </c>
      <c r="D1901" s="57" t="s">
        <v>1007</v>
      </c>
      <c r="E1901" s="50" t="s">
        <v>15</v>
      </c>
      <c r="F1901" s="58">
        <v>1100</v>
      </c>
      <c r="G1901" s="13">
        <v>1105.8</v>
      </c>
      <c r="H1901" s="56">
        <v>0</v>
      </c>
      <c r="I1901" s="13">
        <f t="shared" si="166"/>
        <v>5.7999999999999545</v>
      </c>
      <c r="J1901" s="14">
        <f t="shared" si="158"/>
        <v>0.52727272727272312</v>
      </c>
      <c r="K1901" s="56">
        <v>2.4300000000000002</v>
      </c>
      <c r="L1901" s="15">
        <f t="shared" si="159"/>
        <v>0</v>
      </c>
      <c r="M1901" s="16">
        <f t="shared" si="160"/>
        <v>213.77511899999999</v>
      </c>
      <c r="N1901" s="17">
        <f t="shared" si="161"/>
        <v>2.4300000000000002</v>
      </c>
      <c r="O1901" s="17">
        <f t="shared" si="162"/>
        <v>2673</v>
      </c>
      <c r="P1901" s="18">
        <f t="shared" si="163"/>
        <v>235152.63089999999</v>
      </c>
    </row>
    <row r="1902" spans="2:16" ht="12.75">
      <c r="B1902" s="10">
        <v>46135</v>
      </c>
      <c r="C1902" s="11">
        <f>VLOOKUP(B:B,'Курс валют'!A:D,4,0)</f>
        <v>87.973299999999995</v>
      </c>
      <c r="D1902" s="57" t="s">
        <v>1008</v>
      </c>
      <c r="E1902" s="50" t="s">
        <v>15</v>
      </c>
      <c r="F1902" s="58">
        <v>1100</v>
      </c>
      <c r="G1902" s="13">
        <v>1105.8</v>
      </c>
      <c r="H1902" s="56">
        <v>0</v>
      </c>
      <c r="I1902" s="13">
        <f t="shared" si="166"/>
        <v>5.7999999999999545</v>
      </c>
      <c r="J1902" s="14">
        <f t="shared" si="158"/>
        <v>0.52727272727272312</v>
      </c>
      <c r="K1902" s="56">
        <v>2.42</v>
      </c>
      <c r="L1902" s="15">
        <f t="shared" si="159"/>
        <v>0</v>
      </c>
      <c r="M1902" s="16">
        <f t="shared" si="160"/>
        <v>212.895386</v>
      </c>
      <c r="N1902" s="17">
        <f t="shared" si="161"/>
        <v>2.42</v>
      </c>
      <c r="O1902" s="17">
        <f t="shared" si="162"/>
        <v>2662</v>
      </c>
      <c r="P1902" s="18">
        <f t="shared" si="163"/>
        <v>234184.9246</v>
      </c>
    </row>
    <row r="1903" spans="2:16" ht="12.75">
      <c r="B1903" s="10">
        <v>46135</v>
      </c>
      <c r="C1903" s="11">
        <f>VLOOKUP(B:B,'Курс валют'!A:D,4,0)</f>
        <v>87.973299999999995</v>
      </c>
      <c r="D1903" s="57" t="s">
        <v>1009</v>
      </c>
      <c r="E1903" s="50" t="s">
        <v>15</v>
      </c>
      <c r="F1903" s="58">
        <v>1100</v>
      </c>
      <c r="G1903" s="13">
        <v>1105.8</v>
      </c>
      <c r="H1903" s="56">
        <v>0</v>
      </c>
      <c r="I1903" s="13">
        <f t="shared" si="166"/>
        <v>5.7999999999999545</v>
      </c>
      <c r="J1903" s="14">
        <f t="shared" si="158"/>
        <v>0.52727272727272312</v>
      </c>
      <c r="K1903" s="56">
        <v>2.42</v>
      </c>
      <c r="L1903" s="15">
        <f t="shared" si="159"/>
        <v>0</v>
      </c>
      <c r="M1903" s="16">
        <f t="shared" si="160"/>
        <v>212.895386</v>
      </c>
      <c r="N1903" s="17">
        <f t="shared" si="161"/>
        <v>2.42</v>
      </c>
      <c r="O1903" s="17">
        <f t="shared" si="162"/>
        <v>2662</v>
      </c>
      <c r="P1903" s="18">
        <f t="shared" si="163"/>
        <v>234184.9246</v>
      </c>
    </row>
    <row r="1904" spans="2:16" ht="12.75">
      <c r="B1904" s="10">
        <v>46135</v>
      </c>
      <c r="C1904" s="11">
        <f>VLOOKUP(B:B,'Курс валют'!A:D,4,0)</f>
        <v>87.973299999999995</v>
      </c>
      <c r="D1904" s="57" t="s">
        <v>1010</v>
      </c>
      <c r="E1904" s="50" t="s">
        <v>15</v>
      </c>
      <c r="F1904" s="58">
        <v>1100</v>
      </c>
      <c r="G1904" s="13">
        <v>1105.8</v>
      </c>
      <c r="H1904" s="56">
        <v>0</v>
      </c>
      <c r="I1904" s="13">
        <f t="shared" si="166"/>
        <v>5.7999999999999545</v>
      </c>
      <c r="J1904" s="14">
        <f t="shared" si="158"/>
        <v>0.52727272727272312</v>
      </c>
      <c r="K1904" s="56">
        <v>2.4300000000000002</v>
      </c>
      <c r="L1904" s="15">
        <f t="shared" si="159"/>
        <v>0</v>
      </c>
      <c r="M1904" s="16">
        <f t="shared" si="160"/>
        <v>213.77511899999999</v>
      </c>
      <c r="N1904" s="17">
        <f t="shared" si="161"/>
        <v>2.4300000000000002</v>
      </c>
      <c r="O1904" s="17">
        <f t="shared" si="162"/>
        <v>2673</v>
      </c>
      <c r="P1904" s="18">
        <f t="shared" si="163"/>
        <v>235152.63089999999</v>
      </c>
    </row>
    <row r="1905" spans="2:18" ht="12.75">
      <c r="B1905" s="10">
        <v>46135</v>
      </c>
      <c r="C1905" s="11">
        <f>VLOOKUP(B:B,'Курс валют'!A:D,4,0)</f>
        <v>87.973299999999995</v>
      </c>
      <c r="D1905" s="57" t="s">
        <v>1011</v>
      </c>
      <c r="E1905" s="50" t="s">
        <v>15</v>
      </c>
      <c r="F1905" s="58">
        <v>1100</v>
      </c>
      <c r="G1905" s="13">
        <v>1105.8</v>
      </c>
      <c r="H1905" s="56">
        <v>0</v>
      </c>
      <c r="I1905" s="13">
        <f t="shared" si="166"/>
        <v>5.7999999999999545</v>
      </c>
      <c r="J1905" s="14">
        <f t="shared" si="158"/>
        <v>0.52727272727272312</v>
      </c>
      <c r="K1905" s="56">
        <v>2.42</v>
      </c>
      <c r="L1905" s="15">
        <f t="shared" si="159"/>
        <v>0</v>
      </c>
      <c r="M1905" s="16">
        <f t="shared" si="160"/>
        <v>212.895386</v>
      </c>
      <c r="N1905" s="17">
        <f t="shared" si="161"/>
        <v>2.42</v>
      </c>
      <c r="O1905" s="17">
        <f t="shared" si="162"/>
        <v>2662</v>
      </c>
      <c r="P1905" s="18">
        <f t="shared" si="163"/>
        <v>234184.9246</v>
      </c>
    </row>
    <row r="1906" spans="2:18" ht="12.75">
      <c r="B1906" s="10">
        <v>46135</v>
      </c>
      <c r="C1906" s="11">
        <f>VLOOKUP(B:B,'Курс валют'!A:D,4,0)</f>
        <v>87.973299999999995</v>
      </c>
      <c r="D1906" s="57" t="s">
        <v>1012</v>
      </c>
      <c r="E1906" s="50" t="s">
        <v>15</v>
      </c>
      <c r="F1906" s="58">
        <v>1100</v>
      </c>
      <c r="G1906" s="13">
        <v>1105.8</v>
      </c>
      <c r="H1906" s="56">
        <v>0</v>
      </c>
      <c r="I1906" s="13">
        <f t="shared" si="166"/>
        <v>5.7999999999999545</v>
      </c>
      <c r="J1906" s="14">
        <f t="shared" si="158"/>
        <v>0.52727272727272312</v>
      </c>
      <c r="K1906" s="56">
        <v>2.4300000000000002</v>
      </c>
      <c r="L1906" s="15">
        <f t="shared" si="159"/>
        <v>0</v>
      </c>
      <c r="M1906" s="16">
        <f t="shared" si="160"/>
        <v>213.77511899999999</v>
      </c>
      <c r="N1906" s="17">
        <f t="shared" si="161"/>
        <v>2.4300000000000002</v>
      </c>
      <c r="O1906" s="17">
        <f t="shared" si="162"/>
        <v>2673</v>
      </c>
      <c r="P1906" s="18">
        <f t="shared" si="163"/>
        <v>235152.63089999999</v>
      </c>
    </row>
    <row r="1907" spans="2:18" ht="12.75">
      <c r="B1907" s="10">
        <v>46135</v>
      </c>
      <c r="C1907" s="11">
        <f>VLOOKUP(B:B,'Курс валют'!A:D,4,0)</f>
        <v>87.973299999999995</v>
      </c>
      <c r="D1907" s="57" t="s">
        <v>1013</v>
      </c>
      <c r="E1907" s="50" t="s">
        <v>15</v>
      </c>
      <c r="F1907" s="58">
        <v>1100</v>
      </c>
      <c r="G1907" s="13">
        <v>1105.8</v>
      </c>
      <c r="H1907" s="56">
        <v>0</v>
      </c>
      <c r="I1907" s="13">
        <f t="shared" si="166"/>
        <v>5.7999999999999545</v>
      </c>
      <c r="J1907" s="14">
        <f t="shared" si="158"/>
        <v>0.52727272727272312</v>
      </c>
      <c r="K1907" s="56">
        <v>2.42</v>
      </c>
      <c r="L1907" s="15">
        <f t="shared" si="159"/>
        <v>0</v>
      </c>
      <c r="M1907" s="16">
        <f t="shared" si="160"/>
        <v>212.895386</v>
      </c>
      <c r="N1907" s="17">
        <f t="shared" si="161"/>
        <v>2.42</v>
      </c>
      <c r="O1907" s="17">
        <f t="shared" si="162"/>
        <v>2662</v>
      </c>
      <c r="P1907" s="18">
        <f t="shared" si="163"/>
        <v>234184.9246</v>
      </c>
    </row>
    <row r="1908" spans="2:18" ht="12.75">
      <c r="B1908" s="10">
        <v>46135</v>
      </c>
      <c r="C1908" s="11">
        <f>VLOOKUP(B:B,'Курс валют'!A:D,4,0)</f>
        <v>87.973299999999995</v>
      </c>
      <c r="D1908" s="57" t="s">
        <v>1014</v>
      </c>
      <c r="E1908" s="50" t="s">
        <v>15</v>
      </c>
      <c r="F1908" s="58">
        <v>1100</v>
      </c>
      <c r="G1908" s="13">
        <v>1105.8</v>
      </c>
      <c r="H1908" s="56">
        <v>0</v>
      </c>
      <c r="I1908" s="13">
        <f t="shared" si="166"/>
        <v>5.7999999999999545</v>
      </c>
      <c r="J1908" s="14">
        <f t="shared" si="158"/>
        <v>0.52727272727272312</v>
      </c>
      <c r="K1908" s="56">
        <v>2.42</v>
      </c>
      <c r="L1908" s="15">
        <f t="shared" si="159"/>
        <v>0</v>
      </c>
      <c r="M1908" s="16">
        <f t="shared" si="160"/>
        <v>212.895386</v>
      </c>
      <c r="N1908" s="17">
        <f t="shared" si="161"/>
        <v>2.42</v>
      </c>
      <c r="O1908" s="17">
        <f t="shared" si="162"/>
        <v>2662</v>
      </c>
      <c r="P1908" s="18">
        <f t="shared" si="163"/>
        <v>234184.9246</v>
      </c>
    </row>
    <row r="1909" spans="2:18" ht="12.75">
      <c r="B1909" s="10">
        <v>46135</v>
      </c>
      <c r="C1909" s="11">
        <f>VLOOKUP(B:B,'Курс валют'!A:D,4,0)</f>
        <v>87.973299999999995</v>
      </c>
      <c r="D1909" s="57" t="s">
        <v>1015</v>
      </c>
      <c r="E1909" s="50" t="s">
        <v>125</v>
      </c>
      <c r="F1909" s="58">
        <v>2200</v>
      </c>
      <c r="G1909" s="13">
        <v>2225.52</v>
      </c>
      <c r="H1909" s="56">
        <v>0</v>
      </c>
      <c r="I1909" s="13">
        <f t="shared" si="166"/>
        <v>25.519999999999982</v>
      </c>
      <c r="J1909" s="14">
        <f t="shared" si="158"/>
        <v>1.1599999999999993</v>
      </c>
      <c r="K1909" s="56">
        <v>1.82</v>
      </c>
      <c r="L1909" s="15">
        <f t="shared" si="159"/>
        <v>0</v>
      </c>
      <c r="M1909" s="16">
        <f t="shared" si="160"/>
        <v>160.11140599999999</v>
      </c>
      <c r="N1909" s="17">
        <f t="shared" si="161"/>
        <v>1.82</v>
      </c>
      <c r="O1909" s="17">
        <f t="shared" si="162"/>
        <v>4004</v>
      </c>
      <c r="P1909" s="18">
        <f t="shared" si="163"/>
        <v>352245.0932</v>
      </c>
    </row>
    <row r="1910" spans="2:18" ht="12.75">
      <c r="B1910" s="10">
        <v>46135</v>
      </c>
      <c r="C1910" s="11">
        <f>VLOOKUP(B:B,'Курс валют'!A:D,4,0)</f>
        <v>87.973299999999995</v>
      </c>
      <c r="D1910" s="57" t="s">
        <v>1016</v>
      </c>
      <c r="E1910" s="50" t="s">
        <v>56</v>
      </c>
      <c r="F1910" s="58">
        <v>2000</v>
      </c>
      <c r="G1910" s="13">
        <v>2056.5500000000002</v>
      </c>
      <c r="H1910" s="56">
        <v>0</v>
      </c>
      <c r="I1910" s="13">
        <f t="shared" si="166"/>
        <v>56.550000000000182</v>
      </c>
      <c r="J1910" s="14">
        <f t="shared" si="158"/>
        <v>2.827500000000009</v>
      </c>
      <c r="K1910" s="56">
        <v>2.39</v>
      </c>
      <c r="L1910" s="15">
        <f t="shared" si="159"/>
        <v>0</v>
      </c>
      <c r="M1910" s="16">
        <f t="shared" si="160"/>
        <v>210.25618699999998</v>
      </c>
      <c r="N1910" s="17">
        <f t="shared" si="161"/>
        <v>2.39</v>
      </c>
      <c r="O1910" s="17">
        <f t="shared" si="162"/>
        <v>4780</v>
      </c>
      <c r="P1910" s="18">
        <f t="shared" si="163"/>
        <v>420512.37399999995</v>
      </c>
    </row>
    <row r="1911" spans="2:18" ht="12.75">
      <c r="B1911" s="10">
        <v>46136</v>
      </c>
      <c r="C1911" s="11">
        <f>VLOOKUP(B:B,'Курс валют'!A:D,4,0)</f>
        <v>87.5261</v>
      </c>
      <c r="D1911" s="57" t="s">
        <v>1017</v>
      </c>
      <c r="E1911" s="50" t="s">
        <v>60</v>
      </c>
      <c r="F1911" s="58">
        <v>2250</v>
      </c>
      <c r="G1911" s="13">
        <v>2273.65</v>
      </c>
      <c r="H1911" s="56">
        <v>0</v>
      </c>
      <c r="I1911" s="13">
        <f t="shared" si="166"/>
        <v>23.650000000000091</v>
      </c>
      <c r="J1911" s="14">
        <f t="shared" si="158"/>
        <v>1.0511111111111151</v>
      </c>
      <c r="K1911" s="56">
        <v>1.94</v>
      </c>
      <c r="L1911" s="15">
        <f t="shared" si="159"/>
        <v>0</v>
      </c>
      <c r="M1911" s="16">
        <f t="shared" si="160"/>
        <v>169.800634</v>
      </c>
      <c r="N1911" s="17">
        <f t="shared" si="161"/>
        <v>1.94</v>
      </c>
      <c r="O1911" s="17">
        <f t="shared" si="162"/>
        <v>4365</v>
      </c>
      <c r="P1911" s="18">
        <f t="shared" si="163"/>
        <v>382051.4265</v>
      </c>
    </row>
    <row r="1912" spans="2:18" ht="12.75">
      <c r="B1912" s="10">
        <v>46136</v>
      </c>
      <c r="C1912" s="11">
        <f>VLOOKUP(B:B,'Курс валют'!A:D,4,0)</f>
        <v>87.5261</v>
      </c>
      <c r="D1912" s="57" t="s">
        <v>1018</v>
      </c>
      <c r="E1912" s="50" t="s">
        <v>60</v>
      </c>
      <c r="F1912" s="58">
        <v>2250</v>
      </c>
      <c r="G1912" s="13">
        <v>2273.65</v>
      </c>
      <c r="H1912" s="56">
        <v>0</v>
      </c>
      <c r="I1912" s="13">
        <f t="shared" si="166"/>
        <v>23.650000000000091</v>
      </c>
      <c r="J1912" s="14">
        <f t="shared" si="158"/>
        <v>1.0511111111111151</v>
      </c>
      <c r="K1912" s="56">
        <v>1.94</v>
      </c>
      <c r="L1912" s="15">
        <f t="shared" si="159"/>
        <v>0</v>
      </c>
      <c r="M1912" s="16">
        <f t="shared" si="160"/>
        <v>169.800634</v>
      </c>
      <c r="N1912" s="17">
        <f t="shared" si="161"/>
        <v>1.94</v>
      </c>
      <c r="O1912" s="17">
        <f t="shared" si="162"/>
        <v>4365</v>
      </c>
      <c r="P1912" s="18">
        <f t="shared" si="163"/>
        <v>382051.4265</v>
      </c>
    </row>
    <row r="1913" spans="2:18" ht="12.75">
      <c r="B1913" s="10">
        <v>46136</v>
      </c>
      <c r="C1913" s="11">
        <f>VLOOKUP(B:B,'Курс валют'!A:D,4,0)</f>
        <v>87.5261</v>
      </c>
      <c r="D1913" s="57" t="s">
        <v>1019</v>
      </c>
      <c r="E1913" s="50" t="s">
        <v>52</v>
      </c>
      <c r="F1913" s="58">
        <v>400</v>
      </c>
      <c r="G1913" s="58">
        <v>405.84</v>
      </c>
      <c r="H1913" s="56">
        <v>0</v>
      </c>
      <c r="I1913" s="58">
        <f t="shared" si="166"/>
        <v>5.839999999999975</v>
      </c>
      <c r="J1913" s="14">
        <f t="shared" si="158"/>
        <v>1.4599999999999937</v>
      </c>
      <c r="K1913" s="56">
        <v>2.79</v>
      </c>
      <c r="L1913" s="15">
        <f t="shared" si="159"/>
        <v>0</v>
      </c>
      <c r="M1913" s="16">
        <f t="shared" si="160"/>
        <v>244.19781899999998</v>
      </c>
      <c r="N1913" s="17">
        <f t="shared" si="161"/>
        <v>2.79</v>
      </c>
      <c r="O1913" s="17">
        <f t="shared" si="162"/>
        <v>1116</v>
      </c>
      <c r="P1913" s="18">
        <f t="shared" si="163"/>
        <v>97679.127599999993</v>
      </c>
    </row>
    <row r="1914" spans="2:18" ht="12.75">
      <c r="B1914" s="10">
        <v>46136</v>
      </c>
      <c r="C1914" s="11">
        <f>VLOOKUP(B:B,'Курс валют'!A:D,4,0)</f>
        <v>87.5261</v>
      </c>
      <c r="D1914" s="57" t="s">
        <v>1019</v>
      </c>
      <c r="E1914" s="50" t="s">
        <v>89</v>
      </c>
      <c r="F1914" s="58">
        <v>600</v>
      </c>
      <c r="G1914" s="58">
        <v>608.76</v>
      </c>
      <c r="H1914" s="56">
        <v>0</v>
      </c>
      <c r="I1914" s="58">
        <f t="shared" si="166"/>
        <v>8.7599999999999909</v>
      </c>
      <c r="J1914" s="14">
        <f t="shared" si="158"/>
        <v>1.4599999999999984</v>
      </c>
      <c r="K1914" s="56">
        <v>2.79</v>
      </c>
      <c r="L1914" s="15">
        <f t="shared" si="159"/>
        <v>0</v>
      </c>
      <c r="M1914" s="16">
        <f t="shared" si="160"/>
        <v>244.19781900000001</v>
      </c>
      <c r="N1914" s="17">
        <f t="shared" si="161"/>
        <v>2.79</v>
      </c>
      <c r="O1914" s="17">
        <f t="shared" si="162"/>
        <v>1674</v>
      </c>
      <c r="P1914" s="18">
        <f t="shared" si="163"/>
        <v>146518.69140000001</v>
      </c>
    </row>
    <row r="1915" spans="2:18" ht="12.75">
      <c r="B1915" s="10">
        <v>46136</v>
      </c>
      <c r="C1915" s="11">
        <f>VLOOKUP(B:B,'Курс валют'!A:D,4,0)</f>
        <v>87.5261</v>
      </c>
      <c r="D1915" s="57" t="s">
        <v>1020</v>
      </c>
      <c r="E1915" s="50" t="s">
        <v>60</v>
      </c>
      <c r="F1915" s="58">
        <v>2250</v>
      </c>
      <c r="G1915" s="13">
        <v>2273.65</v>
      </c>
      <c r="H1915" s="56">
        <v>0</v>
      </c>
      <c r="I1915" s="13">
        <f t="shared" si="166"/>
        <v>23.650000000000091</v>
      </c>
      <c r="J1915" s="14">
        <f t="shared" si="158"/>
        <v>1.0511111111111151</v>
      </c>
      <c r="K1915" s="56">
        <v>1.94</v>
      </c>
      <c r="L1915" s="15">
        <f t="shared" si="159"/>
        <v>0</v>
      </c>
      <c r="M1915" s="16">
        <f t="shared" si="160"/>
        <v>169.800634</v>
      </c>
      <c r="N1915" s="17">
        <f t="shared" si="161"/>
        <v>1.94</v>
      </c>
      <c r="O1915" s="17">
        <f t="shared" si="162"/>
        <v>4365</v>
      </c>
      <c r="P1915" s="18">
        <f t="shared" si="163"/>
        <v>382051.4265</v>
      </c>
    </row>
    <row r="1916" spans="2:18" ht="12.75">
      <c r="B1916" s="10">
        <v>46136</v>
      </c>
      <c r="C1916" s="11">
        <f>VLOOKUP(B:B,'Курс валют'!A:D,4,0)</f>
        <v>87.5261</v>
      </c>
      <c r="D1916" s="57" t="s">
        <v>1021</v>
      </c>
      <c r="E1916" s="50" t="s">
        <v>52</v>
      </c>
      <c r="F1916" s="58">
        <v>1000</v>
      </c>
      <c r="G1916" s="13">
        <v>1014.38</v>
      </c>
      <c r="H1916" s="56">
        <v>0</v>
      </c>
      <c r="I1916" s="13">
        <f t="shared" si="166"/>
        <v>14.379999999999995</v>
      </c>
      <c r="J1916" s="14">
        <f t="shared" si="158"/>
        <v>1.4379999999999995</v>
      </c>
      <c r="K1916" s="56">
        <v>2.74</v>
      </c>
      <c r="L1916" s="15">
        <f t="shared" si="159"/>
        <v>0</v>
      </c>
      <c r="M1916" s="16">
        <f t="shared" si="160"/>
        <v>239.82151400000001</v>
      </c>
      <c r="N1916" s="17">
        <f t="shared" si="161"/>
        <v>2.74</v>
      </c>
      <c r="O1916" s="17">
        <f t="shared" si="162"/>
        <v>2740</v>
      </c>
      <c r="P1916" s="18">
        <f t="shared" si="163"/>
        <v>239821.514</v>
      </c>
    </row>
    <row r="1917" spans="2:18" ht="12.75">
      <c r="B1917" s="10">
        <v>46136</v>
      </c>
      <c r="C1917" s="11">
        <f>VLOOKUP(B:B,'Курс валют'!A:D,4,0)</f>
        <v>87.5261</v>
      </c>
      <c r="D1917" s="57" t="s">
        <v>1022</v>
      </c>
      <c r="E1917" s="50" t="s">
        <v>1023</v>
      </c>
      <c r="F1917" s="58">
        <v>90</v>
      </c>
      <c r="G1917" s="58">
        <v>93</v>
      </c>
      <c r="H1917" s="56">
        <v>0</v>
      </c>
      <c r="I1917" s="58">
        <f t="shared" si="166"/>
        <v>3</v>
      </c>
      <c r="J1917" s="14">
        <f t="shared" si="158"/>
        <v>3.3333333333333335</v>
      </c>
      <c r="K1917" s="56">
        <v>2.2400000000000002</v>
      </c>
      <c r="L1917" s="15">
        <f t="shared" si="159"/>
        <v>0</v>
      </c>
      <c r="M1917" s="16">
        <f t="shared" si="160"/>
        <v>196.05846400000001</v>
      </c>
      <c r="N1917" s="17">
        <f t="shared" si="161"/>
        <v>2.2400000000000002</v>
      </c>
      <c r="O1917" s="17">
        <f t="shared" si="162"/>
        <v>201.60000000000002</v>
      </c>
      <c r="P1917" s="18">
        <f t="shared" si="163"/>
        <v>17645.261760000001</v>
      </c>
    </row>
    <row r="1918" spans="2:18" ht="12.75">
      <c r="B1918" s="10">
        <v>46136</v>
      </c>
      <c r="C1918" s="11">
        <f>VLOOKUP(B:B,'Курс валют'!A:D,4,0)</f>
        <v>87.5261</v>
      </c>
      <c r="D1918" s="57" t="s">
        <v>1024</v>
      </c>
      <c r="E1918" s="50" t="s">
        <v>204</v>
      </c>
      <c r="F1918" s="58">
        <v>220</v>
      </c>
      <c r="G1918" s="58">
        <v>220</v>
      </c>
      <c r="H1918" s="56">
        <v>0</v>
      </c>
      <c r="I1918" s="58">
        <f t="shared" si="166"/>
        <v>0</v>
      </c>
      <c r="J1918" s="14">
        <f t="shared" si="158"/>
        <v>0</v>
      </c>
      <c r="K1918" s="56">
        <v>2.5</v>
      </c>
      <c r="L1918" s="15">
        <f t="shared" si="159"/>
        <v>0</v>
      </c>
      <c r="M1918" s="16">
        <f t="shared" si="160"/>
        <v>218.81525000000002</v>
      </c>
      <c r="N1918" s="17">
        <f t="shared" si="161"/>
        <v>2.5</v>
      </c>
      <c r="O1918" s="17">
        <f t="shared" si="162"/>
        <v>550</v>
      </c>
      <c r="P1918" s="18">
        <f t="shared" si="163"/>
        <v>48139.355000000003</v>
      </c>
      <c r="R1918" s="33" t="s">
        <v>1025</v>
      </c>
    </row>
    <row r="1919" spans="2:18" ht="12.75">
      <c r="B1919" s="10">
        <v>46137</v>
      </c>
      <c r="C1919" s="11">
        <f>VLOOKUP(B:B,'Курс валют'!A:D,4,0)</f>
        <v>88.282600000000002</v>
      </c>
      <c r="D1919" s="57" t="s">
        <v>1026</v>
      </c>
      <c r="E1919" s="50" t="s">
        <v>79</v>
      </c>
      <c r="F1919" s="58">
        <v>1400</v>
      </c>
      <c r="G1919" s="58">
        <v>1400</v>
      </c>
      <c r="H1919" s="56">
        <v>0</v>
      </c>
      <c r="I1919" s="58">
        <f t="shared" si="166"/>
        <v>0</v>
      </c>
      <c r="J1919" s="14">
        <f t="shared" si="158"/>
        <v>0</v>
      </c>
      <c r="K1919" s="56">
        <v>2.64</v>
      </c>
      <c r="L1919" s="15">
        <f t="shared" si="159"/>
        <v>0</v>
      </c>
      <c r="M1919" s="16">
        <f t="shared" si="160"/>
        <v>233.06606400000001</v>
      </c>
      <c r="N1919" s="17">
        <f t="shared" si="161"/>
        <v>2.64</v>
      </c>
      <c r="O1919" s="17">
        <f t="shared" si="162"/>
        <v>3696</v>
      </c>
      <c r="P1919" s="18">
        <f t="shared" si="163"/>
        <v>326292.48960000003</v>
      </c>
      <c r="R1919" s="33" t="s">
        <v>1027</v>
      </c>
    </row>
    <row r="1920" spans="2:18" ht="12.75">
      <c r="B1920" s="10">
        <v>46137</v>
      </c>
      <c r="C1920" s="11">
        <f>VLOOKUP(B:B,'Курс валют'!A:D,4,0)</f>
        <v>88.282600000000002</v>
      </c>
      <c r="D1920" s="57" t="s">
        <v>1028</v>
      </c>
      <c r="E1920" s="50" t="s">
        <v>60</v>
      </c>
      <c r="F1920" s="58">
        <v>2250</v>
      </c>
      <c r="G1920" s="13">
        <v>2273.65</v>
      </c>
      <c r="H1920" s="56">
        <v>0</v>
      </c>
      <c r="I1920" s="13">
        <f t="shared" si="166"/>
        <v>23.650000000000091</v>
      </c>
      <c r="J1920" s="14">
        <f t="shared" si="158"/>
        <v>1.0511111111111151</v>
      </c>
      <c r="K1920" s="56">
        <v>1.94</v>
      </c>
      <c r="L1920" s="15">
        <f t="shared" si="159"/>
        <v>0</v>
      </c>
      <c r="M1920" s="16">
        <f t="shared" si="160"/>
        <v>171.26824400000001</v>
      </c>
      <c r="N1920" s="17">
        <f t="shared" si="161"/>
        <v>1.94</v>
      </c>
      <c r="O1920" s="17">
        <f t="shared" si="162"/>
        <v>4365</v>
      </c>
      <c r="P1920" s="18">
        <f t="shared" si="163"/>
        <v>385353.549</v>
      </c>
    </row>
    <row r="1921" spans="2:18" ht="12.75">
      <c r="B1921" s="10">
        <v>46137</v>
      </c>
      <c r="C1921" s="11">
        <f>VLOOKUP(B:B,'Курс валют'!A:D,4,0)</f>
        <v>88.282600000000002</v>
      </c>
      <c r="D1921" s="57" t="s">
        <v>1029</v>
      </c>
      <c r="E1921" s="50" t="s">
        <v>60</v>
      </c>
      <c r="F1921" s="58">
        <v>2250</v>
      </c>
      <c r="G1921" s="13">
        <v>2273.65</v>
      </c>
      <c r="H1921" s="56">
        <v>0</v>
      </c>
      <c r="I1921" s="13">
        <f t="shared" si="166"/>
        <v>23.650000000000091</v>
      </c>
      <c r="J1921" s="14">
        <f t="shared" si="158"/>
        <v>1.0511111111111151</v>
      </c>
      <c r="K1921" s="56">
        <v>2.04</v>
      </c>
      <c r="L1921" s="15">
        <f t="shared" si="159"/>
        <v>0</v>
      </c>
      <c r="M1921" s="16">
        <f t="shared" si="160"/>
        <v>180.09650400000001</v>
      </c>
      <c r="N1921" s="17">
        <f t="shared" si="161"/>
        <v>2.04</v>
      </c>
      <c r="O1921" s="17">
        <f t="shared" si="162"/>
        <v>4590</v>
      </c>
      <c r="P1921" s="18">
        <f t="shared" si="163"/>
        <v>405217.13400000002</v>
      </c>
    </row>
    <row r="1922" spans="2:18" ht="12.75">
      <c r="B1922" s="10">
        <v>46137</v>
      </c>
      <c r="C1922" s="11">
        <f>VLOOKUP(B:B,'Курс валют'!A:D,4,0)</f>
        <v>88.282600000000002</v>
      </c>
      <c r="D1922" s="57" t="s">
        <v>1030</v>
      </c>
      <c r="E1922" s="50" t="s">
        <v>60</v>
      </c>
      <c r="F1922" s="58">
        <v>2250</v>
      </c>
      <c r="G1922" s="13">
        <v>2273.65</v>
      </c>
      <c r="H1922" s="56">
        <v>0</v>
      </c>
      <c r="I1922" s="13">
        <f t="shared" si="166"/>
        <v>23.650000000000091</v>
      </c>
      <c r="J1922" s="14">
        <f t="shared" si="158"/>
        <v>1.0511111111111151</v>
      </c>
      <c r="K1922" s="56">
        <v>2.04</v>
      </c>
      <c r="L1922" s="15">
        <f t="shared" si="159"/>
        <v>0</v>
      </c>
      <c r="M1922" s="16">
        <f t="shared" si="160"/>
        <v>180.09650400000001</v>
      </c>
      <c r="N1922" s="17">
        <f t="shared" si="161"/>
        <v>2.04</v>
      </c>
      <c r="O1922" s="17">
        <f t="shared" si="162"/>
        <v>4590</v>
      </c>
      <c r="P1922" s="18">
        <f t="shared" si="163"/>
        <v>405217.13400000002</v>
      </c>
    </row>
    <row r="1923" spans="2:18" ht="12.75">
      <c r="B1923" s="10">
        <v>46137</v>
      </c>
      <c r="C1923" s="11">
        <f>VLOOKUP(B:B,'Курс валют'!A:D,4,0)</f>
        <v>88.282600000000002</v>
      </c>
      <c r="D1923" s="57" t="s">
        <v>1031</v>
      </c>
      <c r="E1923" s="50" t="s">
        <v>70</v>
      </c>
      <c r="F1923" s="58">
        <v>1800</v>
      </c>
      <c r="G1923" s="58">
        <v>1800</v>
      </c>
      <c r="H1923" s="56">
        <v>0</v>
      </c>
      <c r="I1923" s="58">
        <f t="shared" si="166"/>
        <v>0</v>
      </c>
      <c r="J1923" s="14">
        <f t="shared" si="158"/>
        <v>0</v>
      </c>
      <c r="K1923" s="56">
        <v>2.63</v>
      </c>
      <c r="L1923" s="15">
        <f t="shared" si="159"/>
        <v>0</v>
      </c>
      <c r="M1923" s="16">
        <f t="shared" si="160"/>
        <v>232.18323799999999</v>
      </c>
      <c r="N1923" s="17">
        <f t="shared" si="161"/>
        <v>2.63</v>
      </c>
      <c r="O1923" s="17">
        <f t="shared" si="162"/>
        <v>4734</v>
      </c>
      <c r="P1923" s="18">
        <f t="shared" si="163"/>
        <v>417929.8284</v>
      </c>
      <c r="R1923" s="33" t="s">
        <v>1032</v>
      </c>
    </row>
    <row r="1924" spans="2:18" ht="12.75">
      <c r="B1924" s="10">
        <v>46138</v>
      </c>
      <c r="C1924" s="11">
        <f>VLOOKUP(B:B,'Курс валют'!A:D,4,0)</f>
        <v>88.282600000000002</v>
      </c>
      <c r="D1924" s="57" t="s">
        <v>1033</v>
      </c>
      <c r="E1924" s="50" t="s">
        <v>60</v>
      </c>
      <c r="F1924" s="58">
        <v>2250</v>
      </c>
      <c r="G1924" s="13">
        <v>2273.65</v>
      </c>
      <c r="H1924" s="56">
        <v>0</v>
      </c>
      <c r="I1924" s="13">
        <f t="shared" si="166"/>
        <v>23.650000000000091</v>
      </c>
      <c r="J1924" s="14">
        <f t="shared" si="158"/>
        <v>1.0511111111111151</v>
      </c>
      <c r="K1924" s="56">
        <v>2.04</v>
      </c>
      <c r="L1924" s="15">
        <f t="shared" si="159"/>
        <v>0</v>
      </c>
      <c r="M1924" s="16">
        <f t="shared" si="160"/>
        <v>180.09650400000001</v>
      </c>
      <c r="N1924" s="17">
        <f t="shared" si="161"/>
        <v>2.04</v>
      </c>
      <c r="O1924" s="17">
        <f t="shared" si="162"/>
        <v>4590</v>
      </c>
      <c r="P1924" s="18">
        <f t="shared" si="163"/>
        <v>405217.13400000002</v>
      </c>
    </row>
    <row r="1925" spans="2:18" ht="12.75">
      <c r="B1925" s="10">
        <v>46138</v>
      </c>
      <c r="C1925" s="11">
        <f>VLOOKUP(B:B,'Курс валют'!A:D,4,0)</f>
        <v>88.282600000000002</v>
      </c>
      <c r="D1925" s="57" t="s">
        <v>1034</v>
      </c>
      <c r="E1925" s="50" t="s">
        <v>60</v>
      </c>
      <c r="F1925" s="58">
        <v>2250</v>
      </c>
      <c r="G1925" s="13">
        <v>2273.65</v>
      </c>
      <c r="H1925" s="56">
        <v>0</v>
      </c>
      <c r="I1925" s="13">
        <f t="shared" si="166"/>
        <v>23.650000000000091</v>
      </c>
      <c r="J1925" s="14">
        <f t="shared" si="158"/>
        <v>1.0511111111111151</v>
      </c>
      <c r="K1925" s="56">
        <v>1.92</v>
      </c>
      <c r="L1925" s="15">
        <f t="shared" si="159"/>
        <v>0</v>
      </c>
      <c r="M1925" s="16">
        <f t="shared" si="160"/>
        <v>169.50259199999999</v>
      </c>
      <c r="N1925" s="17">
        <f t="shared" si="161"/>
        <v>1.92</v>
      </c>
      <c r="O1925" s="17">
        <f t="shared" si="162"/>
        <v>4320</v>
      </c>
      <c r="P1925" s="18">
        <f t="shared" si="163"/>
        <v>381380.83199999999</v>
      </c>
    </row>
    <row r="1926" spans="2:18" ht="12.75">
      <c r="B1926" s="10">
        <v>46138</v>
      </c>
      <c r="C1926" s="11">
        <f>VLOOKUP(B:B,'Курс валют'!A:D,4,0)</f>
        <v>88.282600000000002</v>
      </c>
      <c r="D1926" s="57" t="s">
        <v>1035</v>
      </c>
      <c r="E1926" s="50" t="s">
        <v>15</v>
      </c>
      <c r="F1926" s="58">
        <v>1100</v>
      </c>
      <c r="G1926" s="13">
        <v>1105.8</v>
      </c>
      <c r="H1926" s="56">
        <v>0</v>
      </c>
      <c r="I1926" s="13">
        <f t="shared" si="166"/>
        <v>5.7999999999999545</v>
      </c>
      <c r="J1926" s="14">
        <f t="shared" si="158"/>
        <v>0.52727272727272312</v>
      </c>
      <c r="K1926" s="56">
        <v>2.2400000000000002</v>
      </c>
      <c r="L1926" s="15">
        <f t="shared" si="159"/>
        <v>0</v>
      </c>
      <c r="M1926" s="16">
        <f t="shared" si="160"/>
        <v>197.75302400000004</v>
      </c>
      <c r="N1926" s="17">
        <f t="shared" si="161"/>
        <v>2.2400000000000002</v>
      </c>
      <c r="O1926" s="17">
        <f t="shared" si="162"/>
        <v>2464.0000000000005</v>
      </c>
      <c r="P1926" s="18">
        <f t="shared" si="163"/>
        <v>217528.32640000005</v>
      </c>
    </row>
    <row r="1927" spans="2:18" ht="12.75">
      <c r="B1927" s="10">
        <v>46138</v>
      </c>
      <c r="C1927" s="11">
        <f>VLOOKUP(B:B,'Курс валют'!A:D,4,0)</f>
        <v>88.282600000000002</v>
      </c>
      <c r="D1927" s="57" t="s">
        <v>1036</v>
      </c>
      <c r="E1927" s="50" t="s">
        <v>15</v>
      </c>
      <c r="F1927" s="58">
        <v>1100</v>
      </c>
      <c r="G1927" s="13">
        <v>1105.8</v>
      </c>
      <c r="H1927" s="56">
        <v>0</v>
      </c>
      <c r="I1927" s="13">
        <f t="shared" si="166"/>
        <v>5.7999999999999545</v>
      </c>
      <c r="J1927" s="14">
        <f t="shared" si="158"/>
        <v>0.52727272727272312</v>
      </c>
      <c r="K1927" s="56">
        <v>2.23</v>
      </c>
      <c r="L1927" s="15">
        <f t="shared" si="159"/>
        <v>0</v>
      </c>
      <c r="M1927" s="16">
        <f t="shared" si="160"/>
        <v>196.87019800000002</v>
      </c>
      <c r="N1927" s="17">
        <f t="shared" si="161"/>
        <v>2.23</v>
      </c>
      <c r="O1927" s="17">
        <f t="shared" si="162"/>
        <v>2453</v>
      </c>
      <c r="P1927" s="18">
        <f t="shared" si="163"/>
        <v>216557.21780000001</v>
      </c>
    </row>
    <row r="1928" spans="2:18" ht="12.75">
      <c r="B1928" s="10">
        <v>46138</v>
      </c>
      <c r="C1928" s="11">
        <f>VLOOKUP(B:B,'Курс валют'!A:D,4,0)</f>
        <v>88.282600000000002</v>
      </c>
      <c r="D1928" s="57" t="s">
        <v>1037</v>
      </c>
      <c r="E1928" s="50" t="s">
        <v>15</v>
      </c>
      <c r="F1928" s="58">
        <v>1100</v>
      </c>
      <c r="G1928" s="13">
        <v>1105.8</v>
      </c>
      <c r="H1928" s="56">
        <v>0</v>
      </c>
      <c r="I1928" s="13">
        <f t="shared" si="166"/>
        <v>5.7999999999999545</v>
      </c>
      <c r="J1928" s="14">
        <f t="shared" si="158"/>
        <v>0.52727272727272312</v>
      </c>
      <c r="K1928" s="56">
        <v>2.21</v>
      </c>
      <c r="L1928" s="15">
        <f t="shared" si="159"/>
        <v>0</v>
      </c>
      <c r="M1928" s="16">
        <f t="shared" si="160"/>
        <v>195.104546</v>
      </c>
      <c r="N1928" s="17">
        <f t="shared" si="161"/>
        <v>2.21</v>
      </c>
      <c r="O1928" s="17">
        <f t="shared" si="162"/>
        <v>2431</v>
      </c>
      <c r="P1928" s="18">
        <f t="shared" si="163"/>
        <v>214615.0006</v>
      </c>
    </row>
    <row r="1929" spans="2:18" ht="12.75">
      <c r="B1929" s="10">
        <v>46138</v>
      </c>
      <c r="C1929" s="11">
        <f>VLOOKUP(B:B,'Курс валют'!A:D,4,0)</f>
        <v>88.282600000000002</v>
      </c>
      <c r="D1929" s="57" t="s">
        <v>1038</v>
      </c>
      <c r="E1929" s="50" t="s">
        <v>15</v>
      </c>
      <c r="F1929" s="58">
        <v>1100</v>
      </c>
      <c r="G1929" s="13">
        <v>1105.8</v>
      </c>
      <c r="H1929" s="56">
        <v>0</v>
      </c>
      <c r="I1929" s="13">
        <f t="shared" si="166"/>
        <v>5.7999999999999545</v>
      </c>
      <c r="J1929" s="14">
        <f t="shared" si="158"/>
        <v>0.52727272727272312</v>
      </c>
      <c r="K1929" s="56">
        <v>2.21</v>
      </c>
      <c r="L1929" s="15">
        <f t="shared" si="159"/>
        <v>0</v>
      </c>
      <c r="M1929" s="16">
        <f t="shared" si="160"/>
        <v>195.104546</v>
      </c>
      <c r="N1929" s="17">
        <f t="shared" si="161"/>
        <v>2.21</v>
      </c>
      <c r="O1929" s="17">
        <f t="shared" si="162"/>
        <v>2431</v>
      </c>
      <c r="P1929" s="18">
        <f t="shared" si="163"/>
        <v>214615.0006</v>
      </c>
    </row>
    <row r="1930" spans="2:18" ht="12.75">
      <c r="B1930" s="10">
        <v>46138</v>
      </c>
      <c r="C1930" s="11">
        <f>VLOOKUP(B:B,'Курс валют'!A:D,4,0)</f>
        <v>88.282600000000002</v>
      </c>
      <c r="D1930" s="57" t="s">
        <v>1039</v>
      </c>
      <c r="E1930" s="50" t="s">
        <v>15</v>
      </c>
      <c r="F1930" s="58">
        <v>1100</v>
      </c>
      <c r="G1930" s="13">
        <v>1105.8</v>
      </c>
      <c r="H1930" s="56">
        <v>0</v>
      </c>
      <c r="I1930" s="13">
        <f t="shared" si="166"/>
        <v>5.7999999999999545</v>
      </c>
      <c r="J1930" s="14">
        <f t="shared" si="158"/>
        <v>0.52727272727272312</v>
      </c>
      <c r="K1930" s="56">
        <v>2.21</v>
      </c>
      <c r="L1930" s="15">
        <f t="shared" si="159"/>
        <v>0</v>
      </c>
      <c r="M1930" s="16">
        <f t="shared" si="160"/>
        <v>195.104546</v>
      </c>
      <c r="N1930" s="17">
        <f t="shared" si="161"/>
        <v>2.21</v>
      </c>
      <c r="O1930" s="17">
        <f t="shared" si="162"/>
        <v>2431</v>
      </c>
      <c r="P1930" s="18">
        <f t="shared" si="163"/>
        <v>214615.0006</v>
      </c>
    </row>
    <row r="1931" spans="2:18" ht="12.75">
      <c r="B1931" s="10">
        <v>46138</v>
      </c>
      <c r="C1931" s="11">
        <f>VLOOKUP(B:B,'Курс валют'!A:D,4,0)</f>
        <v>88.282600000000002</v>
      </c>
      <c r="D1931" s="57" t="s">
        <v>1040</v>
      </c>
      <c r="E1931" s="50" t="s">
        <v>15</v>
      </c>
      <c r="F1931" s="58">
        <v>1100</v>
      </c>
      <c r="G1931" s="13">
        <v>1105.8</v>
      </c>
      <c r="H1931" s="56">
        <v>0</v>
      </c>
      <c r="I1931" s="13">
        <f t="shared" si="166"/>
        <v>5.7999999999999545</v>
      </c>
      <c r="J1931" s="14">
        <f t="shared" si="158"/>
        <v>0.52727272727272312</v>
      </c>
      <c r="K1931" s="56">
        <v>2.21</v>
      </c>
      <c r="L1931" s="15">
        <f t="shared" si="159"/>
        <v>0</v>
      </c>
      <c r="M1931" s="16">
        <f t="shared" si="160"/>
        <v>195.104546</v>
      </c>
      <c r="N1931" s="17">
        <f t="shared" si="161"/>
        <v>2.21</v>
      </c>
      <c r="O1931" s="17">
        <f t="shared" si="162"/>
        <v>2431</v>
      </c>
      <c r="P1931" s="18">
        <f t="shared" si="163"/>
        <v>214615.0006</v>
      </c>
    </row>
    <row r="1932" spans="2:18" ht="12.75">
      <c r="B1932" s="10">
        <v>46138</v>
      </c>
      <c r="C1932" s="11">
        <f>VLOOKUP(B:B,'Курс валют'!A:D,4,0)</f>
        <v>88.282600000000002</v>
      </c>
      <c r="D1932" s="57" t="s">
        <v>1041</v>
      </c>
      <c r="E1932" s="50" t="s">
        <v>15</v>
      </c>
      <c r="F1932" s="58">
        <v>1100</v>
      </c>
      <c r="G1932" s="13">
        <v>1105.8</v>
      </c>
      <c r="H1932" s="56">
        <v>0</v>
      </c>
      <c r="I1932" s="13">
        <f t="shared" si="166"/>
        <v>5.7999999999999545</v>
      </c>
      <c r="J1932" s="14">
        <f t="shared" si="158"/>
        <v>0.52727272727272312</v>
      </c>
      <c r="K1932" s="56">
        <v>2.2799999999999998</v>
      </c>
      <c r="L1932" s="15">
        <f t="shared" si="159"/>
        <v>0</v>
      </c>
      <c r="M1932" s="16">
        <f t="shared" si="160"/>
        <v>201.28432800000002</v>
      </c>
      <c r="N1932" s="17">
        <f t="shared" si="161"/>
        <v>2.2799999999999998</v>
      </c>
      <c r="O1932" s="17">
        <f t="shared" si="162"/>
        <v>2508</v>
      </c>
      <c r="P1932" s="18">
        <f t="shared" si="163"/>
        <v>221412.76080000002</v>
      </c>
    </row>
    <row r="1933" spans="2:18" ht="12.75">
      <c r="B1933" s="10">
        <v>46138</v>
      </c>
      <c r="C1933" s="11">
        <f>VLOOKUP(B:B,'Курс валют'!A:D,4,0)</f>
        <v>88.282600000000002</v>
      </c>
      <c r="D1933" s="57" t="s">
        <v>1042</v>
      </c>
      <c r="E1933" s="50" t="s">
        <v>15</v>
      </c>
      <c r="F1933" s="58">
        <v>1100</v>
      </c>
      <c r="G1933" s="13">
        <v>1105.8</v>
      </c>
      <c r="H1933" s="56">
        <v>0</v>
      </c>
      <c r="I1933" s="13">
        <f t="shared" si="166"/>
        <v>5.7999999999999545</v>
      </c>
      <c r="J1933" s="14">
        <f t="shared" si="158"/>
        <v>0.52727272727272312</v>
      </c>
      <c r="K1933" s="56">
        <v>2.33</v>
      </c>
      <c r="L1933" s="15">
        <f t="shared" si="159"/>
        <v>0</v>
      </c>
      <c r="M1933" s="16">
        <f t="shared" si="160"/>
        <v>205.69845799999999</v>
      </c>
      <c r="N1933" s="17">
        <f t="shared" si="161"/>
        <v>2.33</v>
      </c>
      <c r="O1933" s="17">
        <f t="shared" si="162"/>
        <v>2563</v>
      </c>
      <c r="P1933" s="18">
        <f t="shared" si="163"/>
        <v>226268.30379999999</v>
      </c>
    </row>
    <row r="1934" spans="2:18" ht="12.75">
      <c r="B1934" s="10">
        <v>46138</v>
      </c>
      <c r="C1934" s="11">
        <f>VLOOKUP(B:B,'Курс валют'!A:D,4,0)</f>
        <v>88.282600000000002</v>
      </c>
      <c r="D1934" s="57" t="s">
        <v>1043</v>
      </c>
      <c r="E1934" s="50" t="s">
        <v>15</v>
      </c>
      <c r="F1934" s="58">
        <v>1100</v>
      </c>
      <c r="G1934" s="13">
        <v>1105.8</v>
      </c>
      <c r="H1934" s="56">
        <v>0</v>
      </c>
      <c r="I1934" s="13">
        <f t="shared" si="166"/>
        <v>5.7999999999999545</v>
      </c>
      <c r="J1934" s="14">
        <f t="shared" si="158"/>
        <v>0.52727272727272312</v>
      </c>
      <c r="K1934" s="56">
        <v>2.33</v>
      </c>
      <c r="L1934" s="15">
        <f t="shared" si="159"/>
        <v>0</v>
      </c>
      <c r="M1934" s="16">
        <f t="shared" si="160"/>
        <v>205.69845799999999</v>
      </c>
      <c r="N1934" s="17">
        <f t="shared" si="161"/>
        <v>2.33</v>
      </c>
      <c r="O1934" s="17">
        <f t="shared" si="162"/>
        <v>2563</v>
      </c>
      <c r="P1934" s="18">
        <f t="shared" si="163"/>
        <v>226268.30379999999</v>
      </c>
    </row>
    <row r="1935" spans="2:18" ht="12.75">
      <c r="B1935" s="10">
        <v>46138</v>
      </c>
      <c r="C1935" s="11">
        <f>VLOOKUP(B:B,'Курс валют'!A:D,4,0)</f>
        <v>88.282600000000002</v>
      </c>
      <c r="D1935" s="57" t="s">
        <v>1044</v>
      </c>
      <c r="E1935" s="50" t="s">
        <v>15</v>
      </c>
      <c r="F1935" s="58">
        <v>1100</v>
      </c>
      <c r="G1935" s="13">
        <v>1105.8</v>
      </c>
      <c r="H1935" s="56">
        <v>0</v>
      </c>
      <c r="I1935" s="13">
        <f t="shared" si="166"/>
        <v>5.7999999999999545</v>
      </c>
      <c r="J1935" s="14">
        <f t="shared" si="158"/>
        <v>0.52727272727272312</v>
      </c>
      <c r="K1935" s="56">
        <v>2.33</v>
      </c>
      <c r="L1935" s="15">
        <f t="shared" si="159"/>
        <v>0</v>
      </c>
      <c r="M1935" s="16">
        <f t="shared" si="160"/>
        <v>205.69845799999999</v>
      </c>
      <c r="N1935" s="17">
        <f t="shared" si="161"/>
        <v>2.33</v>
      </c>
      <c r="O1935" s="17">
        <f t="shared" si="162"/>
        <v>2563</v>
      </c>
      <c r="P1935" s="18">
        <f t="shared" si="163"/>
        <v>226268.30379999999</v>
      </c>
    </row>
    <row r="1936" spans="2:18" ht="12.75">
      <c r="B1936" s="10">
        <v>46139</v>
      </c>
      <c r="C1936" s="11">
        <f>VLOOKUP(B:B,'Курс валют'!A:D,4,0)</f>
        <v>88.282600000000002</v>
      </c>
      <c r="D1936" s="57" t="s">
        <v>1045</v>
      </c>
      <c r="E1936" s="50" t="s">
        <v>58</v>
      </c>
      <c r="F1936" s="58">
        <v>1100</v>
      </c>
      <c r="G1936" s="13">
        <v>1105.51</v>
      </c>
      <c r="H1936" s="56">
        <v>0</v>
      </c>
      <c r="I1936" s="13">
        <f t="shared" si="166"/>
        <v>5.5099999999999909</v>
      </c>
      <c r="J1936" s="14">
        <f t="shared" si="158"/>
        <v>0.50090909090909008</v>
      </c>
      <c r="K1936" s="56">
        <v>2.48</v>
      </c>
      <c r="L1936" s="15">
        <f t="shared" si="159"/>
        <v>0</v>
      </c>
      <c r="M1936" s="16">
        <f t="shared" si="160"/>
        <v>218.94084800000002</v>
      </c>
      <c r="N1936" s="17">
        <f t="shared" si="161"/>
        <v>2.48</v>
      </c>
      <c r="O1936" s="17">
        <f t="shared" si="162"/>
        <v>2728</v>
      </c>
      <c r="P1936" s="18">
        <f t="shared" si="163"/>
        <v>240834.93280000001</v>
      </c>
    </row>
    <row r="1937" spans="2:16" ht="12.75">
      <c r="B1937" s="10">
        <v>46139</v>
      </c>
      <c r="C1937" s="11">
        <f>VLOOKUP(B:B,'Курс валют'!A:D,4,0)</f>
        <v>88.282600000000002</v>
      </c>
      <c r="D1937" s="57" t="s">
        <v>1046</v>
      </c>
      <c r="E1937" s="50" t="s">
        <v>58</v>
      </c>
      <c r="F1937" s="58">
        <v>1100</v>
      </c>
      <c r="G1937" s="13">
        <v>1105.51</v>
      </c>
      <c r="H1937" s="56">
        <v>0</v>
      </c>
      <c r="I1937" s="13">
        <f t="shared" si="166"/>
        <v>5.5099999999999909</v>
      </c>
      <c r="J1937" s="14">
        <f t="shared" si="158"/>
        <v>0.50090909090909008</v>
      </c>
      <c r="K1937" s="56">
        <v>2.48</v>
      </c>
      <c r="L1937" s="15">
        <f t="shared" si="159"/>
        <v>0</v>
      </c>
      <c r="M1937" s="16">
        <f t="shared" si="160"/>
        <v>218.94084800000002</v>
      </c>
      <c r="N1937" s="17">
        <f t="shared" si="161"/>
        <v>2.48</v>
      </c>
      <c r="O1937" s="17">
        <f t="shared" si="162"/>
        <v>2728</v>
      </c>
      <c r="P1937" s="18">
        <f t="shared" si="163"/>
        <v>240834.93280000001</v>
      </c>
    </row>
    <row r="1938" spans="2:16" ht="12.75">
      <c r="B1938" s="10">
        <v>46139</v>
      </c>
      <c r="C1938" s="11">
        <f>VLOOKUP(B:B,'Курс валют'!A:D,4,0)</f>
        <v>88.282600000000002</v>
      </c>
      <c r="D1938" s="57" t="s">
        <v>1047</v>
      </c>
      <c r="E1938" s="50" t="s">
        <v>58</v>
      </c>
      <c r="F1938" s="58">
        <v>1100</v>
      </c>
      <c r="G1938" s="13">
        <v>1105.51</v>
      </c>
      <c r="H1938" s="56">
        <v>0</v>
      </c>
      <c r="I1938" s="13">
        <f t="shared" si="166"/>
        <v>5.5099999999999909</v>
      </c>
      <c r="J1938" s="14">
        <f t="shared" si="158"/>
        <v>0.50090909090909008</v>
      </c>
      <c r="K1938" s="56">
        <v>2.48</v>
      </c>
      <c r="L1938" s="15">
        <f t="shared" si="159"/>
        <v>0</v>
      </c>
      <c r="M1938" s="16">
        <f t="shared" si="160"/>
        <v>218.94084800000002</v>
      </c>
      <c r="N1938" s="17">
        <f t="shared" si="161"/>
        <v>2.48</v>
      </c>
      <c r="O1938" s="17">
        <f t="shared" si="162"/>
        <v>2728</v>
      </c>
      <c r="P1938" s="18">
        <f t="shared" si="163"/>
        <v>240834.93280000001</v>
      </c>
    </row>
    <row r="1939" spans="2:16" ht="12.75">
      <c r="B1939" s="10">
        <v>46139</v>
      </c>
      <c r="C1939" s="11">
        <f>VLOOKUP(B:B,'Курс валют'!A:D,4,0)</f>
        <v>88.282600000000002</v>
      </c>
      <c r="D1939" s="57" t="s">
        <v>1048</v>
      </c>
      <c r="E1939" s="50" t="s">
        <v>58</v>
      </c>
      <c r="F1939" s="58">
        <v>1100</v>
      </c>
      <c r="G1939" s="13">
        <v>1105.51</v>
      </c>
      <c r="H1939" s="56">
        <v>0</v>
      </c>
      <c r="I1939" s="13">
        <f t="shared" si="166"/>
        <v>5.5099999999999909</v>
      </c>
      <c r="J1939" s="14">
        <f t="shared" si="158"/>
        <v>0.50090909090909008</v>
      </c>
      <c r="K1939" s="56">
        <v>2.4900000000000002</v>
      </c>
      <c r="L1939" s="15">
        <f t="shared" si="159"/>
        <v>0</v>
      </c>
      <c r="M1939" s="16">
        <f t="shared" si="160"/>
        <v>219.82367400000004</v>
      </c>
      <c r="N1939" s="17">
        <f t="shared" si="161"/>
        <v>2.4900000000000002</v>
      </c>
      <c r="O1939" s="17">
        <f t="shared" si="162"/>
        <v>2739.0000000000005</v>
      </c>
      <c r="P1939" s="18">
        <f t="shared" si="163"/>
        <v>241806.04140000005</v>
      </c>
    </row>
    <row r="1940" spans="2:16" ht="12.75">
      <c r="B1940" s="10">
        <v>46139</v>
      </c>
      <c r="C1940" s="11">
        <f>VLOOKUP(B:B,'Курс валют'!A:D,4,0)</f>
        <v>88.282600000000002</v>
      </c>
      <c r="D1940" s="57" t="s">
        <v>1049</v>
      </c>
      <c r="E1940" s="50" t="s">
        <v>58</v>
      </c>
      <c r="F1940" s="58">
        <v>1100</v>
      </c>
      <c r="G1940" s="13">
        <v>1108.01</v>
      </c>
      <c r="H1940" s="56">
        <v>0</v>
      </c>
      <c r="I1940" s="13">
        <f t="shared" si="166"/>
        <v>8.0099999999999909</v>
      </c>
      <c r="J1940" s="14">
        <f t="shared" si="158"/>
        <v>0.72818181818181726</v>
      </c>
      <c r="K1940" s="56">
        <v>2.4900000000000002</v>
      </c>
      <c r="L1940" s="15">
        <f t="shared" si="159"/>
        <v>0</v>
      </c>
      <c r="M1940" s="16">
        <f t="shared" si="160"/>
        <v>219.82367400000004</v>
      </c>
      <c r="N1940" s="17">
        <f t="shared" si="161"/>
        <v>2.4900000000000002</v>
      </c>
      <c r="O1940" s="17">
        <f t="shared" si="162"/>
        <v>2739.0000000000005</v>
      </c>
      <c r="P1940" s="18">
        <f t="shared" si="163"/>
        <v>241806.04140000005</v>
      </c>
    </row>
    <row r="1941" spans="2:16" ht="12.75">
      <c r="B1941" s="10">
        <v>46139</v>
      </c>
      <c r="C1941" s="11">
        <f>VLOOKUP(B:B,'Курс валют'!A:D,4,0)</f>
        <v>88.282600000000002</v>
      </c>
      <c r="D1941" s="57" t="s">
        <v>1050</v>
      </c>
      <c r="E1941" s="50" t="s">
        <v>58</v>
      </c>
      <c r="F1941" s="58">
        <v>1100</v>
      </c>
      <c r="G1941" s="13">
        <v>1108.01</v>
      </c>
      <c r="H1941" s="56">
        <v>0</v>
      </c>
      <c r="I1941" s="13">
        <f t="shared" si="166"/>
        <v>8.0099999999999909</v>
      </c>
      <c r="J1941" s="14">
        <f t="shared" si="158"/>
        <v>0.72818181818181726</v>
      </c>
      <c r="K1941" s="56">
        <v>2.4900000000000002</v>
      </c>
      <c r="L1941" s="15">
        <f t="shared" si="159"/>
        <v>0</v>
      </c>
      <c r="M1941" s="16">
        <f t="shared" si="160"/>
        <v>219.82367400000004</v>
      </c>
      <c r="N1941" s="17">
        <f t="shared" si="161"/>
        <v>2.4900000000000002</v>
      </c>
      <c r="O1941" s="17">
        <f t="shared" si="162"/>
        <v>2739.0000000000005</v>
      </c>
      <c r="P1941" s="18">
        <f t="shared" si="163"/>
        <v>241806.04140000005</v>
      </c>
    </row>
    <row r="1942" spans="2:16" ht="12.75">
      <c r="B1942" s="10">
        <v>46139</v>
      </c>
      <c r="C1942" s="11">
        <f>VLOOKUP(B:B,'Курс валют'!A:D,4,0)</f>
        <v>88.282600000000002</v>
      </c>
      <c r="D1942" s="57" t="s">
        <v>1051</v>
      </c>
      <c r="E1942" s="50" t="s">
        <v>58</v>
      </c>
      <c r="F1942" s="58">
        <v>1100</v>
      </c>
      <c r="G1942" s="13">
        <v>1108.01</v>
      </c>
      <c r="H1942" s="56">
        <v>0</v>
      </c>
      <c r="I1942" s="13">
        <f t="shared" si="166"/>
        <v>8.0099999999999909</v>
      </c>
      <c r="J1942" s="14">
        <f t="shared" si="158"/>
        <v>0.72818181818181726</v>
      </c>
      <c r="K1942" s="56">
        <v>2.4900000000000002</v>
      </c>
      <c r="L1942" s="15">
        <f t="shared" si="159"/>
        <v>0</v>
      </c>
      <c r="M1942" s="16">
        <f t="shared" si="160"/>
        <v>219.82367400000004</v>
      </c>
      <c r="N1942" s="17">
        <f t="shared" si="161"/>
        <v>2.4900000000000002</v>
      </c>
      <c r="O1942" s="17">
        <f t="shared" si="162"/>
        <v>2739.0000000000005</v>
      </c>
      <c r="P1942" s="18">
        <f t="shared" si="163"/>
        <v>241806.04140000005</v>
      </c>
    </row>
    <row r="1943" spans="2:16" ht="12.75">
      <c r="B1943" s="10">
        <v>46139</v>
      </c>
      <c r="C1943" s="11">
        <f>VLOOKUP(B:B,'Курс валют'!A:D,4,0)</f>
        <v>88.282600000000002</v>
      </c>
      <c r="D1943" s="57" t="s">
        <v>1052</v>
      </c>
      <c r="E1943" s="50" t="s">
        <v>58</v>
      </c>
      <c r="F1943" s="58">
        <v>1100</v>
      </c>
      <c r="G1943" s="13">
        <v>1108.01</v>
      </c>
      <c r="H1943" s="56">
        <v>0</v>
      </c>
      <c r="I1943" s="13">
        <f t="shared" si="166"/>
        <v>8.0099999999999909</v>
      </c>
      <c r="J1943" s="14">
        <f t="shared" si="158"/>
        <v>0.72818181818181726</v>
      </c>
      <c r="K1943" s="56">
        <v>2.41</v>
      </c>
      <c r="L1943" s="15">
        <f t="shared" si="159"/>
        <v>0</v>
      </c>
      <c r="M1943" s="16">
        <f t="shared" si="160"/>
        <v>212.76106600000003</v>
      </c>
      <c r="N1943" s="17">
        <f t="shared" si="161"/>
        <v>2.41</v>
      </c>
      <c r="O1943" s="17">
        <f t="shared" si="162"/>
        <v>2651</v>
      </c>
      <c r="P1943" s="18">
        <f t="shared" si="163"/>
        <v>234037.17260000002</v>
      </c>
    </row>
    <row r="1944" spans="2:16" ht="12.75">
      <c r="B1944" s="10">
        <v>46139</v>
      </c>
      <c r="C1944" s="11">
        <f>VLOOKUP(B:B,'Курс валют'!A:D,4,0)</f>
        <v>88.282600000000002</v>
      </c>
      <c r="D1944" s="57" t="s">
        <v>1053</v>
      </c>
      <c r="E1944" s="50" t="s">
        <v>58</v>
      </c>
      <c r="F1944" s="58">
        <v>1100</v>
      </c>
      <c r="G1944" s="13">
        <v>1108.01</v>
      </c>
      <c r="H1944" s="56">
        <v>0</v>
      </c>
      <c r="I1944" s="13">
        <f t="shared" si="166"/>
        <v>8.0099999999999909</v>
      </c>
      <c r="J1944" s="14">
        <f t="shared" si="158"/>
        <v>0.72818181818181726</v>
      </c>
      <c r="K1944" s="56">
        <v>2.41</v>
      </c>
      <c r="L1944" s="15">
        <f t="shared" si="159"/>
        <v>0</v>
      </c>
      <c r="M1944" s="16">
        <f t="shared" si="160"/>
        <v>212.76106600000003</v>
      </c>
      <c r="N1944" s="17">
        <f t="shared" si="161"/>
        <v>2.41</v>
      </c>
      <c r="O1944" s="17">
        <f t="shared" si="162"/>
        <v>2651</v>
      </c>
      <c r="P1944" s="18">
        <f t="shared" si="163"/>
        <v>234037.17260000002</v>
      </c>
    </row>
    <row r="1945" spans="2:16" ht="12.75">
      <c r="B1945" s="10">
        <v>46139</v>
      </c>
      <c r="C1945" s="11">
        <f>VLOOKUP(B:B,'Курс валют'!A:D,4,0)</f>
        <v>88.282600000000002</v>
      </c>
      <c r="D1945" s="57" t="s">
        <v>1054</v>
      </c>
      <c r="E1945" s="50" t="s">
        <v>58</v>
      </c>
      <c r="F1945" s="58">
        <v>1100</v>
      </c>
      <c r="G1945" s="13">
        <v>1108.01</v>
      </c>
      <c r="H1945" s="56">
        <v>0</v>
      </c>
      <c r="I1945" s="13">
        <f t="shared" si="166"/>
        <v>8.0099999999999909</v>
      </c>
      <c r="J1945" s="14">
        <f t="shared" si="158"/>
        <v>0.72818181818181726</v>
      </c>
      <c r="K1945" s="56">
        <v>2.41</v>
      </c>
      <c r="L1945" s="15">
        <f t="shared" si="159"/>
        <v>0</v>
      </c>
      <c r="M1945" s="16">
        <f t="shared" si="160"/>
        <v>212.76106600000003</v>
      </c>
      <c r="N1945" s="17">
        <f t="shared" si="161"/>
        <v>2.41</v>
      </c>
      <c r="O1945" s="17">
        <f t="shared" si="162"/>
        <v>2651</v>
      </c>
      <c r="P1945" s="18">
        <f t="shared" si="163"/>
        <v>234037.17260000002</v>
      </c>
    </row>
    <row r="1946" spans="2:16" ht="12.75">
      <c r="B1946" s="10">
        <v>46139</v>
      </c>
      <c r="C1946" s="11">
        <f>VLOOKUP(B:B,'Курс валют'!A:D,4,0)</f>
        <v>88.282600000000002</v>
      </c>
      <c r="D1946" s="57" t="s">
        <v>1055</v>
      </c>
      <c r="E1946" s="50" t="s">
        <v>58</v>
      </c>
      <c r="F1946" s="58">
        <v>1100</v>
      </c>
      <c r="G1946" s="13">
        <v>1108.01</v>
      </c>
      <c r="H1946" s="56">
        <v>0</v>
      </c>
      <c r="I1946" s="13">
        <f t="shared" si="166"/>
        <v>8.0099999999999909</v>
      </c>
      <c r="J1946" s="14">
        <f t="shared" si="158"/>
        <v>0.72818181818181726</v>
      </c>
      <c r="K1946" s="56">
        <v>2.41</v>
      </c>
      <c r="L1946" s="15">
        <f t="shared" si="159"/>
        <v>0</v>
      </c>
      <c r="M1946" s="16">
        <f t="shared" si="160"/>
        <v>212.76106600000003</v>
      </c>
      <c r="N1946" s="17">
        <f t="shared" si="161"/>
        <v>2.41</v>
      </c>
      <c r="O1946" s="17">
        <f t="shared" si="162"/>
        <v>2651</v>
      </c>
      <c r="P1946" s="18">
        <f t="shared" si="163"/>
        <v>234037.17260000002</v>
      </c>
    </row>
    <row r="1947" spans="2:16" ht="12.75">
      <c r="B1947" s="10">
        <v>46140</v>
      </c>
      <c r="C1947" s="11">
        <f>VLOOKUP(B:B,'Курс валют'!A:D,4,0)</f>
        <v>87.882599999999996</v>
      </c>
      <c r="D1947" s="57" t="s">
        <v>1056</v>
      </c>
      <c r="E1947" s="50" t="s">
        <v>68</v>
      </c>
      <c r="F1947" s="58">
        <v>800</v>
      </c>
      <c r="G1947" s="13">
        <v>803.95</v>
      </c>
      <c r="H1947" s="56">
        <v>0</v>
      </c>
      <c r="I1947" s="13">
        <f t="shared" si="166"/>
        <v>3.9500000000000455</v>
      </c>
      <c r="J1947" s="14">
        <f t="shared" si="158"/>
        <v>0.49375000000000563</v>
      </c>
      <c r="K1947" s="56">
        <v>1.84</v>
      </c>
      <c r="L1947" s="15">
        <f t="shared" si="159"/>
        <v>0</v>
      </c>
      <c r="M1947" s="16">
        <f t="shared" si="160"/>
        <v>161.70398399999999</v>
      </c>
      <c r="N1947" s="17">
        <f t="shared" si="161"/>
        <v>1.84</v>
      </c>
      <c r="O1947" s="17">
        <f t="shared" si="162"/>
        <v>1472</v>
      </c>
      <c r="P1947" s="18">
        <f t="shared" si="163"/>
        <v>129363.1872</v>
      </c>
    </row>
    <row r="1948" spans="2:16" ht="12.75">
      <c r="B1948" s="10">
        <v>46140</v>
      </c>
      <c r="C1948" s="11">
        <f>VLOOKUP(B:B,'Курс валют'!A:D,4,0)</f>
        <v>87.882599999999996</v>
      </c>
      <c r="D1948" s="57" t="s">
        <v>1057</v>
      </c>
      <c r="E1948" s="50" t="s">
        <v>68</v>
      </c>
      <c r="F1948" s="58">
        <v>800</v>
      </c>
      <c r="G1948" s="13">
        <v>803.95</v>
      </c>
      <c r="H1948" s="56">
        <v>0</v>
      </c>
      <c r="I1948" s="13">
        <f t="shared" si="166"/>
        <v>3.9500000000000455</v>
      </c>
      <c r="J1948" s="14">
        <f t="shared" si="158"/>
        <v>0.49375000000000563</v>
      </c>
      <c r="K1948" s="56">
        <v>1.84</v>
      </c>
      <c r="L1948" s="15">
        <f t="shared" si="159"/>
        <v>0</v>
      </c>
      <c r="M1948" s="16">
        <f t="shared" si="160"/>
        <v>161.70398399999999</v>
      </c>
      <c r="N1948" s="17">
        <f t="shared" si="161"/>
        <v>1.84</v>
      </c>
      <c r="O1948" s="17">
        <f t="shared" si="162"/>
        <v>1472</v>
      </c>
      <c r="P1948" s="18">
        <f t="shared" si="163"/>
        <v>129363.1872</v>
      </c>
    </row>
    <row r="1949" spans="2:16" ht="12.75">
      <c r="B1949" s="10">
        <v>46140</v>
      </c>
      <c r="C1949" s="11">
        <f>VLOOKUP(B:B,'Курс валют'!A:D,4,0)</f>
        <v>87.882599999999996</v>
      </c>
      <c r="D1949" s="57" t="s">
        <v>1058</v>
      </c>
      <c r="E1949" s="50" t="s">
        <v>68</v>
      </c>
      <c r="F1949" s="58">
        <v>800</v>
      </c>
      <c r="G1949" s="13">
        <v>804.45</v>
      </c>
      <c r="H1949" s="56">
        <v>0</v>
      </c>
      <c r="I1949" s="13">
        <f t="shared" si="166"/>
        <v>4.4500000000000455</v>
      </c>
      <c r="J1949" s="14">
        <f t="shared" si="158"/>
        <v>0.55625000000000568</v>
      </c>
      <c r="K1949" s="56">
        <v>1.84</v>
      </c>
      <c r="L1949" s="15">
        <f t="shared" si="159"/>
        <v>0</v>
      </c>
      <c r="M1949" s="16">
        <f t="shared" si="160"/>
        <v>161.70398399999999</v>
      </c>
      <c r="N1949" s="17">
        <f t="shared" si="161"/>
        <v>1.84</v>
      </c>
      <c r="O1949" s="17">
        <f t="shared" si="162"/>
        <v>1472</v>
      </c>
      <c r="P1949" s="18">
        <f t="shared" si="163"/>
        <v>129363.1872</v>
      </c>
    </row>
    <row r="1950" spans="2:16" ht="12.75">
      <c r="B1950" s="10">
        <v>46140</v>
      </c>
      <c r="C1950" s="11">
        <f>VLOOKUP(B:B,'Курс валют'!A:D,4,0)</f>
        <v>87.882599999999996</v>
      </c>
      <c r="D1950" s="57" t="s">
        <v>1059</v>
      </c>
      <c r="E1950" s="50" t="s">
        <v>68</v>
      </c>
      <c r="F1950" s="58">
        <v>800</v>
      </c>
      <c r="G1950" s="13">
        <v>804.45</v>
      </c>
      <c r="H1950" s="56">
        <v>0</v>
      </c>
      <c r="I1950" s="13">
        <f t="shared" si="166"/>
        <v>4.4500000000000455</v>
      </c>
      <c r="J1950" s="14">
        <f t="shared" si="158"/>
        <v>0.55625000000000568</v>
      </c>
      <c r="K1950" s="56">
        <v>1.84</v>
      </c>
      <c r="L1950" s="15">
        <f t="shared" si="159"/>
        <v>0</v>
      </c>
      <c r="M1950" s="16">
        <f t="shared" si="160"/>
        <v>161.70398399999999</v>
      </c>
      <c r="N1950" s="17">
        <f t="shared" si="161"/>
        <v>1.84</v>
      </c>
      <c r="O1950" s="17">
        <f t="shared" si="162"/>
        <v>1472</v>
      </c>
      <c r="P1950" s="18">
        <f t="shared" si="163"/>
        <v>129363.1872</v>
      </c>
    </row>
    <row r="1951" spans="2:16" ht="12.75">
      <c r="B1951" s="10">
        <v>46140</v>
      </c>
      <c r="C1951" s="11">
        <f>VLOOKUP(B:B,'Курс валют'!A:D,4,0)</f>
        <v>87.882599999999996</v>
      </c>
      <c r="D1951" s="57" t="s">
        <v>1060</v>
      </c>
      <c r="E1951" s="50" t="s">
        <v>68</v>
      </c>
      <c r="F1951" s="58">
        <v>800</v>
      </c>
      <c r="G1951" s="13">
        <v>804.45</v>
      </c>
      <c r="H1951" s="56">
        <v>0</v>
      </c>
      <c r="I1951" s="13">
        <f t="shared" si="166"/>
        <v>4.4500000000000455</v>
      </c>
      <c r="J1951" s="14">
        <f t="shared" si="158"/>
        <v>0.55625000000000568</v>
      </c>
      <c r="K1951" s="56">
        <v>1.84</v>
      </c>
      <c r="L1951" s="15">
        <f t="shared" si="159"/>
        <v>0</v>
      </c>
      <c r="M1951" s="16">
        <f t="shared" si="160"/>
        <v>161.70398399999999</v>
      </c>
      <c r="N1951" s="17">
        <f t="shared" si="161"/>
        <v>1.84</v>
      </c>
      <c r="O1951" s="17">
        <f t="shared" si="162"/>
        <v>1472</v>
      </c>
      <c r="P1951" s="18">
        <f t="shared" si="163"/>
        <v>129363.1872</v>
      </c>
    </row>
    <row r="1952" spans="2:16" ht="12.75">
      <c r="B1952" s="10">
        <v>46140</v>
      </c>
      <c r="C1952" s="11">
        <f>VLOOKUP(B:B,'Курс валют'!A:D,4,0)</f>
        <v>87.882599999999996</v>
      </c>
      <c r="D1952" s="57" t="s">
        <v>1061</v>
      </c>
      <c r="E1952" s="50" t="s">
        <v>119</v>
      </c>
      <c r="F1952" s="58">
        <v>927.2</v>
      </c>
      <c r="G1952" s="13">
        <v>940</v>
      </c>
      <c r="H1952" s="56">
        <v>0</v>
      </c>
      <c r="I1952" s="13">
        <f t="shared" si="166"/>
        <v>12.799999999999955</v>
      </c>
      <c r="J1952" s="14">
        <f t="shared" si="158"/>
        <v>1.3805004314063798</v>
      </c>
      <c r="K1952" s="56">
        <v>2.0299999999999998</v>
      </c>
      <c r="L1952" s="15">
        <f t="shared" si="159"/>
        <v>0</v>
      </c>
      <c r="M1952" s="16">
        <f t="shared" si="160"/>
        <v>178.40167799999998</v>
      </c>
      <c r="N1952" s="17">
        <f t="shared" si="161"/>
        <v>2.0299999999999998</v>
      </c>
      <c r="O1952" s="17">
        <f t="shared" si="162"/>
        <v>1882.2159999999999</v>
      </c>
      <c r="P1952" s="18">
        <f t="shared" si="163"/>
        <v>165414.03584159998</v>
      </c>
    </row>
    <row r="1953" spans="2:18" ht="12.75">
      <c r="B1953" s="10">
        <v>46141</v>
      </c>
      <c r="C1953" s="11">
        <f>VLOOKUP(B:B,'Курс валют'!A:D,4,0)</f>
        <v>87.592799999999997</v>
      </c>
      <c r="D1953" s="57" t="s">
        <v>1062</v>
      </c>
      <c r="E1953" s="50" t="s">
        <v>207</v>
      </c>
      <c r="F1953" s="58">
        <v>400</v>
      </c>
      <c r="G1953" s="13">
        <v>400</v>
      </c>
      <c r="H1953" s="56">
        <v>0</v>
      </c>
      <c r="I1953" s="13">
        <f t="shared" si="166"/>
        <v>0</v>
      </c>
      <c r="J1953" s="14">
        <f t="shared" si="158"/>
        <v>0</v>
      </c>
      <c r="K1953" s="56">
        <v>2.86</v>
      </c>
      <c r="L1953" s="15">
        <f t="shared" si="159"/>
        <v>0</v>
      </c>
      <c r="M1953" s="16">
        <f t="shared" si="160"/>
        <v>250.51540799999998</v>
      </c>
      <c r="N1953" s="17">
        <f t="shared" si="161"/>
        <v>2.86</v>
      </c>
      <c r="O1953" s="17">
        <f t="shared" si="162"/>
        <v>1144</v>
      </c>
      <c r="P1953" s="18">
        <f t="shared" si="163"/>
        <v>100206.1632</v>
      </c>
      <c r="R1953" s="33" t="s">
        <v>1063</v>
      </c>
    </row>
    <row r="1954" spans="2:18" ht="12.75">
      <c r="B1954" s="10">
        <v>46141</v>
      </c>
      <c r="C1954" s="11">
        <f>VLOOKUP(B:B,'Курс валют'!A:D,4,0)</f>
        <v>87.592799999999997</v>
      </c>
      <c r="D1954" s="57" t="s">
        <v>1064</v>
      </c>
      <c r="E1954" s="50" t="s">
        <v>61</v>
      </c>
      <c r="F1954" s="58">
        <v>1800</v>
      </c>
      <c r="G1954" s="13">
        <v>1834.55</v>
      </c>
      <c r="H1954" s="56">
        <v>0</v>
      </c>
      <c r="I1954" s="13">
        <f t="shared" si="166"/>
        <v>34.549999999999955</v>
      </c>
      <c r="J1954" s="14">
        <f t="shared" si="158"/>
        <v>1.9194444444444421</v>
      </c>
      <c r="K1954" s="56">
        <v>2.4500000000000002</v>
      </c>
      <c r="L1954" s="15">
        <f t="shared" si="159"/>
        <v>0</v>
      </c>
      <c r="M1954" s="16">
        <f t="shared" si="160"/>
        <v>214.60235999999998</v>
      </c>
      <c r="N1954" s="17">
        <f t="shared" si="161"/>
        <v>2.4500000000000002</v>
      </c>
      <c r="O1954" s="17">
        <f t="shared" si="162"/>
        <v>4410</v>
      </c>
      <c r="P1954" s="18">
        <f t="shared" si="163"/>
        <v>386284.24799999996</v>
      </c>
    </row>
    <row r="1955" spans="2:18" ht="12.75">
      <c r="B1955" s="10">
        <v>46141</v>
      </c>
      <c r="C1955" s="11">
        <f>VLOOKUP(B:B,'Курс валют'!A:D,4,0)</f>
        <v>87.592799999999997</v>
      </c>
      <c r="D1955" s="57" t="s">
        <v>1064</v>
      </c>
      <c r="E1955" s="50" t="s">
        <v>1065</v>
      </c>
      <c r="F1955" s="58">
        <v>60</v>
      </c>
      <c r="G1955" s="13">
        <v>61.15</v>
      </c>
      <c r="H1955" s="56">
        <v>0</v>
      </c>
      <c r="I1955" s="13">
        <f t="shared" si="166"/>
        <v>1.1499999999999986</v>
      </c>
      <c r="J1955" s="14">
        <f t="shared" si="158"/>
        <v>1.9166666666666645</v>
      </c>
      <c r="K1955" s="56">
        <v>2.4500000000000002</v>
      </c>
      <c r="L1955" s="15">
        <f t="shared" si="159"/>
        <v>0</v>
      </c>
      <c r="M1955" s="16">
        <f t="shared" si="160"/>
        <v>214.60235999999998</v>
      </c>
      <c r="N1955" s="17">
        <f t="shared" si="161"/>
        <v>2.4500000000000002</v>
      </c>
      <c r="O1955" s="17">
        <f t="shared" si="162"/>
        <v>147</v>
      </c>
      <c r="P1955" s="18">
        <f t="shared" si="163"/>
        <v>12876.141599999999</v>
      </c>
    </row>
    <row r="1956" spans="2:18" ht="12.75">
      <c r="B1956" s="10">
        <v>46141</v>
      </c>
      <c r="C1956" s="11">
        <f>VLOOKUP(B:B,'Курс валют'!A:D,4,0)</f>
        <v>87.592799999999997</v>
      </c>
      <c r="D1956" s="57" t="s">
        <v>1066</v>
      </c>
      <c r="E1956" s="50" t="s">
        <v>15</v>
      </c>
      <c r="F1956" s="58">
        <v>1100</v>
      </c>
      <c r="G1956" s="13">
        <v>1105.8</v>
      </c>
      <c r="H1956" s="56">
        <v>484</v>
      </c>
      <c r="I1956" s="13">
        <f t="shared" si="166"/>
        <v>5.7999999999999545</v>
      </c>
      <c r="J1956" s="14">
        <f t="shared" si="158"/>
        <v>0.52727272727272312</v>
      </c>
      <c r="K1956" s="56">
        <v>15.72</v>
      </c>
      <c r="L1956" s="15">
        <f t="shared" si="159"/>
        <v>44</v>
      </c>
      <c r="M1956" s="16">
        <f t="shared" si="160"/>
        <v>205.3175232000001</v>
      </c>
      <c r="N1956" s="17">
        <f t="shared" ref="N1956:N1976" si="167">(F1956*K1956-H1956*30.4)/F1956</f>
        <v>2.3440000000000012</v>
      </c>
      <c r="O1956" s="17">
        <f t="shared" si="162"/>
        <v>2578.4000000000015</v>
      </c>
      <c r="P1956" s="18">
        <f t="shared" si="163"/>
        <v>225849.27552000011</v>
      </c>
    </row>
    <row r="1957" spans="2:18" ht="12.75">
      <c r="B1957" s="10">
        <v>46141</v>
      </c>
      <c r="C1957" s="11">
        <f>VLOOKUP(B:B,'Курс валют'!A:D,4,0)</f>
        <v>87.592799999999997</v>
      </c>
      <c r="D1957" s="57" t="s">
        <v>1067</v>
      </c>
      <c r="E1957" s="50" t="s">
        <v>15</v>
      </c>
      <c r="F1957" s="58">
        <v>1100</v>
      </c>
      <c r="G1957" s="13">
        <v>1105.8</v>
      </c>
      <c r="H1957" s="56">
        <v>484</v>
      </c>
      <c r="I1957" s="13">
        <f t="shared" si="166"/>
        <v>5.7999999999999545</v>
      </c>
      <c r="J1957" s="14">
        <f t="shared" si="158"/>
        <v>0.52727272727272312</v>
      </c>
      <c r="K1957" s="56">
        <v>15.72</v>
      </c>
      <c r="L1957" s="15">
        <f t="shared" si="159"/>
        <v>44</v>
      </c>
      <c r="M1957" s="16">
        <f t="shared" si="160"/>
        <v>205.3175232000001</v>
      </c>
      <c r="N1957" s="17">
        <f t="shared" si="167"/>
        <v>2.3440000000000012</v>
      </c>
      <c r="O1957" s="17">
        <f t="shared" si="162"/>
        <v>2578.4000000000015</v>
      </c>
      <c r="P1957" s="18">
        <f t="shared" si="163"/>
        <v>225849.27552000011</v>
      </c>
    </row>
    <row r="1958" spans="2:18" ht="12.75">
      <c r="B1958" s="10">
        <v>46141</v>
      </c>
      <c r="C1958" s="11">
        <f>VLOOKUP(B:B,'Курс валют'!A:D,4,0)</f>
        <v>87.592799999999997</v>
      </c>
      <c r="D1958" s="57" t="s">
        <v>1068</v>
      </c>
      <c r="E1958" s="50" t="s">
        <v>15</v>
      </c>
      <c r="F1958" s="58">
        <v>1100</v>
      </c>
      <c r="G1958" s="13">
        <v>1105.8</v>
      </c>
      <c r="H1958" s="56">
        <v>484</v>
      </c>
      <c r="I1958" s="13">
        <f t="shared" si="166"/>
        <v>5.7999999999999545</v>
      </c>
      <c r="J1958" s="14">
        <f t="shared" ref="J1958:J2021" si="168">I1958/F1958*100</f>
        <v>0.52727272727272312</v>
      </c>
      <c r="K1958" s="56">
        <v>15.72</v>
      </c>
      <c r="L1958" s="15">
        <f t="shared" ref="L1958:L2021" si="169">H1958/F1958*100</f>
        <v>44</v>
      </c>
      <c r="M1958" s="16">
        <f t="shared" ref="M1958:M2021" si="170">P1958/F1958</f>
        <v>205.3175232000001</v>
      </c>
      <c r="N1958" s="17">
        <f t="shared" si="167"/>
        <v>2.3440000000000012</v>
      </c>
      <c r="O1958" s="17">
        <f t="shared" ref="O1958:O2021" si="171">N1958*F1958</f>
        <v>2578.4000000000015</v>
      </c>
      <c r="P1958" s="18">
        <f t="shared" ref="P1958:P2021" si="172">O1958*C1958</f>
        <v>225849.27552000011</v>
      </c>
    </row>
    <row r="1959" spans="2:18" ht="12.75">
      <c r="B1959" s="10">
        <v>46141</v>
      </c>
      <c r="C1959" s="11">
        <f>VLOOKUP(B:B,'Курс валют'!A:D,4,0)</f>
        <v>87.592799999999997</v>
      </c>
      <c r="D1959" s="57" t="s">
        <v>1069</v>
      </c>
      <c r="E1959" s="50" t="s">
        <v>15</v>
      </c>
      <c r="F1959" s="58">
        <v>1100</v>
      </c>
      <c r="G1959" s="13">
        <v>1105.8</v>
      </c>
      <c r="H1959" s="56">
        <v>484</v>
      </c>
      <c r="I1959" s="13">
        <f t="shared" si="166"/>
        <v>5.7999999999999545</v>
      </c>
      <c r="J1959" s="14">
        <f t="shared" si="168"/>
        <v>0.52727272727272312</v>
      </c>
      <c r="K1959" s="56">
        <v>15.72</v>
      </c>
      <c r="L1959" s="15">
        <f t="shared" si="169"/>
        <v>44</v>
      </c>
      <c r="M1959" s="16">
        <f t="shared" si="170"/>
        <v>205.3175232000001</v>
      </c>
      <c r="N1959" s="17">
        <f t="shared" si="167"/>
        <v>2.3440000000000012</v>
      </c>
      <c r="O1959" s="17">
        <f t="shared" si="171"/>
        <v>2578.4000000000015</v>
      </c>
      <c r="P1959" s="18">
        <f t="shared" si="172"/>
        <v>225849.27552000011</v>
      </c>
    </row>
    <row r="1960" spans="2:18" ht="12.75">
      <c r="B1960" s="10">
        <v>46141</v>
      </c>
      <c r="C1960" s="11">
        <f>VLOOKUP(B:B,'Курс валют'!A:D,4,0)</f>
        <v>87.592799999999997</v>
      </c>
      <c r="D1960" s="57" t="s">
        <v>1070</v>
      </c>
      <c r="E1960" s="50" t="s">
        <v>15</v>
      </c>
      <c r="F1960" s="58">
        <v>1100</v>
      </c>
      <c r="G1960" s="13">
        <v>1105.8</v>
      </c>
      <c r="H1960" s="56">
        <v>484</v>
      </c>
      <c r="I1960" s="13">
        <f t="shared" si="166"/>
        <v>5.7999999999999545</v>
      </c>
      <c r="J1960" s="14">
        <f t="shared" si="168"/>
        <v>0.52727272727272312</v>
      </c>
      <c r="K1960" s="56">
        <v>15.72</v>
      </c>
      <c r="L1960" s="15">
        <f t="shared" si="169"/>
        <v>44</v>
      </c>
      <c r="M1960" s="16">
        <f t="shared" si="170"/>
        <v>205.3175232000001</v>
      </c>
      <c r="N1960" s="17">
        <f t="shared" si="167"/>
        <v>2.3440000000000012</v>
      </c>
      <c r="O1960" s="17">
        <f t="shared" si="171"/>
        <v>2578.4000000000015</v>
      </c>
      <c r="P1960" s="18">
        <f t="shared" si="172"/>
        <v>225849.27552000011</v>
      </c>
    </row>
    <row r="1961" spans="2:18" ht="12.75">
      <c r="B1961" s="10">
        <v>46141</v>
      </c>
      <c r="C1961" s="11">
        <f>VLOOKUP(B:B,'Курс валют'!A:D,4,0)</f>
        <v>87.592799999999997</v>
      </c>
      <c r="D1961" s="57" t="s">
        <v>1071</v>
      </c>
      <c r="E1961" s="50" t="s">
        <v>15</v>
      </c>
      <c r="F1961" s="58">
        <v>1100</v>
      </c>
      <c r="G1961" s="13">
        <v>1105.8</v>
      </c>
      <c r="H1961" s="56">
        <v>484</v>
      </c>
      <c r="I1961" s="13">
        <f t="shared" si="166"/>
        <v>5.7999999999999545</v>
      </c>
      <c r="J1961" s="14">
        <f t="shared" si="168"/>
        <v>0.52727272727272312</v>
      </c>
      <c r="K1961" s="56">
        <v>15.72</v>
      </c>
      <c r="L1961" s="15">
        <f t="shared" si="169"/>
        <v>44</v>
      </c>
      <c r="M1961" s="16">
        <f t="shared" si="170"/>
        <v>205.3175232000001</v>
      </c>
      <c r="N1961" s="17">
        <f t="shared" si="167"/>
        <v>2.3440000000000012</v>
      </c>
      <c r="O1961" s="17">
        <f t="shared" si="171"/>
        <v>2578.4000000000015</v>
      </c>
      <c r="P1961" s="18">
        <f t="shared" si="172"/>
        <v>225849.27552000011</v>
      </c>
    </row>
    <row r="1962" spans="2:18" ht="12.75">
      <c r="B1962" s="10">
        <v>46141</v>
      </c>
      <c r="C1962" s="11">
        <f>VLOOKUP(B:B,'Курс валют'!A:D,4,0)</f>
        <v>87.592799999999997</v>
      </c>
      <c r="D1962" s="57" t="s">
        <v>1072</v>
      </c>
      <c r="E1962" s="50" t="s">
        <v>15</v>
      </c>
      <c r="F1962" s="58">
        <v>1100</v>
      </c>
      <c r="G1962" s="13">
        <v>1105.8</v>
      </c>
      <c r="H1962" s="56">
        <v>484</v>
      </c>
      <c r="I1962" s="13">
        <f t="shared" si="166"/>
        <v>5.7999999999999545</v>
      </c>
      <c r="J1962" s="14">
        <f t="shared" si="168"/>
        <v>0.52727272727272312</v>
      </c>
      <c r="K1962" s="56">
        <v>15.72</v>
      </c>
      <c r="L1962" s="15">
        <f t="shared" si="169"/>
        <v>44</v>
      </c>
      <c r="M1962" s="16">
        <f t="shared" si="170"/>
        <v>205.3175232000001</v>
      </c>
      <c r="N1962" s="17">
        <f t="shared" si="167"/>
        <v>2.3440000000000012</v>
      </c>
      <c r="O1962" s="17">
        <f t="shared" si="171"/>
        <v>2578.4000000000015</v>
      </c>
      <c r="P1962" s="18">
        <f t="shared" si="172"/>
        <v>225849.27552000011</v>
      </c>
    </row>
    <row r="1963" spans="2:18" ht="12.75">
      <c r="B1963" s="10">
        <v>46141</v>
      </c>
      <c r="C1963" s="11">
        <f>VLOOKUP(B:B,'Курс валют'!A:D,4,0)</f>
        <v>87.592799999999997</v>
      </c>
      <c r="D1963" s="57" t="s">
        <v>1073</v>
      </c>
      <c r="E1963" s="50" t="s">
        <v>15</v>
      </c>
      <c r="F1963" s="58">
        <v>1100</v>
      </c>
      <c r="G1963" s="13">
        <v>1105.8</v>
      </c>
      <c r="H1963" s="56">
        <v>484</v>
      </c>
      <c r="I1963" s="13">
        <f t="shared" si="166"/>
        <v>5.7999999999999545</v>
      </c>
      <c r="J1963" s="14">
        <f t="shared" si="168"/>
        <v>0.52727272727272312</v>
      </c>
      <c r="K1963" s="56">
        <v>15.72</v>
      </c>
      <c r="L1963" s="15">
        <f t="shared" si="169"/>
        <v>44</v>
      </c>
      <c r="M1963" s="16">
        <f t="shared" si="170"/>
        <v>205.3175232000001</v>
      </c>
      <c r="N1963" s="17">
        <f t="shared" si="167"/>
        <v>2.3440000000000012</v>
      </c>
      <c r="O1963" s="17">
        <f t="shared" si="171"/>
        <v>2578.4000000000015</v>
      </c>
      <c r="P1963" s="18">
        <f t="shared" si="172"/>
        <v>225849.27552000011</v>
      </c>
    </row>
    <row r="1964" spans="2:18" ht="12.75">
      <c r="B1964" s="10">
        <v>46141</v>
      </c>
      <c r="C1964" s="11">
        <f>VLOOKUP(B:B,'Курс валют'!A:D,4,0)</f>
        <v>87.592799999999997</v>
      </c>
      <c r="D1964" s="57" t="s">
        <v>1074</v>
      </c>
      <c r="E1964" s="50" t="s">
        <v>15</v>
      </c>
      <c r="F1964" s="58">
        <v>1100</v>
      </c>
      <c r="G1964" s="13">
        <v>1105.8</v>
      </c>
      <c r="H1964" s="56">
        <v>484</v>
      </c>
      <c r="I1964" s="13">
        <f t="shared" si="166"/>
        <v>5.7999999999999545</v>
      </c>
      <c r="J1964" s="14">
        <f t="shared" si="168"/>
        <v>0.52727272727272312</v>
      </c>
      <c r="K1964" s="56">
        <v>15.72</v>
      </c>
      <c r="L1964" s="15">
        <f t="shared" si="169"/>
        <v>44</v>
      </c>
      <c r="M1964" s="16">
        <f t="shared" si="170"/>
        <v>205.3175232000001</v>
      </c>
      <c r="N1964" s="17">
        <f t="shared" si="167"/>
        <v>2.3440000000000012</v>
      </c>
      <c r="O1964" s="17">
        <f t="shared" si="171"/>
        <v>2578.4000000000015</v>
      </c>
      <c r="P1964" s="18">
        <f t="shared" si="172"/>
        <v>225849.27552000011</v>
      </c>
    </row>
    <row r="1965" spans="2:18" ht="12.75">
      <c r="B1965" s="10">
        <v>46141</v>
      </c>
      <c r="C1965" s="11">
        <f>VLOOKUP(B:B,'Курс валют'!A:D,4,0)</f>
        <v>87.592799999999997</v>
      </c>
      <c r="D1965" s="57" t="s">
        <v>1075</v>
      </c>
      <c r="E1965" s="50" t="s">
        <v>15</v>
      </c>
      <c r="F1965" s="58">
        <v>1100</v>
      </c>
      <c r="G1965" s="13">
        <v>1105.8</v>
      </c>
      <c r="H1965" s="56">
        <v>484</v>
      </c>
      <c r="I1965" s="13">
        <f t="shared" si="166"/>
        <v>5.7999999999999545</v>
      </c>
      <c r="J1965" s="14">
        <f t="shared" si="168"/>
        <v>0.52727272727272312</v>
      </c>
      <c r="K1965" s="56">
        <v>15.72</v>
      </c>
      <c r="L1965" s="15">
        <f t="shared" si="169"/>
        <v>44</v>
      </c>
      <c r="M1965" s="16">
        <f t="shared" si="170"/>
        <v>205.3175232000001</v>
      </c>
      <c r="N1965" s="17">
        <f t="shared" si="167"/>
        <v>2.3440000000000012</v>
      </c>
      <c r="O1965" s="17">
        <f t="shared" si="171"/>
        <v>2578.4000000000015</v>
      </c>
      <c r="P1965" s="18">
        <f t="shared" si="172"/>
        <v>225849.27552000011</v>
      </c>
    </row>
    <row r="1966" spans="2:18" ht="12.75">
      <c r="B1966" s="10">
        <v>46142</v>
      </c>
      <c r="C1966" s="11">
        <f>VLOOKUP(B:B,'Курс валют'!A:D,4,0)</f>
        <v>87.777100000000004</v>
      </c>
      <c r="D1966" s="57" t="s">
        <v>1076</v>
      </c>
      <c r="E1966" s="50" t="s">
        <v>15</v>
      </c>
      <c r="F1966" s="58">
        <v>1100</v>
      </c>
      <c r="G1966" s="13">
        <v>1106.3</v>
      </c>
      <c r="H1966" s="56">
        <v>484.5</v>
      </c>
      <c r="I1966" s="13">
        <f t="shared" si="166"/>
        <v>6.2999999999999545</v>
      </c>
      <c r="J1966" s="14">
        <f t="shared" si="168"/>
        <v>0.57272727272726864</v>
      </c>
      <c r="K1966" s="56">
        <v>15.73</v>
      </c>
      <c r="L1966" s="15">
        <f t="shared" si="169"/>
        <v>44.045454545454547</v>
      </c>
      <c r="M1966" s="16">
        <f t="shared" si="170"/>
        <v>205.41437347272733</v>
      </c>
      <c r="N1966" s="17">
        <f t="shared" si="167"/>
        <v>2.340181818181819</v>
      </c>
      <c r="O1966" s="17">
        <f t="shared" si="171"/>
        <v>2574.2000000000007</v>
      </c>
      <c r="P1966" s="18">
        <f t="shared" si="172"/>
        <v>225955.81082000007</v>
      </c>
    </row>
    <row r="1967" spans="2:18" ht="12.75">
      <c r="B1967" s="10">
        <v>46142</v>
      </c>
      <c r="C1967" s="11">
        <f>VLOOKUP(B:B,'Курс валют'!A:D,4,0)</f>
        <v>87.777100000000004</v>
      </c>
      <c r="D1967" s="57" t="s">
        <v>1077</v>
      </c>
      <c r="E1967" s="50" t="s">
        <v>15</v>
      </c>
      <c r="F1967" s="58">
        <v>1100</v>
      </c>
      <c r="G1967" s="13">
        <v>1106.3</v>
      </c>
      <c r="H1967" s="56">
        <v>484.5</v>
      </c>
      <c r="I1967" s="13">
        <f t="shared" si="166"/>
        <v>6.2999999999999545</v>
      </c>
      <c r="J1967" s="14">
        <f t="shared" si="168"/>
        <v>0.57272727272726864</v>
      </c>
      <c r="K1967" s="56">
        <v>15.73</v>
      </c>
      <c r="L1967" s="15">
        <f t="shared" si="169"/>
        <v>44.045454545454547</v>
      </c>
      <c r="M1967" s="16">
        <f t="shared" si="170"/>
        <v>205.41437347272733</v>
      </c>
      <c r="N1967" s="17">
        <f t="shared" si="167"/>
        <v>2.340181818181819</v>
      </c>
      <c r="O1967" s="17">
        <f t="shared" si="171"/>
        <v>2574.2000000000007</v>
      </c>
      <c r="P1967" s="18">
        <f t="shared" si="172"/>
        <v>225955.81082000007</v>
      </c>
    </row>
    <row r="1968" spans="2:18" ht="12.75">
      <c r="B1968" s="10">
        <v>46142</v>
      </c>
      <c r="C1968" s="11">
        <f>VLOOKUP(B:B,'Курс валют'!A:D,4,0)</f>
        <v>87.777100000000004</v>
      </c>
      <c r="D1968" s="57" t="s">
        <v>1078</v>
      </c>
      <c r="E1968" s="50" t="s">
        <v>15</v>
      </c>
      <c r="F1968" s="58">
        <v>1100</v>
      </c>
      <c r="G1968" s="13">
        <v>1106.3</v>
      </c>
      <c r="H1968" s="56">
        <v>484.5</v>
      </c>
      <c r="I1968" s="13">
        <f t="shared" si="166"/>
        <v>6.2999999999999545</v>
      </c>
      <c r="J1968" s="14">
        <f t="shared" si="168"/>
        <v>0.57272727272726864</v>
      </c>
      <c r="K1968" s="56">
        <v>15.73</v>
      </c>
      <c r="L1968" s="15">
        <f t="shared" si="169"/>
        <v>44.045454545454547</v>
      </c>
      <c r="M1968" s="16">
        <f t="shared" si="170"/>
        <v>205.41437347272733</v>
      </c>
      <c r="N1968" s="17">
        <f t="shared" si="167"/>
        <v>2.340181818181819</v>
      </c>
      <c r="O1968" s="17">
        <f t="shared" si="171"/>
        <v>2574.2000000000007</v>
      </c>
      <c r="P1968" s="18">
        <f t="shared" si="172"/>
        <v>225955.81082000007</v>
      </c>
    </row>
    <row r="1969" spans="1:27" ht="12.75">
      <c r="B1969" s="10">
        <v>46142</v>
      </c>
      <c r="C1969" s="11">
        <f>VLOOKUP(B:B,'Курс валют'!A:D,4,0)</f>
        <v>87.777100000000004</v>
      </c>
      <c r="D1969" s="57" t="s">
        <v>1079</v>
      </c>
      <c r="E1969" s="50" t="s">
        <v>15</v>
      </c>
      <c r="F1969" s="58">
        <v>1100</v>
      </c>
      <c r="G1969" s="13">
        <v>1106.3</v>
      </c>
      <c r="H1969" s="56">
        <v>484.5</v>
      </c>
      <c r="I1969" s="13">
        <f t="shared" si="166"/>
        <v>6.2999999999999545</v>
      </c>
      <c r="J1969" s="14">
        <f t="shared" si="168"/>
        <v>0.57272727272726864</v>
      </c>
      <c r="K1969" s="56">
        <v>15.73</v>
      </c>
      <c r="L1969" s="15">
        <f t="shared" si="169"/>
        <v>44.045454545454547</v>
      </c>
      <c r="M1969" s="16">
        <f t="shared" si="170"/>
        <v>205.41437347272733</v>
      </c>
      <c r="N1969" s="17">
        <f t="shared" si="167"/>
        <v>2.340181818181819</v>
      </c>
      <c r="O1969" s="17">
        <f t="shared" si="171"/>
        <v>2574.2000000000007</v>
      </c>
      <c r="P1969" s="18">
        <f t="shared" si="172"/>
        <v>225955.81082000007</v>
      </c>
    </row>
    <row r="1970" spans="1:27" ht="12.75">
      <c r="B1970" s="10">
        <v>46142</v>
      </c>
      <c r="C1970" s="11">
        <f>VLOOKUP(B:B,'Курс валют'!A:D,4,0)</f>
        <v>87.777100000000004</v>
      </c>
      <c r="D1970" s="57" t="s">
        <v>1080</v>
      </c>
      <c r="E1970" s="50" t="s">
        <v>15</v>
      </c>
      <c r="F1970" s="58">
        <v>1100</v>
      </c>
      <c r="G1970" s="13">
        <v>1106.3</v>
      </c>
      <c r="H1970" s="56">
        <v>484.5</v>
      </c>
      <c r="I1970" s="13">
        <f t="shared" si="166"/>
        <v>6.2999999999999545</v>
      </c>
      <c r="J1970" s="14">
        <f t="shared" si="168"/>
        <v>0.57272727272726864</v>
      </c>
      <c r="K1970" s="56">
        <v>15.73</v>
      </c>
      <c r="L1970" s="15">
        <f t="shared" si="169"/>
        <v>44.045454545454547</v>
      </c>
      <c r="M1970" s="16">
        <f t="shared" si="170"/>
        <v>205.41437347272733</v>
      </c>
      <c r="N1970" s="17">
        <f t="shared" si="167"/>
        <v>2.340181818181819</v>
      </c>
      <c r="O1970" s="17">
        <f t="shared" si="171"/>
        <v>2574.2000000000007</v>
      </c>
      <c r="P1970" s="18">
        <f t="shared" si="172"/>
        <v>225955.81082000007</v>
      </c>
    </row>
    <row r="1971" spans="1:27" ht="12.75">
      <c r="B1971" s="10">
        <v>46142</v>
      </c>
      <c r="C1971" s="11">
        <f>VLOOKUP(B:B,'Курс валют'!A:D,4,0)</f>
        <v>87.777100000000004</v>
      </c>
      <c r="D1971" s="57" t="s">
        <v>1081</v>
      </c>
      <c r="E1971" s="50" t="s">
        <v>15</v>
      </c>
      <c r="F1971" s="58">
        <v>1100</v>
      </c>
      <c r="G1971" s="13">
        <v>1106.3</v>
      </c>
      <c r="H1971" s="56">
        <v>484.5</v>
      </c>
      <c r="I1971" s="13">
        <f t="shared" si="166"/>
        <v>6.2999999999999545</v>
      </c>
      <c r="J1971" s="14">
        <f t="shared" si="168"/>
        <v>0.57272727272726864</v>
      </c>
      <c r="K1971" s="56">
        <v>15.73</v>
      </c>
      <c r="L1971" s="15">
        <f t="shared" si="169"/>
        <v>44.045454545454547</v>
      </c>
      <c r="M1971" s="16">
        <f t="shared" si="170"/>
        <v>205.41437347272733</v>
      </c>
      <c r="N1971" s="17">
        <f t="shared" si="167"/>
        <v>2.340181818181819</v>
      </c>
      <c r="O1971" s="17">
        <f t="shared" si="171"/>
        <v>2574.2000000000007</v>
      </c>
      <c r="P1971" s="18">
        <f t="shared" si="172"/>
        <v>225955.81082000007</v>
      </c>
    </row>
    <row r="1972" spans="1:27" ht="12.75">
      <c r="B1972" s="10">
        <v>46142</v>
      </c>
      <c r="C1972" s="11">
        <f>VLOOKUP(B:B,'Курс валют'!A:D,4,0)</f>
        <v>87.777100000000004</v>
      </c>
      <c r="D1972" s="57" t="s">
        <v>1082</v>
      </c>
      <c r="E1972" s="50" t="s">
        <v>15</v>
      </c>
      <c r="F1972" s="58">
        <v>1100</v>
      </c>
      <c r="G1972" s="13">
        <v>1106.3</v>
      </c>
      <c r="H1972" s="56">
        <v>484.5</v>
      </c>
      <c r="I1972" s="13">
        <f t="shared" si="166"/>
        <v>6.2999999999999545</v>
      </c>
      <c r="J1972" s="14">
        <f t="shared" si="168"/>
        <v>0.57272727272726864</v>
      </c>
      <c r="K1972" s="56">
        <v>15.73</v>
      </c>
      <c r="L1972" s="15">
        <f t="shared" si="169"/>
        <v>44.045454545454547</v>
      </c>
      <c r="M1972" s="16">
        <f t="shared" si="170"/>
        <v>205.41437347272733</v>
      </c>
      <c r="N1972" s="17">
        <f t="shared" si="167"/>
        <v>2.340181818181819</v>
      </c>
      <c r="O1972" s="17">
        <f t="shared" si="171"/>
        <v>2574.2000000000007</v>
      </c>
      <c r="P1972" s="18">
        <f t="shared" si="172"/>
        <v>225955.81082000007</v>
      </c>
    </row>
    <row r="1973" spans="1:27" ht="12.75">
      <c r="B1973" s="10">
        <v>46142</v>
      </c>
      <c r="C1973" s="11">
        <f>VLOOKUP(B:B,'Курс валют'!A:D,4,0)</f>
        <v>87.777100000000004</v>
      </c>
      <c r="D1973" s="57" t="s">
        <v>1083</v>
      </c>
      <c r="E1973" s="50" t="s">
        <v>15</v>
      </c>
      <c r="F1973" s="58">
        <v>1100</v>
      </c>
      <c r="G1973" s="13">
        <v>1106.3</v>
      </c>
      <c r="H1973" s="56">
        <v>484.5</v>
      </c>
      <c r="I1973" s="13">
        <f t="shared" si="166"/>
        <v>6.2999999999999545</v>
      </c>
      <c r="J1973" s="14">
        <f t="shared" si="168"/>
        <v>0.57272727272726864</v>
      </c>
      <c r="K1973" s="56">
        <v>15.73</v>
      </c>
      <c r="L1973" s="15">
        <f t="shared" si="169"/>
        <v>44.045454545454547</v>
      </c>
      <c r="M1973" s="16">
        <f t="shared" si="170"/>
        <v>205.41437347272733</v>
      </c>
      <c r="N1973" s="17">
        <f t="shared" si="167"/>
        <v>2.340181818181819</v>
      </c>
      <c r="O1973" s="17">
        <f t="shared" si="171"/>
        <v>2574.2000000000007</v>
      </c>
      <c r="P1973" s="18">
        <f t="shared" si="172"/>
        <v>225955.81082000007</v>
      </c>
    </row>
    <row r="1974" spans="1:27" ht="12.75">
      <c r="B1974" s="10">
        <v>46142</v>
      </c>
      <c r="C1974" s="11">
        <f>VLOOKUP(B:B,'Курс валют'!A:D,4,0)</f>
        <v>87.777100000000004</v>
      </c>
      <c r="D1974" s="57" t="s">
        <v>1084</v>
      </c>
      <c r="E1974" s="50" t="s">
        <v>15</v>
      </c>
      <c r="F1974" s="58">
        <v>1100</v>
      </c>
      <c r="G1974" s="13">
        <v>1106.3</v>
      </c>
      <c r="H1974" s="56">
        <v>484.5</v>
      </c>
      <c r="I1974" s="13">
        <f t="shared" si="166"/>
        <v>6.2999999999999545</v>
      </c>
      <c r="J1974" s="14">
        <f t="shared" si="168"/>
        <v>0.57272727272726864</v>
      </c>
      <c r="K1974" s="56">
        <v>15.73</v>
      </c>
      <c r="L1974" s="15">
        <f t="shared" si="169"/>
        <v>44.045454545454547</v>
      </c>
      <c r="M1974" s="16">
        <f t="shared" si="170"/>
        <v>205.41437347272733</v>
      </c>
      <c r="N1974" s="17">
        <f t="shared" si="167"/>
        <v>2.340181818181819</v>
      </c>
      <c r="O1974" s="17">
        <f t="shared" si="171"/>
        <v>2574.2000000000007</v>
      </c>
      <c r="P1974" s="18">
        <f t="shared" si="172"/>
        <v>225955.81082000007</v>
      </c>
    </row>
    <row r="1975" spans="1:27" ht="12.75">
      <c r="B1975" s="10">
        <v>46142</v>
      </c>
      <c r="C1975" s="11">
        <f>VLOOKUP(B:B,'Курс валют'!A:D,4,0)</f>
        <v>87.777100000000004</v>
      </c>
      <c r="D1975" s="57" t="s">
        <v>1085</v>
      </c>
      <c r="E1975" s="50" t="s">
        <v>15</v>
      </c>
      <c r="F1975" s="58">
        <v>1100</v>
      </c>
      <c r="G1975" s="13">
        <v>1106.3</v>
      </c>
      <c r="H1975" s="56">
        <v>484.5</v>
      </c>
      <c r="I1975" s="13">
        <f t="shared" si="166"/>
        <v>6.2999999999999545</v>
      </c>
      <c r="J1975" s="14">
        <f t="shared" si="168"/>
        <v>0.57272727272726864</v>
      </c>
      <c r="K1975" s="56">
        <v>15.73</v>
      </c>
      <c r="L1975" s="15">
        <f t="shared" si="169"/>
        <v>44.045454545454547</v>
      </c>
      <c r="M1975" s="16">
        <f t="shared" si="170"/>
        <v>205.41437347272733</v>
      </c>
      <c r="N1975" s="17">
        <f t="shared" si="167"/>
        <v>2.340181818181819</v>
      </c>
      <c r="O1975" s="17">
        <f t="shared" si="171"/>
        <v>2574.2000000000007</v>
      </c>
      <c r="P1975" s="18">
        <f t="shared" si="172"/>
        <v>225955.81082000007</v>
      </c>
    </row>
    <row r="1976" spans="1:27" ht="12.75">
      <c r="B1976" s="10">
        <v>46142</v>
      </c>
      <c r="C1976" s="11">
        <f>VLOOKUP(B:B,'Курс валют'!A:D,4,0)</f>
        <v>87.777100000000004</v>
      </c>
      <c r="D1976" s="57" t="s">
        <v>1086</v>
      </c>
      <c r="E1976" s="50" t="s">
        <v>15</v>
      </c>
      <c r="F1976" s="58">
        <v>1100</v>
      </c>
      <c r="G1976" s="13">
        <v>1106.3</v>
      </c>
      <c r="H1976" s="56">
        <v>484.5</v>
      </c>
      <c r="I1976" s="13">
        <f t="shared" si="166"/>
        <v>6.2999999999999545</v>
      </c>
      <c r="J1976" s="14">
        <f t="shared" si="168"/>
        <v>0.57272727272726864</v>
      </c>
      <c r="K1976" s="56">
        <v>15.73</v>
      </c>
      <c r="L1976" s="15">
        <f t="shared" si="169"/>
        <v>44.045454545454547</v>
      </c>
      <c r="M1976" s="16">
        <f t="shared" si="170"/>
        <v>205.41437347272733</v>
      </c>
      <c r="N1976" s="17">
        <f t="shared" si="167"/>
        <v>2.340181818181819</v>
      </c>
      <c r="O1976" s="17">
        <f t="shared" si="171"/>
        <v>2574.2000000000007</v>
      </c>
      <c r="P1976" s="18">
        <f t="shared" si="172"/>
        <v>225955.81082000007</v>
      </c>
    </row>
    <row r="1977" spans="1:27" ht="12.75">
      <c r="B1977" s="10">
        <v>46142</v>
      </c>
      <c r="C1977" s="11">
        <f>VLOOKUP(B:B,'Курс валют'!A:D,4,0)</f>
        <v>87.777100000000004</v>
      </c>
      <c r="D1977" s="57" t="s">
        <v>1087</v>
      </c>
      <c r="E1977" s="50" t="s">
        <v>87</v>
      </c>
      <c r="F1977" s="58">
        <v>198</v>
      </c>
      <c r="G1977" s="13">
        <v>200</v>
      </c>
      <c r="H1977" s="56">
        <v>0</v>
      </c>
      <c r="I1977" s="13">
        <f t="shared" si="166"/>
        <v>2</v>
      </c>
      <c r="J1977" s="14">
        <f t="shared" si="168"/>
        <v>1.0101010101010102</v>
      </c>
      <c r="K1977" s="56">
        <v>2.3199999999999998</v>
      </c>
      <c r="L1977" s="15">
        <f t="shared" si="169"/>
        <v>0</v>
      </c>
      <c r="M1977" s="16">
        <f t="shared" si="170"/>
        <v>203.64287199999998</v>
      </c>
      <c r="N1977" s="17">
        <f t="shared" ref="N1977:N1979" si="173">(F1977*K1977-H1977*3.04)/F1977</f>
        <v>2.3199999999999998</v>
      </c>
      <c r="O1977" s="17">
        <f t="shared" si="171"/>
        <v>459.35999999999996</v>
      </c>
      <c r="P1977" s="18">
        <f t="shared" si="172"/>
        <v>40321.288655999997</v>
      </c>
      <c r="R1977" s="33" t="s">
        <v>1088</v>
      </c>
    </row>
    <row r="1978" spans="1:27" ht="12.75">
      <c r="B1978" s="10">
        <v>46142</v>
      </c>
      <c r="C1978" s="11">
        <f>VLOOKUP(B:B,'Курс валют'!A:D,4,0)</f>
        <v>87.777100000000004</v>
      </c>
      <c r="D1978" s="57" t="s">
        <v>1089</v>
      </c>
      <c r="E1978" s="50" t="s">
        <v>204</v>
      </c>
      <c r="F1978" s="58">
        <v>440</v>
      </c>
      <c r="G1978" s="13">
        <v>440</v>
      </c>
      <c r="H1978" s="56">
        <v>0</v>
      </c>
      <c r="I1978" s="13">
        <f t="shared" si="166"/>
        <v>0</v>
      </c>
      <c r="J1978" s="14">
        <f t="shared" si="168"/>
        <v>0</v>
      </c>
      <c r="K1978" s="56">
        <v>2.4900000000000002</v>
      </c>
      <c r="L1978" s="15">
        <f t="shared" si="169"/>
        <v>0</v>
      </c>
      <c r="M1978" s="16">
        <f t="shared" si="170"/>
        <v>218.56497900000005</v>
      </c>
      <c r="N1978" s="17">
        <f t="shared" si="173"/>
        <v>2.4900000000000002</v>
      </c>
      <c r="O1978" s="17">
        <f t="shared" si="171"/>
        <v>1095.6000000000001</v>
      </c>
      <c r="P1978" s="18">
        <f t="shared" si="172"/>
        <v>96168.590760000021</v>
      </c>
      <c r="R1978" s="33" t="s">
        <v>1090</v>
      </c>
    </row>
    <row r="1979" spans="1:27" ht="12.75">
      <c r="B1979" s="10">
        <v>46142</v>
      </c>
      <c r="C1979" s="11">
        <f>VLOOKUP(B:B,'Курс валют'!A:D,4,0)</f>
        <v>87.777100000000004</v>
      </c>
      <c r="D1979" s="57" t="s">
        <v>1091</v>
      </c>
      <c r="E1979" s="50" t="s">
        <v>1092</v>
      </c>
      <c r="F1979" s="58">
        <v>400</v>
      </c>
      <c r="G1979" s="13">
        <v>400</v>
      </c>
      <c r="H1979" s="56">
        <v>0</v>
      </c>
      <c r="I1979" s="13">
        <f t="shared" si="166"/>
        <v>0</v>
      </c>
      <c r="J1979" s="14">
        <f t="shared" si="168"/>
        <v>0</v>
      </c>
      <c r="K1979" s="56">
        <v>3.04</v>
      </c>
      <c r="L1979" s="15">
        <f t="shared" si="169"/>
        <v>0</v>
      </c>
      <c r="M1979" s="16">
        <f t="shared" si="170"/>
        <v>266.84238400000004</v>
      </c>
      <c r="N1979" s="17">
        <f t="shared" si="173"/>
        <v>3.04</v>
      </c>
      <c r="O1979" s="17">
        <f t="shared" si="171"/>
        <v>1216</v>
      </c>
      <c r="P1979" s="18">
        <f t="shared" si="172"/>
        <v>106736.95360000001</v>
      </c>
      <c r="R1979" s="33" t="s">
        <v>1093</v>
      </c>
    </row>
    <row r="1980" spans="1:27" ht="12.75">
      <c r="A1980" s="10"/>
      <c r="B1980" s="10">
        <v>46143</v>
      </c>
      <c r="C1980" s="11">
        <f>VLOOKUP(B:B,'Курс валют'!A:D,4,0)</f>
        <v>88.642899999999997</v>
      </c>
      <c r="D1980" s="45" t="s">
        <v>497</v>
      </c>
      <c r="E1980" s="50" t="s">
        <v>56</v>
      </c>
      <c r="F1980" s="11">
        <v>2000</v>
      </c>
      <c r="G1980" s="15">
        <v>2054.5500000000002</v>
      </c>
      <c r="H1980" s="56">
        <v>0</v>
      </c>
      <c r="I1980" s="13">
        <f t="shared" ref="I1980:I2002" si="174">G1980-F1980</f>
        <v>54.550000000000182</v>
      </c>
      <c r="J1980" s="14">
        <f t="shared" si="168"/>
        <v>2.7275000000000089</v>
      </c>
      <c r="K1980" s="46">
        <v>2.4300000000000002</v>
      </c>
      <c r="L1980" s="15">
        <f t="shared" si="169"/>
        <v>0</v>
      </c>
      <c r="M1980" s="16">
        <f t="shared" si="170"/>
        <v>215.40224700000002</v>
      </c>
      <c r="N1980" s="17">
        <f>(F1980*K1980-H1980*3.04)/F1980</f>
        <v>2.4300000000000002</v>
      </c>
      <c r="O1980" s="17">
        <f t="shared" si="171"/>
        <v>4860</v>
      </c>
      <c r="P1980" s="18">
        <f t="shared" si="172"/>
        <v>430804.49400000001</v>
      </c>
      <c r="R1980" s="66"/>
      <c r="S1980" s="19"/>
      <c r="T1980" s="20"/>
      <c r="U1980" s="20"/>
      <c r="V1980" s="20"/>
      <c r="W1980" s="20"/>
      <c r="X1980" s="20"/>
      <c r="Y1980" s="20"/>
      <c r="Z1980" s="20"/>
      <c r="AA1980" s="20"/>
    </row>
    <row r="1981" spans="1:27" ht="12.75">
      <c r="A1981" s="10"/>
      <c r="B1981" s="10">
        <v>46143</v>
      </c>
      <c r="C1981" s="11">
        <f>VLOOKUP(B:B,'Курс валют'!A:D,4,0)</f>
        <v>88.642899999999997</v>
      </c>
      <c r="D1981" s="57" t="s">
        <v>498</v>
      </c>
      <c r="E1981" s="12" t="s">
        <v>15</v>
      </c>
      <c r="F1981" s="58">
        <v>1100</v>
      </c>
      <c r="G1981" s="13">
        <v>1106.3</v>
      </c>
      <c r="H1981" s="56">
        <v>484.5</v>
      </c>
      <c r="I1981" s="13">
        <f t="shared" si="174"/>
        <v>6.2999999999999545</v>
      </c>
      <c r="J1981" s="14">
        <f t="shared" si="168"/>
        <v>0.57272727272726864</v>
      </c>
      <c r="K1981" s="56">
        <v>15.73</v>
      </c>
      <c r="L1981" s="15">
        <f t="shared" si="169"/>
        <v>44.045454545454547</v>
      </c>
      <c r="M1981" s="16">
        <f t="shared" si="170"/>
        <v>207.44050289090913</v>
      </c>
      <c r="N1981" s="17">
        <f t="shared" ref="N1981:N1990" si="175">(F1981*K1981-H1981*30.4)/F1981</f>
        <v>2.340181818181819</v>
      </c>
      <c r="O1981" s="17">
        <f t="shared" si="171"/>
        <v>2574.2000000000007</v>
      </c>
      <c r="P1981" s="18">
        <f t="shared" si="172"/>
        <v>228184.55318000005</v>
      </c>
      <c r="R1981" s="66"/>
      <c r="S1981" s="19"/>
      <c r="T1981" s="20"/>
      <c r="U1981" s="20"/>
      <c r="V1981" s="20"/>
      <c r="W1981" s="20"/>
      <c r="X1981" s="20"/>
      <c r="Y1981" s="20"/>
      <c r="Z1981" s="20"/>
      <c r="AA1981" s="20"/>
    </row>
    <row r="1982" spans="1:27" ht="12.75">
      <c r="A1982" s="10"/>
      <c r="B1982" s="10">
        <v>46143</v>
      </c>
      <c r="C1982" s="11">
        <f>VLOOKUP(B:B,'Курс валют'!A:D,4,0)</f>
        <v>88.642899999999997</v>
      </c>
      <c r="D1982" s="57" t="s">
        <v>499</v>
      </c>
      <c r="E1982" s="12" t="s">
        <v>15</v>
      </c>
      <c r="F1982" s="58">
        <v>1100</v>
      </c>
      <c r="G1982" s="13">
        <v>1106.3</v>
      </c>
      <c r="H1982" s="56">
        <v>484.5</v>
      </c>
      <c r="I1982" s="13">
        <f t="shared" si="174"/>
        <v>6.2999999999999545</v>
      </c>
      <c r="J1982" s="14">
        <f t="shared" si="168"/>
        <v>0.57272727272726864</v>
      </c>
      <c r="K1982" s="56">
        <v>15.73</v>
      </c>
      <c r="L1982" s="15">
        <f t="shared" si="169"/>
        <v>44.045454545454547</v>
      </c>
      <c r="M1982" s="16">
        <f t="shared" si="170"/>
        <v>207.44050289090913</v>
      </c>
      <c r="N1982" s="17">
        <f t="shared" si="175"/>
        <v>2.340181818181819</v>
      </c>
      <c r="O1982" s="17">
        <f t="shared" si="171"/>
        <v>2574.2000000000007</v>
      </c>
      <c r="P1982" s="18">
        <f t="shared" si="172"/>
        <v>228184.55318000005</v>
      </c>
      <c r="R1982" s="66"/>
      <c r="S1982" s="19"/>
      <c r="T1982" s="20"/>
      <c r="U1982" s="20"/>
      <c r="V1982" s="20"/>
      <c r="W1982" s="20"/>
      <c r="X1982" s="20"/>
      <c r="Y1982" s="20"/>
      <c r="Z1982" s="20"/>
      <c r="AA1982" s="20"/>
    </row>
    <row r="1983" spans="1:27" ht="12.75">
      <c r="A1983" s="10"/>
      <c r="B1983" s="10">
        <v>46143</v>
      </c>
      <c r="C1983" s="11">
        <f>VLOOKUP(B:B,'Курс валют'!A:D,4,0)</f>
        <v>88.642899999999997</v>
      </c>
      <c r="D1983" s="57" t="s">
        <v>500</v>
      </c>
      <c r="E1983" s="12" t="s">
        <v>15</v>
      </c>
      <c r="F1983" s="58">
        <v>1100</v>
      </c>
      <c r="G1983" s="13">
        <v>1106.3</v>
      </c>
      <c r="H1983" s="56">
        <v>484.5</v>
      </c>
      <c r="I1983" s="13">
        <f t="shared" si="174"/>
        <v>6.2999999999999545</v>
      </c>
      <c r="J1983" s="14">
        <f t="shared" si="168"/>
        <v>0.57272727272726864</v>
      </c>
      <c r="K1983" s="56">
        <v>15.73</v>
      </c>
      <c r="L1983" s="15">
        <f t="shared" si="169"/>
        <v>44.045454545454547</v>
      </c>
      <c r="M1983" s="16">
        <f t="shared" si="170"/>
        <v>207.44050289090913</v>
      </c>
      <c r="N1983" s="17">
        <f t="shared" si="175"/>
        <v>2.340181818181819</v>
      </c>
      <c r="O1983" s="17">
        <f t="shared" si="171"/>
        <v>2574.2000000000007</v>
      </c>
      <c r="P1983" s="18">
        <f t="shared" si="172"/>
        <v>228184.55318000005</v>
      </c>
      <c r="R1983" s="66"/>
      <c r="S1983" s="19"/>
      <c r="T1983" s="20"/>
      <c r="U1983" s="20"/>
      <c r="V1983" s="20"/>
      <c r="W1983" s="20"/>
      <c r="X1983" s="20"/>
      <c r="Y1983" s="20"/>
      <c r="Z1983" s="20"/>
      <c r="AA1983" s="20"/>
    </row>
    <row r="1984" spans="1:27" ht="12.75">
      <c r="A1984" s="10"/>
      <c r="B1984" s="10">
        <v>46143</v>
      </c>
      <c r="C1984" s="11">
        <f>VLOOKUP(B:B,'Курс валют'!A:D,4,0)</f>
        <v>88.642899999999997</v>
      </c>
      <c r="D1984" s="57" t="s">
        <v>501</v>
      </c>
      <c r="E1984" s="12" t="s">
        <v>15</v>
      </c>
      <c r="F1984" s="58">
        <v>1100</v>
      </c>
      <c r="G1984" s="13">
        <v>1106.3</v>
      </c>
      <c r="H1984" s="56">
        <v>484.5</v>
      </c>
      <c r="I1984" s="13">
        <f t="shared" si="174"/>
        <v>6.2999999999999545</v>
      </c>
      <c r="J1984" s="14">
        <f t="shared" si="168"/>
        <v>0.57272727272726864</v>
      </c>
      <c r="K1984" s="56">
        <v>15.73</v>
      </c>
      <c r="L1984" s="15">
        <f t="shared" si="169"/>
        <v>44.045454545454547</v>
      </c>
      <c r="M1984" s="16">
        <f t="shared" si="170"/>
        <v>207.44050289090913</v>
      </c>
      <c r="N1984" s="17">
        <f t="shared" si="175"/>
        <v>2.340181818181819</v>
      </c>
      <c r="O1984" s="17">
        <f t="shared" si="171"/>
        <v>2574.2000000000007</v>
      </c>
      <c r="P1984" s="18">
        <f t="shared" si="172"/>
        <v>228184.55318000005</v>
      </c>
      <c r="R1984" s="66"/>
      <c r="S1984" s="19"/>
      <c r="T1984" s="20"/>
      <c r="U1984" s="20"/>
      <c r="V1984" s="20"/>
      <c r="W1984" s="20"/>
      <c r="X1984" s="20"/>
      <c r="Y1984" s="20"/>
      <c r="Z1984" s="20"/>
      <c r="AA1984" s="20"/>
    </row>
    <row r="1985" spans="1:27" ht="12.75">
      <c r="A1985" s="10"/>
      <c r="B1985" s="10">
        <v>46143</v>
      </c>
      <c r="C1985" s="11">
        <f>VLOOKUP(B:B,'Курс валют'!A:D,4,0)</f>
        <v>88.642899999999997</v>
      </c>
      <c r="D1985" s="57" t="s">
        <v>502</v>
      </c>
      <c r="E1985" s="12" t="s">
        <v>15</v>
      </c>
      <c r="F1985" s="58">
        <v>1100</v>
      </c>
      <c r="G1985" s="13">
        <v>1106.3</v>
      </c>
      <c r="H1985" s="56">
        <v>484.5</v>
      </c>
      <c r="I1985" s="13">
        <f t="shared" si="174"/>
        <v>6.2999999999999545</v>
      </c>
      <c r="J1985" s="14">
        <f t="shared" si="168"/>
        <v>0.57272727272726864</v>
      </c>
      <c r="K1985" s="56">
        <v>15.73</v>
      </c>
      <c r="L1985" s="15">
        <f t="shared" si="169"/>
        <v>44.045454545454547</v>
      </c>
      <c r="M1985" s="16">
        <f t="shared" si="170"/>
        <v>207.44050289090913</v>
      </c>
      <c r="N1985" s="17">
        <f t="shared" si="175"/>
        <v>2.340181818181819</v>
      </c>
      <c r="O1985" s="17">
        <f t="shared" si="171"/>
        <v>2574.2000000000007</v>
      </c>
      <c r="P1985" s="18">
        <f t="shared" si="172"/>
        <v>228184.55318000005</v>
      </c>
      <c r="R1985" s="66"/>
      <c r="S1985" s="19"/>
      <c r="T1985" s="20"/>
      <c r="U1985" s="20"/>
      <c r="V1985" s="20"/>
      <c r="W1985" s="20"/>
      <c r="X1985" s="20"/>
      <c r="Y1985" s="20"/>
      <c r="Z1985" s="20"/>
      <c r="AA1985" s="20"/>
    </row>
    <row r="1986" spans="1:27" ht="12.75">
      <c r="A1986" s="10"/>
      <c r="B1986" s="10">
        <v>46143</v>
      </c>
      <c r="C1986" s="11">
        <f>VLOOKUP(B:B,'Курс валют'!A:D,4,0)</f>
        <v>88.642899999999997</v>
      </c>
      <c r="D1986" s="57" t="s">
        <v>503</v>
      </c>
      <c r="E1986" s="12" t="s">
        <v>15</v>
      </c>
      <c r="F1986" s="58">
        <v>1100</v>
      </c>
      <c r="G1986" s="13">
        <v>1106.3</v>
      </c>
      <c r="H1986" s="56">
        <v>484.5</v>
      </c>
      <c r="I1986" s="13">
        <f t="shared" si="174"/>
        <v>6.2999999999999545</v>
      </c>
      <c r="J1986" s="14">
        <f t="shared" si="168"/>
        <v>0.57272727272726864</v>
      </c>
      <c r="K1986" s="56">
        <v>15.73</v>
      </c>
      <c r="L1986" s="15">
        <f t="shared" si="169"/>
        <v>44.045454545454547</v>
      </c>
      <c r="M1986" s="16">
        <f t="shared" si="170"/>
        <v>207.44050289090913</v>
      </c>
      <c r="N1986" s="17">
        <f t="shared" si="175"/>
        <v>2.340181818181819</v>
      </c>
      <c r="O1986" s="17">
        <f t="shared" si="171"/>
        <v>2574.2000000000007</v>
      </c>
      <c r="P1986" s="18">
        <f t="shared" si="172"/>
        <v>228184.55318000005</v>
      </c>
      <c r="R1986" s="66"/>
      <c r="S1986" s="19"/>
      <c r="T1986" s="20"/>
      <c r="U1986" s="20"/>
      <c r="V1986" s="20"/>
      <c r="W1986" s="20"/>
      <c r="X1986" s="20"/>
      <c r="Y1986" s="20"/>
      <c r="Z1986" s="20"/>
      <c r="AA1986" s="20"/>
    </row>
    <row r="1987" spans="1:27" ht="12.75">
      <c r="A1987" s="10"/>
      <c r="B1987" s="10">
        <v>46143</v>
      </c>
      <c r="C1987" s="11">
        <f>VLOOKUP(B:B,'Курс валют'!A:D,4,0)</f>
        <v>88.642899999999997</v>
      </c>
      <c r="D1987" s="57" t="s">
        <v>504</v>
      </c>
      <c r="E1987" s="12" t="s">
        <v>15</v>
      </c>
      <c r="F1987" s="58">
        <v>1100</v>
      </c>
      <c r="G1987" s="13">
        <v>1106.3</v>
      </c>
      <c r="H1987" s="56">
        <v>484.5</v>
      </c>
      <c r="I1987" s="13">
        <f t="shared" si="174"/>
        <v>6.2999999999999545</v>
      </c>
      <c r="J1987" s="14">
        <f t="shared" si="168"/>
        <v>0.57272727272726864</v>
      </c>
      <c r="K1987" s="56">
        <v>15.73</v>
      </c>
      <c r="L1987" s="15">
        <f t="shared" si="169"/>
        <v>44.045454545454547</v>
      </c>
      <c r="M1987" s="16">
        <f t="shared" si="170"/>
        <v>207.44050289090913</v>
      </c>
      <c r="N1987" s="17">
        <f t="shared" si="175"/>
        <v>2.340181818181819</v>
      </c>
      <c r="O1987" s="17">
        <f t="shared" si="171"/>
        <v>2574.2000000000007</v>
      </c>
      <c r="P1987" s="18">
        <f t="shared" si="172"/>
        <v>228184.55318000005</v>
      </c>
      <c r="R1987" s="66"/>
      <c r="S1987" s="19"/>
      <c r="T1987" s="20"/>
      <c r="U1987" s="20"/>
      <c r="V1987" s="20"/>
      <c r="W1987" s="20"/>
      <c r="X1987" s="20"/>
      <c r="Y1987" s="20"/>
      <c r="Z1987" s="20"/>
      <c r="AA1987" s="20"/>
    </row>
    <row r="1988" spans="1:27" ht="12.75">
      <c r="A1988" s="10"/>
      <c r="B1988" s="10">
        <v>46143</v>
      </c>
      <c r="C1988" s="11">
        <f>VLOOKUP(B:B,'Курс валют'!A:D,4,0)</f>
        <v>88.642899999999997</v>
      </c>
      <c r="D1988" s="57" t="s">
        <v>505</v>
      </c>
      <c r="E1988" s="12" t="s">
        <v>15</v>
      </c>
      <c r="F1988" s="58">
        <v>1100</v>
      </c>
      <c r="G1988" s="13">
        <v>1106.3</v>
      </c>
      <c r="H1988" s="56">
        <v>484.5</v>
      </c>
      <c r="I1988" s="13">
        <f t="shared" si="174"/>
        <v>6.2999999999999545</v>
      </c>
      <c r="J1988" s="14">
        <f t="shared" si="168"/>
        <v>0.57272727272726864</v>
      </c>
      <c r="K1988" s="56">
        <v>15.73</v>
      </c>
      <c r="L1988" s="15">
        <f t="shared" si="169"/>
        <v>44.045454545454547</v>
      </c>
      <c r="M1988" s="16">
        <f t="shared" si="170"/>
        <v>207.44050289090913</v>
      </c>
      <c r="N1988" s="17">
        <f t="shared" si="175"/>
        <v>2.340181818181819</v>
      </c>
      <c r="O1988" s="17">
        <f t="shared" si="171"/>
        <v>2574.2000000000007</v>
      </c>
      <c r="P1988" s="18">
        <f t="shared" si="172"/>
        <v>228184.55318000005</v>
      </c>
      <c r="R1988" s="66"/>
      <c r="S1988" s="19"/>
      <c r="T1988" s="20"/>
      <c r="U1988" s="20"/>
      <c r="V1988" s="20"/>
      <c r="W1988" s="20"/>
      <c r="X1988" s="20"/>
      <c r="Y1988" s="20"/>
      <c r="Z1988" s="20"/>
      <c r="AA1988" s="20"/>
    </row>
    <row r="1989" spans="1:27" ht="12.75">
      <c r="A1989" s="10"/>
      <c r="B1989" s="10">
        <v>46143</v>
      </c>
      <c r="C1989" s="11">
        <f>VLOOKUP(B:B,'Курс валют'!A:D,4,0)</f>
        <v>88.642899999999997</v>
      </c>
      <c r="D1989" s="57" t="s">
        <v>506</v>
      </c>
      <c r="E1989" s="12" t="s">
        <v>15</v>
      </c>
      <c r="F1989" s="58">
        <v>1100</v>
      </c>
      <c r="G1989" s="13">
        <v>1106.3</v>
      </c>
      <c r="H1989" s="56">
        <v>484.5</v>
      </c>
      <c r="I1989" s="13">
        <f t="shared" si="174"/>
        <v>6.2999999999999545</v>
      </c>
      <c r="J1989" s="14">
        <f t="shared" si="168"/>
        <v>0.57272727272726864</v>
      </c>
      <c r="K1989" s="56">
        <v>15.73</v>
      </c>
      <c r="L1989" s="15">
        <f t="shared" si="169"/>
        <v>44.045454545454547</v>
      </c>
      <c r="M1989" s="16">
        <f t="shared" si="170"/>
        <v>207.44050289090913</v>
      </c>
      <c r="N1989" s="17">
        <f t="shared" si="175"/>
        <v>2.340181818181819</v>
      </c>
      <c r="O1989" s="17">
        <f t="shared" si="171"/>
        <v>2574.2000000000007</v>
      </c>
      <c r="P1989" s="18">
        <f t="shared" si="172"/>
        <v>228184.55318000005</v>
      </c>
      <c r="R1989" s="66"/>
      <c r="S1989" s="19"/>
      <c r="T1989" s="20"/>
      <c r="U1989" s="20"/>
      <c r="V1989" s="20"/>
      <c r="W1989" s="20"/>
      <c r="X1989" s="20"/>
      <c r="Y1989" s="20"/>
      <c r="Z1989" s="20"/>
      <c r="AA1989" s="20"/>
    </row>
    <row r="1990" spans="1:27" ht="12.75">
      <c r="A1990" s="10"/>
      <c r="B1990" s="10">
        <v>46143</v>
      </c>
      <c r="C1990" s="11">
        <f>VLOOKUP(B:B,'Курс валют'!A:D,4,0)</f>
        <v>88.642899999999997</v>
      </c>
      <c r="D1990" s="57" t="s">
        <v>507</v>
      </c>
      <c r="E1990" s="12" t="s">
        <v>15</v>
      </c>
      <c r="F1990" s="58">
        <v>1100</v>
      </c>
      <c r="G1990" s="13">
        <v>1106.3</v>
      </c>
      <c r="H1990" s="56">
        <v>484.5</v>
      </c>
      <c r="I1990" s="13">
        <f t="shared" si="174"/>
        <v>6.2999999999999545</v>
      </c>
      <c r="J1990" s="14">
        <f t="shared" si="168"/>
        <v>0.57272727272726864</v>
      </c>
      <c r="K1990" s="56">
        <v>15.73</v>
      </c>
      <c r="L1990" s="15">
        <f t="shared" si="169"/>
        <v>44.045454545454547</v>
      </c>
      <c r="M1990" s="16">
        <f t="shared" si="170"/>
        <v>207.44050289090913</v>
      </c>
      <c r="N1990" s="17">
        <f t="shared" si="175"/>
        <v>2.340181818181819</v>
      </c>
      <c r="O1990" s="17">
        <f t="shared" si="171"/>
        <v>2574.2000000000007</v>
      </c>
      <c r="P1990" s="18">
        <f t="shared" si="172"/>
        <v>228184.55318000005</v>
      </c>
      <c r="R1990" s="66"/>
      <c r="S1990" s="19"/>
      <c r="T1990" s="20"/>
      <c r="U1990" s="20"/>
      <c r="V1990" s="20"/>
      <c r="W1990" s="20"/>
      <c r="X1990" s="20"/>
      <c r="Y1990" s="20"/>
      <c r="Z1990" s="20"/>
      <c r="AA1990" s="20"/>
    </row>
    <row r="1991" spans="1:27" ht="12.75">
      <c r="A1991" s="10"/>
      <c r="B1991" s="10">
        <v>46144</v>
      </c>
      <c r="C1991" s="11">
        <f>VLOOKUP(B:B,'Курс валют'!A:D,4,0)</f>
        <v>88.642899999999997</v>
      </c>
      <c r="D1991" s="57" t="s">
        <v>508</v>
      </c>
      <c r="E1991" s="12" t="s">
        <v>56</v>
      </c>
      <c r="F1991" s="58">
        <v>2000</v>
      </c>
      <c r="G1991" s="13">
        <v>2054.5500000000002</v>
      </c>
      <c r="H1991" s="22">
        <v>0</v>
      </c>
      <c r="I1991" s="13">
        <f t="shared" si="174"/>
        <v>54.550000000000182</v>
      </c>
      <c r="J1991" s="14">
        <f t="shared" si="168"/>
        <v>2.7275000000000089</v>
      </c>
      <c r="K1991" s="56">
        <v>2.4300000000000002</v>
      </c>
      <c r="L1991" s="15">
        <f t="shared" si="169"/>
        <v>0</v>
      </c>
      <c r="M1991" s="16">
        <f t="shared" si="170"/>
        <v>215.40224700000002</v>
      </c>
      <c r="N1991" s="23">
        <f>(F1991*K1991-H1991*3.04)/F1991</f>
        <v>2.4300000000000002</v>
      </c>
      <c r="O1991" s="17">
        <f t="shared" si="171"/>
        <v>4860</v>
      </c>
      <c r="P1991" s="18">
        <f t="shared" si="172"/>
        <v>430804.49400000001</v>
      </c>
      <c r="R1991" s="66"/>
      <c r="S1991" s="19"/>
      <c r="T1991" s="20"/>
      <c r="U1991" s="20"/>
      <c r="V1991" s="20"/>
      <c r="W1991" s="20"/>
      <c r="X1991" s="20"/>
      <c r="Y1991" s="20"/>
      <c r="Z1991" s="20"/>
      <c r="AA1991" s="20"/>
    </row>
    <row r="1992" spans="1:27" ht="12.75">
      <c r="A1992" s="10"/>
      <c r="B1992" s="10">
        <v>46144</v>
      </c>
      <c r="C1992" s="11">
        <f>VLOOKUP(B:B,'Курс валют'!A:D,4,0)</f>
        <v>88.642899999999997</v>
      </c>
      <c r="D1992" s="57" t="s">
        <v>509</v>
      </c>
      <c r="E1992" s="12" t="s">
        <v>15</v>
      </c>
      <c r="F1992" s="58">
        <v>1100</v>
      </c>
      <c r="G1992" s="13">
        <v>1106.3</v>
      </c>
      <c r="H1992" s="56">
        <v>484.5</v>
      </c>
      <c r="I1992" s="13">
        <f t="shared" si="174"/>
        <v>6.2999999999999545</v>
      </c>
      <c r="J1992" s="14">
        <f t="shared" si="168"/>
        <v>0.57272727272726864</v>
      </c>
      <c r="K1992" s="56">
        <v>15.73</v>
      </c>
      <c r="L1992" s="15">
        <f t="shared" si="169"/>
        <v>44.045454545454547</v>
      </c>
      <c r="M1992" s="16">
        <f t="shared" si="170"/>
        <v>207.44050289090913</v>
      </c>
      <c r="N1992" s="17">
        <f t="shared" ref="N1992:N2001" si="176">(F1992*K1992-H1992*30.4)/F1992</f>
        <v>2.340181818181819</v>
      </c>
      <c r="O1992" s="17">
        <f t="shared" si="171"/>
        <v>2574.2000000000007</v>
      </c>
      <c r="P1992" s="18">
        <f t="shared" si="172"/>
        <v>228184.55318000005</v>
      </c>
      <c r="R1992" s="66"/>
      <c r="S1992" s="19"/>
      <c r="T1992" s="20"/>
      <c r="U1992" s="20"/>
      <c r="V1992" s="20"/>
      <c r="W1992" s="20"/>
      <c r="X1992" s="20"/>
      <c r="Y1992" s="20"/>
      <c r="Z1992" s="20"/>
      <c r="AA1992" s="20"/>
    </row>
    <row r="1993" spans="1:27" ht="12.75">
      <c r="A1993" s="10"/>
      <c r="B1993" s="10">
        <v>46144</v>
      </c>
      <c r="C1993" s="11">
        <f>VLOOKUP(B:B,'Курс валют'!A:D,4,0)</f>
        <v>88.642899999999997</v>
      </c>
      <c r="D1993" s="57" t="s">
        <v>510</v>
      </c>
      <c r="E1993" s="12" t="s">
        <v>15</v>
      </c>
      <c r="F1993" s="58">
        <v>1100</v>
      </c>
      <c r="G1993" s="13">
        <v>1106.3</v>
      </c>
      <c r="H1993" s="56">
        <v>484.5</v>
      </c>
      <c r="I1993" s="13">
        <f t="shared" si="174"/>
        <v>6.2999999999999545</v>
      </c>
      <c r="J1993" s="14">
        <f t="shared" si="168"/>
        <v>0.57272727272726864</v>
      </c>
      <c r="K1993" s="56">
        <v>15.73</v>
      </c>
      <c r="L1993" s="15">
        <f t="shared" si="169"/>
        <v>44.045454545454547</v>
      </c>
      <c r="M1993" s="16">
        <f t="shared" si="170"/>
        <v>207.44050289090913</v>
      </c>
      <c r="N1993" s="17">
        <f t="shared" si="176"/>
        <v>2.340181818181819</v>
      </c>
      <c r="O1993" s="17">
        <f t="shared" si="171"/>
        <v>2574.2000000000007</v>
      </c>
      <c r="P1993" s="18">
        <f t="shared" si="172"/>
        <v>228184.55318000005</v>
      </c>
      <c r="R1993" s="66"/>
      <c r="S1993" s="19"/>
      <c r="T1993" s="20"/>
      <c r="U1993" s="20"/>
      <c r="V1993" s="20"/>
      <c r="W1993" s="20"/>
      <c r="X1993" s="20"/>
      <c r="Y1993" s="20"/>
      <c r="Z1993" s="20"/>
      <c r="AA1993" s="20"/>
    </row>
    <row r="1994" spans="1:27" ht="12.75">
      <c r="A1994" s="10"/>
      <c r="B1994" s="10">
        <v>46144</v>
      </c>
      <c r="C1994" s="11">
        <f>VLOOKUP(B:B,'Курс валют'!A:D,4,0)</f>
        <v>88.642899999999997</v>
      </c>
      <c r="D1994" s="57" t="s">
        <v>511</v>
      </c>
      <c r="E1994" s="12" t="s">
        <v>15</v>
      </c>
      <c r="F1994" s="58">
        <v>1100</v>
      </c>
      <c r="G1994" s="13">
        <v>1106.3</v>
      </c>
      <c r="H1994" s="56">
        <v>484.5</v>
      </c>
      <c r="I1994" s="13">
        <f t="shared" si="174"/>
        <v>6.2999999999999545</v>
      </c>
      <c r="J1994" s="14">
        <f t="shared" si="168"/>
        <v>0.57272727272726864</v>
      </c>
      <c r="K1994" s="56">
        <v>15.73</v>
      </c>
      <c r="L1994" s="15">
        <f t="shared" si="169"/>
        <v>44.045454545454547</v>
      </c>
      <c r="M1994" s="16">
        <f t="shared" si="170"/>
        <v>207.44050289090913</v>
      </c>
      <c r="N1994" s="17">
        <f t="shared" si="176"/>
        <v>2.340181818181819</v>
      </c>
      <c r="O1994" s="17">
        <f t="shared" si="171"/>
        <v>2574.2000000000007</v>
      </c>
      <c r="P1994" s="18">
        <f t="shared" si="172"/>
        <v>228184.55318000005</v>
      </c>
      <c r="R1994" s="66"/>
      <c r="S1994" s="19"/>
      <c r="T1994" s="20"/>
      <c r="U1994" s="20"/>
      <c r="V1994" s="20"/>
      <c r="W1994" s="20"/>
      <c r="X1994" s="20"/>
      <c r="Y1994" s="20"/>
      <c r="Z1994" s="20"/>
      <c r="AA1994" s="20"/>
    </row>
    <row r="1995" spans="1:27" ht="12.75">
      <c r="A1995" s="10"/>
      <c r="B1995" s="10">
        <v>46144</v>
      </c>
      <c r="C1995" s="11">
        <f>VLOOKUP(B:B,'Курс валют'!A:D,4,0)</f>
        <v>88.642899999999997</v>
      </c>
      <c r="D1995" s="57" t="s">
        <v>512</v>
      </c>
      <c r="E1995" s="12" t="s">
        <v>15</v>
      </c>
      <c r="F1995" s="58">
        <v>1100</v>
      </c>
      <c r="G1995" s="13">
        <v>1106.3</v>
      </c>
      <c r="H1995" s="56">
        <v>484.5</v>
      </c>
      <c r="I1995" s="13">
        <f t="shared" si="174"/>
        <v>6.2999999999999545</v>
      </c>
      <c r="J1995" s="14">
        <f t="shared" si="168"/>
        <v>0.57272727272726864</v>
      </c>
      <c r="K1995" s="56">
        <v>15.73</v>
      </c>
      <c r="L1995" s="15">
        <f t="shared" si="169"/>
        <v>44.045454545454547</v>
      </c>
      <c r="M1995" s="16">
        <f t="shared" si="170"/>
        <v>207.44050289090913</v>
      </c>
      <c r="N1995" s="17">
        <f t="shared" si="176"/>
        <v>2.340181818181819</v>
      </c>
      <c r="O1995" s="17">
        <f t="shared" si="171"/>
        <v>2574.2000000000007</v>
      </c>
      <c r="P1995" s="18">
        <f t="shared" si="172"/>
        <v>228184.55318000005</v>
      </c>
      <c r="R1995" s="66"/>
      <c r="S1995" s="19"/>
      <c r="T1995" s="20"/>
      <c r="U1995" s="20"/>
      <c r="V1995" s="20"/>
      <c r="W1995" s="20"/>
      <c r="X1995" s="20"/>
      <c r="Y1995" s="20"/>
      <c r="Z1995" s="20"/>
      <c r="AA1995" s="20"/>
    </row>
    <row r="1996" spans="1:27" ht="12.75">
      <c r="A1996" s="54"/>
      <c r="B1996" s="10">
        <v>46144</v>
      </c>
      <c r="C1996" s="11">
        <f>VLOOKUP(B:B,'Курс валют'!A:D,4,0)</f>
        <v>88.642899999999997</v>
      </c>
      <c r="D1996" s="57" t="s">
        <v>513</v>
      </c>
      <c r="E1996" s="12" t="s">
        <v>15</v>
      </c>
      <c r="F1996" s="58">
        <v>1100</v>
      </c>
      <c r="G1996" s="13">
        <v>1106.3</v>
      </c>
      <c r="H1996" s="56">
        <v>484.5</v>
      </c>
      <c r="I1996" s="13">
        <f t="shared" si="174"/>
        <v>6.2999999999999545</v>
      </c>
      <c r="J1996" s="14">
        <f t="shared" si="168"/>
        <v>0.57272727272726864</v>
      </c>
      <c r="K1996" s="56">
        <v>15.73</v>
      </c>
      <c r="L1996" s="15">
        <f t="shared" si="169"/>
        <v>44.045454545454547</v>
      </c>
      <c r="M1996" s="16">
        <f t="shared" si="170"/>
        <v>207.44050289090913</v>
      </c>
      <c r="N1996" s="17">
        <f t="shared" si="176"/>
        <v>2.340181818181819</v>
      </c>
      <c r="O1996" s="17">
        <f t="shared" si="171"/>
        <v>2574.2000000000007</v>
      </c>
      <c r="P1996" s="18">
        <f t="shared" si="172"/>
        <v>228184.55318000005</v>
      </c>
      <c r="R1996" s="65"/>
      <c r="S1996" s="19"/>
      <c r="T1996" s="24"/>
      <c r="U1996" s="24"/>
      <c r="V1996" s="24"/>
      <c r="W1996" s="24"/>
      <c r="X1996" s="24"/>
      <c r="Y1996" s="24"/>
      <c r="Z1996" s="24"/>
      <c r="AA1996" s="24"/>
    </row>
    <row r="1997" spans="1:27" ht="12.75">
      <c r="A1997" s="54"/>
      <c r="B1997" s="10">
        <v>46144</v>
      </c>
      <c r="C1997" s="11">
        <f>VLOOKUP(B:B,'Курс валют'!A:D,4,0)</f>
        <v>88.642899999999997</v>
      </c>
      <c r="D1997" s="57" t="s">
        <v>514</v>
      </c>
      <c r="E1997" s="12" t="s">
        <v>15</v>
      </c>
      <c r="F1997" s="58">
        <v>1100</v>
      </c>
      <c r="G1997" s="13">
        <v>1106.3</v>
      </c>
      <c r="H1997" s="56">
        <v>484.5</v>
      </c>
      <c r="I1997" s="13">
        <f t="shared" si="174"/>
        <v>6.2999999999999545</v>
      </c>
      <c r="J1997" s="14">
        <f t="shared" si="168"/>
        <v>0.57272727272726864</v>
      </c>
      <c r="K1997" s="56">
        <v>15.73</v>
      </c>
      <c r="L1997" s="15">
        <f t="shared" si="169"/>
        <v>44.045454545454547</v>
      </c>
      <c r="M1997" s="16">
        <f t="shared" si="170"/>
        <v>207.44050289090913</v>
      </c>
      <c r="N1997" s="17">
        <f t="shared" si="176"/>
        <v>2.340181818181819</v>
      </c>
      <c r="O1997" s="17">
        <f t="shared" si="171"/>
        <v>2574.2000000000007</v>
      </c>
      <c r="P1997" s="18">
        <f t="shared" si="172"/>
        <v>228184.55318000005</v>
      </c>
      <c r="R1997" s="65"/>
      <c r="S1997" s="19"/>
      <c r="T1997" s="20"/>
      <c r="U1997" s="20"/>
      <c r="V1997" s="20"/>
      <c r="W1997" s="20"/>
      <c r="X1997" s="20"/>
      <c r="Y1997" s="20"/>
      <c r="Z1997" s="20"/>
      <c r="AA1997" s="20"/>
    </row>
    <row r="1998" spans="1:27" ht="12.75">
      <c r="A1998" s="54"/>
      <c r="B1998" s="10">
        <v>46144</v>
      </c>
      <c r="C1998" s="11">
        <f>VLOOKUP(B:B,'Курс валют'!A:D,4,0)</f>
        <v>88.642899999999997</v>
      </c>
      <c r="D1998" s="57" t="s">
        <v>515</v>
      </c>
      <c r="E1998" s="12" t="s">
        <v>15</v>
      </c>
      <c r="F1998" s="58">
        <v>1100</v>
      </c>
      <c r="G1998" s="13">
        <v>1106.3</v>
      </c>
      <c r="H1998" s="56">
        <v>484.5</v>
      </c>
      <c r="I1998" s="13">
        <f t="shared" si="174"/>
        <v>6.2999999999999545</v>
      </c>
      <c r="J1998" s="14">
        <f t="shared" si="168"/>
        <v>0.57272727272726864</v>
      </c>
      <c r="K1998" s="56">
        <v>15.73</v>
      </c>
      <c r="L1998" s="15">
        <f t="shared" si="169"/>
        <v>44.045454545454547</v>
      </c>
      <c r="M1998" s="16">
        <f t="shared" si="170"/>
        <v>207.44050289090913</v>
      </c>
      <c r="N1998" s="17">
        <f t="shared" si="176"/>
        <v>2.340181818181819</v>
      </c>
      <c r="O1998" s="17">
        <f t="shared" si="171"/>
        <v>2574.2000000000007</v>
      </c>
      <c r="P1998" s="18">
        <f t="shared" si="172"/>
        <v>228184.55318000005</v>
      </c>
      <c r="R1998" s="65"/>
      <c r="S1998" s="19"/>
      <c r="T1998" s="20"/>
      <c r="U1998" s="20"/>
      <c r="V1998" s="20"/>
      <c r="W1998" s="20"/>
      <c r="X1998" s="20"/>
      <c r="Y1998" s="20"/>
      <c r="Z1998" s="20"/>
      <c r="AA1998" s="20"/>
    </row>
    <row r="1999" spans="1:27" ht="12.75">
      <c r="A1999" s="54"/>
      <c r="B1999" s="10">
        <v>46144</v>
      </c>
      <c r="C1999" s="11">
        <f>VLOOKUP(B:B,'Курс валют'!A:D,4,0)</f>
        <v>88.642899999999997</v>
      </c>
      <c r="D1999" s="57" t="s">
        <v>516</v>
      </c>
      <c r="E1999" s="12" t="s">
        <v>15</v>
      </c>
      <c r="F1999" s="58">
        <v>1100</v>
      </c>
      <c r="G1999" s="13">
        <v>1106.3</v>
      </c>
      <c r="H1999" s="56">
        <v>484.5</v>
      </c>
      <c r="I1999" s="13">
        <f t="shared" si="174"/>
        <v>6.2999999999999545</v>
      </c>
      <c r="J1999" s="14">
        <f t="shared" si="168"/>
        <v>0.57272727272726864</v>
      </c>
      <c r="K1999" s="56">
        <v>15.73</v>
      </c>
      <c r="L1999" s="15">
        <f t="shared" si="169"/>
        <v>44.045454545454547</v>
      </c>
      <c r="M1999" s="16">
        <f t="shared" si="170"/>
        <v>207.44050289090913</v>
      </c>
      <c r="N1999" s="17">
        <f t="shared" si="176"/>
        <v>2.340181818181819</v>
      </c>
      <c r="O1999" s="17">
        <f t="shared" si="171"/>
        <v>2574.2000000000007</v>
      </c>
      <c r="P1999" s="18">
        <f t="shared" si="172"/>
        <v>228184.55318000005</v>
      </c>
      <c r="R1999" s="66"/>
      <c r="S1999" s="19"/>
      <c r="T1999" s="24"/>
      <c r="U1999" s="24"/>
      <c r="V1999" s="24"/>
      <c r="W1999" s="24"/>
      <c r="X1999" s="24"/>
      <c r="Y1999" s="24"/>
      <c r="Z1999" s="24"/>
      <c r="AA1999" s="24"/>
    </row>
    <row r="2000" spans="1:27" ht="12.75">
      <c r="A2000" s="54"/>
      <c r="B2000" s="10">
        <v>46144</v>
      </c>
      <c r="C2000" s="11">
        <f>VLOOKUP(B:B,'Курс валют'!A:D,4,0)</f>
        <v>88.642899999999997</v>
      </c>
      <c r="D2000" s="57" t="s">
        <v>517</v>
      </c>
      <c r="E2000" s="12" t="s">
        <v>15</v>
      </c>
      <c r="F2000" s="58">
        <v>1100</v>
      </c>
      <c r="G2000" s="13">
        <v>1106.3</v>
      </c>
      <c r="H2000" s="56">
        <v>484.5</v>
      </c>
      <c r="I2000" s="13">
        <f t="shared" si="174"/>
        <v>6.2999999999999545</v>
      </c>
      <c r="J2000" s="14">
        <f t="shared" si="168"/>
        <v>0.57272727272726864</v>
      </c>
      <c r="K2000" s="56">
        <v>15.73</v>
      </c>
      <c r="L2000" s="15">
        <f t="shared" si="169"/>
        <v>44.045454545454547</v>
      </c>
      <c r="M2000" s="16">
        <f t="shared" si="170"/>
        <v>207.44050289090913</v>
      </c>
      <c r="N2000" s="17">
        <f t="shared" si="176"/>
        <v>2.340181818181819</v>
      </c>
      <c r="O2000" s="17">
        <f t="shared" si="171"/>
        <v>2574.2000000000007</v>
      </c>
      <c r="P2000" s="18">
        <f t="shared" si="172"/>
        <v>228184.55318000005</v>
      </c>
      <c r="R2000" s="65"/>
      <c r="S2000" s="19"/>
      <c r="T2000" s="24"/>
      <c r="U2000" s="24"/>
      <c r="V2000" s="24"/>
      <c r="W2000" s="24"/>
      <c r="X2000" s="24"/>
      <c r="Y2000" s="24"/>
      <c r="Z2000" s="24"/>
      <c r="AA2000" s="24"/>
    </row>
    <row r="2001" spans="1:27" ht="12.75">
      <c r="A2001" s="54"/>
      <c r="B2001" s="10">
        <v>46144</v>
      </c>
      <c r="C2001" s="11">
        <f>VLOOKUP(B:B,'Курс валют'!A:D,4,0)</f>
        <v>88.642899999999997</v>
      </c>
      <c r="D2001" s="57" t="s">
        <v>518</v>
      </c>
      <c r="E2001" s="12" t="s">
        <v>15</v>
      </c>
      <c r="F2001" s="58">
        <v>1100</v>
      </c>
      <c r="G2001" s="13">
        <v>1106.3</v>
      </c>
      <c r="H2001" s="56">
        <v>484.5</v>
      </c>
      <c r="I2001" s="13">
        <f t="shared" si="174"/>
        <v>6.2999999999999545</v>
      </c>
      <c r="J2001" s="14">
        <f t="shared" si="168"/>
        <v>0.57272727272726864</v>
      </c>
      <c r="K2001" s="56">
        <v>15.73</v>
      </c>
      <c r="L2001" s="15">
        <f t="shared" si="169"/>
        <v>44.045454545454547</v>
      </c>
      <c r="M2001" s="16">
        <f t="shared" si="170"/>
        <v>207.44050289090913</v>
      </c>
      <c r="N2001" s="17">
        <f t="shared" si="176"/>
        <v>2.340181818181819</v>
      </c>
      <c r="O2001" s="17">
        <f t="shared" si="171"/>
        <v>2574.2000000000007</v>
      </c>
      <c r="P2001" s="18">
        <f t="shared" si="172"/>
        <v>228184.55318000005</v>
      </c>
      <c r="R2001" s="66"/>
      <c r="S2001" s="19"/>
      <c r="T2001" s="24"/>
      <c r="U2001" s="24"/>
      <c r="V2001" s="24"/>
      <c r="W2001" s="24"/>
      <c r="X2001" s="24"/>
      <c r="Y2001" s="24"/>
      <c r="Z2001" s="24"/>
      <c r="AA2001" s="24"/>
    </row>
    <row r="2002" spans="1:27" ht="12.75">
      <c r="A2002" s="54"/>
      <c r="B2002" s="10">
        <v>46145</v>
      </c>
      <c r="C2002" s="11">
        <f>VLOOKUP(B:B,'Курс валют'!A:D,4,0)</f>
        <v>88.642899999999997</v>
      </c>
      <c r="D2002" s="57" t="s">
        <v>519</v>
      </c>
      <c r="E2002" s="12" t="s">
        <v>56</v>
      </c>
      <c r="F2002" s="58">
        <v>2000</v>
      </c>
      <c r="G2002" s="13">
        <v>2054.5500000000002</v>
      </c>
      <c r="H2002" s="22">
        <v>0</v>
      </c>
      <c r="I2002" s="13">
        <f t="shared" si="174"/>
        <v>54.550000000000182</v>
      </c>
      <c r="J2002" s="14">
        <f t="shared" si="168"/>
        <v>2.7275000000000089</v>
      </c>
      <c r="K2002" s="56">
        <v>2.4300000000000002</v>
      </c>
      <c r="L2002" s="15">
        <f t="shared" si="169"/>
        <v>0</v>
      </c>
      <c r="M2002" s="16">
        <f t="shared" si="170"/>
        <v>215.40224700000002</v>
      </c>
      <c r="N2002" s="17">
        <f t="shared" ref="N2002:N2014" si="177">(F2002*K2002-H2002*3.04)/F2002</f>
        <v>2.4300000000000002</v>
      </c>
      <c r="O2002" s="17">
        <f t="shared" si="171"/>
        <v>4860</v>
      </c>
      <c r="P2002" s="18">
        <f t="shared" si="172"/>
        <v>430804.49400000001</v>
      </c>
      <c r="R2002" s="66"/>
      <c r="S2002" s="19"/>
      <c r="T2002" s="20"/>
      <c r="U2002" s="20"/>
      <c r="V2002" s="20"/>
      <c r="W2002" s="20"/>
      <c r="X2002" s="20"/>
      <c r="Y2002" s="20"/>
      <c r="Z2002" s="20"/>
      <c r="AA2002" s="20"/>
    </row>
    <row r="2003" spans="1:27" ht="12.75">
      <c r="A2003" s="54"/>
      <c r="B2003" s="10">
        <v>46145</v>
      </c>
      <c r="C2003" s="11">
        <f>VLOOKUP(B:B,'Курс валют'!A:D,4,0)</f>
        <v>88.642899999999997</v>
      </c>
      <c r="D2003" s="57" t="s">
        <v>520</v>
      </c>
      <c r="E2003" s="12" t="s">
        <v>122</v>
      </c>
      <c r="F2003" s="58">
        <v>6</v>
      </c>
      <c r="G2003" s="13">
        <v>7.2830000000000004</v>
      </c>
      <c r="H2003" s="22">
        <v>0</v>
      </c>
      <c r="I2003" s="58">
        <v>2.5</v>
      </c>
      <c r="J2003" s="14">
        <f t="shared" si="168"/>
        <v>41.666666666666671</v>
      </c>
      <c r="K2003" s="56">
        <v>3.61</v>
      </c>
      <c r="L2003" s="15">
        <f t="shared" si="169"/>
        <v>0</v>
      </c>
      <c r="M2003" s="16">
        <f t="shared" si="170"/>
        <v>320.00086900000002</v>
      </c>
      <c r="N2003" s="17">
        <f t="shared" si="177"/>
        <v>3.61</v>
      </c>
      <c r="O2003" s="17">
        <f t="shared" si="171"/>
        <v>21.66</v>
      </c>
      <c r="P2003" s="18">
        <f t="shared" si="172"/>
        <v>1920.005214</v>
      </c>
      <c r="R2003" s="66"/>
      <c r="S2003" s="19"/>
      <c r="T2003" s="20"/>
      <c r="U2003" s="20"/>
      <c r="V2003" s="20"/>
      <c r="W2003" s="20"/>
      <c r="X2003" s="20"/>
      <c r="Y2003" s="20"/>
      <c r="Z2003" s="20"/>
      <c r="AA2003" s="20"/>
    </row>
    <row r="2004" spans="1:27" ht="12.75">
      <c r="A2004" s="54"/>
      <c r="B2004" s="10">
        <v>46145</v>
      </c>
      <c r="C2004" s="11">
        <f>VLOOKUP(B:B,'Курс валют'!A:D,4,0)</f>
        <v>88.642899999999997</v>
      </c>
      <c r="D2004" s="57" t="s">
        <v>521</v>
      </c>
      <c r="E2004" s="21" t="s">
        <v>103</v>
      </c>
      <c r="F2004" s="58">
        <v>800</v>
      </c>
      <c r="G2004" s="13">
        <v>805</v>
      </c>
      <c r="H2004" s="56">
        <v>0</v>
      </c>
      <c r="I2004" s="13">
        <f t="shared" ref="I2004:I2268" si="178">G2004-F2004</f>
        <v>5</v>
      </c>
      <c r="J2004" s="14">
        <f t="shared" si="168"/>
        <v>0.625</v>
      </c>
      <c r="K2004" s="56">
        <v>1.84</v>
      </c>
      <c r="L2004" s="15">
        <f t="shared" si="169"/>
        <v>0</v>
      </c>
      <c r="M2004" s="16">
        <f t="shared" si="170"/>
        <v>163.102936</v>
      </c>
      <c r="N2004" s="17">
        <f t="shared" si="177"/>
        <v>1.84</v>
      </c>
      <c r="O2004" s="17">
        <f t="shared" si="171"/>
        <v>1472</v>
      </c>
      <c r="P2004" s="18">
        <f t="shared" si="172"/>
        <v>130482.34879999999</v>
      </c>
      <c r="R2004" s="66"/>
      <c r="S2004" s="19"/>
      <c r="T2004" s="20"/>
      <c r="U2004" s="20"/>
      <c r="V2004" s="20"/>
      <c r="W2004" s="20"/>
      <c r="X2004" s="20"/>
      <c r="Y2004" s="20"/>
      <c r="Z2004" s="20"/>
      <c r="AA2004" s="20"/>
    </row>
    <row r="2005" spans="1:27" ht="12.75">
      <c r="A2005" s="54"/>
      <c r="B2005" s="10">
        <v>46145</v>
      </c>
      <c r="C2005" s="11">
        <f>VLOOKUP(B:B,'Курс валют'!A:D,4,0)</f>
        <v>88.642899999999997</v>
      </c>
      <c r="D2005" s="57" t="s">
        <v>522</v>
      </c>
      <c r="E2005" s="21" t="s">
        <v>103</v>
      </c>
      <c r="F2005" s="58">
        <v>800</v>
      </c>
      <c r="G2005" s="13">
        <v>805</v>
      </c>
      <c r="H2005" s="56">
        <v>0</v>
      </c>
      <c r="I2005" s="13">
        <f t="shared" si="178"/>
        <v>5</v>
      </c>
      <c r="J2005" s="14">
        <f t="shared" si="168"/>
        <v>0.625</v>
      </c>
      <c r="K2005" s="56">
        <v>1.84</v>
      </c>
      <c r="L2005" s="15">
        <f t="shared" si="169"/>
        <v>0</v>
      </c>
      <c r="M2005" s="16">
        <f t="shared" si="170"/>
        <v>163.102936</v>
      </c>
      <c r="N2005" s="17">
        <f t="shared" si="177"/>
        <v>1.84</v>
      </c>
      <c r="O2005" s="17">
        <f t="shared" si="171"/>
        <v>1472</v>
      </c>
      <c r="P2005" s="18">
        <f t="shared" si="172"/>
        <v>130482.34879999999</v>
      </c>
      <c r="R2005" s="66"/>
      <c r="S2005" s="20"/>
      <c r="T2005" s="20"/>
      <c r="U2005" s="20"/>
      <c r="V2005" s="20"/>
      <c r="W2005" s="20"/>
      <c r="X2005" s="20"/>
      <c r="Y2005" s="20"/>
      <c r="Z2005" s="20"/>
      <c r="AA2005" s="20"/>
    </row>
    <row r="2006" spans="1:27" ht="15" customHeight="1">
      <c r="A2006" s="54"/>
      <c r="B2006" s="10">
        <v>46145</v>
      </c>
      <c r="C2006" s="11">
        <f>VLOOKUP(B:B,'Курс валют'!A:D,4,0)</f>
        <v>88.642899999999997</v>
      </c>
      <c r="D2006" s="57" t="s">
        <v>523</v>
      </c>
      <c r="E2006" s="21" t="s">
        <v>103</v>
      </c>
      <c r="F2006" s="58">
        <v>800</v>
      </c>
      <c r="G2006" s="13">
        <v>805</v>
      </c>
      <c r="H2006" s="56">
        <v>0</v>
      </c>
      <c r="I2006" s="13">
        <f t="shared" si="178"/>
        <v>5</v>
      </c>
      <c r="J2006" s="14">
        <f t="shared" si="168"/>
        <v>0.625</v>
      </c>
      <c r="K2006" s="56">
        <v>1.84</v>
      </c>
      <c r="L2006" s="15">
        <f t="shared" si="169"/>
        <v>0</v>
      </c>
      <c r="M2006" s="16">
        <f t="shared" si="170"/>
        <v>163.102936</v>
      </c>
      <c r="N2006" s="17">
        <f t="shared" si="177"/>
        <v>1.84</v>
      </c>
      <c r="O2006" s="17">
        <f t="shared" si="171"/>
        <v>1472</v>
      </c>
      <c r="P2006" s="18">
        <f t="shared" si="172"/>
        <v>130482.34879999999</v>
      </c>
      <c r="R2006" s="66"/>
      <c r="S2006" s="20"/>
      <c r="T2006" s="20"/>
      <c r="U2006" s="20"/>
      <c r="V2006" s="20"/>
      <c r="W2006" s="20"/>
      <c r="X2006" s="20"/>
      <c r="Y2006" s="20"/>
      <c r="Z2006" s="20"/>
      <c r="AA2006" s="20"/>
    </row>
    <row r="2007" spans="1:27" ht="12.75">
      <c r="A2007" s="54"/>
      <c r="B2007" s="10">
        <v>46145</v>
      </c>
      <c r="C2007" s="11">
        <f>VLOOKUP(B:B,'Курс валют'!A:D,4,0)</f>
        <v>88.642899999999997</v>
      </c>
      <c r="D2007" s="57" t="s">
        <v>524</v>
      </c>
      <c r="E2007" s="21" t="s">
        <v>103</v>
      </c>
      <c r="F2007" s="58">
        <v>800</v>
      </c>
      <c r="G2007" s="13">
        <v>805</v>
      </c>
      <c r="H2007" s="56">
        <v>0</v>
      </c>
      <c r="I2007" s="13">
        <f t="shared" si="178"/>
        <v>5</v>
      </c>
      <c r="J2007" s="14">
        <f t="shared" si="168"/>
        <v>0.625</v>
      </c>
      <c r="K2007" s="56">
        <v>1.84</v>
      </c>
      <c r="L2007" s="15">
        <f t="shared" si="169"/>
        <v>0</v>
      </c>
      <c r="M2007" s="16">
        <f t="shared" si="170"/>
        <v>163.102936</v>
      </c>
      <c r="N2007" s="17">
        <f t="shared" si="177"/>
        <v>1.84</v>
      </c>
      <c r="O2007" s="17">
        <f t="shared" si="171"/>
        <v>1472</v>
      </c>
      <c r="P2007" s="18">
        <f t="shared" si="172"/>
        <v>130482.34879999999</v>
      </c>
      <c r="R2007" s="66"/>
      <c r="S2007" s="20"/>
      <c r="T2007" s="20"/>
      <c r="U2007" s="20"/>
      <c r="V2007" s="20"/>
      <c r="W2007" s="20"/>
      <c r="X2007" s="20"/>
      <c r="Y2007" s="20"/>
      <c r="Z2007" s="20"/>
      <c r="AA2007" s="20"/>
    </row>
    <row r="2008" spans="1:27" ht="12.75">
      <c r="A2008" s="54"/>
      <c r="B2008" s="10">
        <v>46145</v>
      </c>
      <c r="C2008" s="11">
        <f>VLOOKUP(B:B,'Курс валют'!A:D,4,0)</f>
        <v>88.642899999999997</v>
      </c>
      <c r="D2008" s="57" t="s">
        <v>525</v>
      </c>
      <c r="E2008" s="21" t="s">
        <v>103</v>
      </c>
      <c r="F2008" s="58">
        <v>800</v>
      </c>
      <c r="G2008" s="13">
        <v>805</v>
      </c>
      <c r="H2008" s="56">
        <v>0</v>
      </c>
      <c r="I2008" s="13">
        <f t="shared" si="178"/>
        <v>5</v>
      </c>
      <c r="J2008" s="14">
        <f t="shared" si="168"/>
        <v>0.625</v>
      </c>
      <c r="K2008" s="56">
        <v>1.84</v>
      </c>
      <c r="L2008" s="15">
        <f t="shared" si="169"/>
        <v>0</v>
      </c>
      <c r="M2008" s="16">
        <f t="shared" si="170"/>
        <v>163.102936</v>
      </c>
      <c r="N2008" s="17">
        <f t="shared" si="177"/>
        <v>1.84</v>
      </c>
      <c r="O2008" s="17">
        <f t="shared" si="171"/>
        <v>1472</v>
      </c>
      <c r="P2008" s="18">
        <f t="shared" si="172"/>
        <v>130482.34879999999</v>
      </c>
      <c r="R2008" s="66"/>
      <c r="S2008" s="48"/>
      <c r="T2008" s="20"/>
      <c r="U2008" s="20"/>
      <c r="V2008" s="20"/>
      <c r="W2008" s="20"/>
      <c r="X2008" s="20"/>
      <c r="Y2008" s="20"/>
      <c r="Z2008" s="20"/>
      <c r="AA2008" s="20"/>
    </row>
    <row r="2009" spans="1:27" ht="12.75">
      <c r="A2009" s="54"/>
      <c r="B2009" s="10">
        <v>46145</v>
      </c>
      <c r="C2009" s="11">
        <f>VLOOKUP(B:B,'Курс валют'!A:D,4,0)</f>
        <v>88.642899999999997</v>
      </c>
      <c r="D2009" s="57" t="s">
        <v>526</v>
      </c>
      <c r="E2009" s="21" t="s">
        <v>103</v>
      </c>
      <c r="F2009" s="58">
        <v>800</v>
      </c>
      <c r="G2009" s="13">
        <v>805</v>
      </c>
      <c r="H2009" s="56">
        <v>0</v>
      </c>
      <c r="I2009" s="13">
        <f t="shared" si="178"/>
        <v>5</v>
      </c>
      <c r="J2009" s="14">
        <f t="shared" si="168"/>
        <v>0.625</v>
      </c>
      <c r="K2009" s="56">
        <v>1.84</v>
      </c>
      <c r="L2009" s="15">
        <f t="shared" si="169"/>
        <v>0</v>
      </c>
      <c r="M2009" s="16">
        <f t="shared" si="170"/>
        <v>163.102936</v>
      </c>
      <c r="N2009" s="17">
        <f t="shared" si="177"/>
        <v>1.84</v>
      </c>
      <c r="O2009" s="17">
        <f t="shared" si="171"/>
        <v>1472</v>
      </c>
      <c r="P2009" s="18">
        <f t="shared" si="172"/>
        <v>130482.34879999999</v>
      </c>
      <c r="R2009" s="66"/>
      <c r="S2009" s="48"/>
      <c r="T2009" s="20"/>
      <c r="U2009" s="20"/>
      <c r="V2009" s="20"/>
      <c r="W2009" s="20"/>
      <c r="X2009" s="20"/>
      <c r="Y2009" s="20"/>
      <c r="Z2009" s="20"/>
      <c r="AA2009" s="20"/>
    </row>
    <row r="2010" spans="1:27" ht="12.75">
      <c r="A2010" s="54"/>
      <c r="B2010" s="10">
        <v>46145</v>
      </c>
      <c r="C2010" s="11">
        <f>VLOOKUP(B:B,'Курс валют'!A:D,4,0)</f>
        <v>88.642899999999997</v>
      </c>
      <c r="D2010" s="57" t="s">
        <v>527</v>
      </c>
      <c r="E2010" s="21" t="s">
        <v>103</v>
      </c>
      <c r="F2010" s="58">
        <v>800</v>
      </c>
      <c r="G2010" s="13">
        <v>805</v>
      </c>
      <c r="H2010" s="56">
        <v>0</v>
      </c>
      <c r="I2010" s="13">
        <f t="shared" si="178"/>
        <v>5</v>
      </c>
      <c r="J2010" s="14">
        <f t="shared" si="168"/>
        <v>0.625</v>
      </c>
      <c r="K2010" s="56">
        <v>1.84</v>
      </c>
      <c r="L2010" s="15">
        <f t="shared" si="169"/>
        <v>0</v>
      </c>
      <c r="M2010" s="16">
        <f t="shared" si="170"/>
        <v>163.102936</v>
      </c>
      <c r="N2010" s="17">
        <f t="shared" si="177"/>
        <v>1.84</v>
      </c>
      <c r="O2010" s="17">
        <f t="shared" si="171"/>
        <v>1472</v>
      </c>
      <c r="P2010" s="18">
        <f t="shared" si="172"/>
        <v>130482.34879999999</v>
      </c>
      <c r="R2010" s="66"/>
      <c r="S2010" s="48"/>
      <c r="T2010" s="20"/>
      <c r="U2010" s="20"/>
      <c r="V2010" s="20"/>
      <c r="W2010" s="20"/>
      <c r="X2010" s="20"/>
      <c r="Y2010" s="20"/>
      <c r="Z2010" s="20"/>
      <c r="AA2010" s="20"/>
    </row>
    <row r="2011" spans="1:27" ht="12.75">
      <c r="A2011" s="54"/>
      <c r="B2011" s="10">
        <v>46145</v>
      </c>
      <c r="C2011" s="11">
        <f>VLOOKUP(B:B,'Курс валют'!A:D,4,0)</f>
        <v>88.642899999999997</v>
      </c>
      <c r="D2011" s="57" t="s">
        <v>528</v>
      </c>
      <c r="E2011" s="21" t="s">
        <v>103</v>
      </c>
      <c r="F2011" s="58">
        <v>800</v>
      </c>
      <c r="G2011" s="13">
        <v>805</v>
      </c>
      <c r="H2011" s="56">
        <v>0</v>
      </c>
      <c r="I2011" s="13">
        <f t="shared" si="178"/>
        <v>5</v>
      </c>
      <c r="J2011" s="14">
        <f t="shared" si="168"/>
        <v>0.625</v>
      </c>
      <c r="K2011" s="56">
        <v>1.84</v>
      </c>
      <c r="L2011" s="15">
        <f t="shared" si="169"/>
        <v>0</v>
      </c>
      <c r="M2011" s="16">
        <f t="shared" si="170"/>
        <v>163.102936</v>
      </c>
      <c r="N2011" s="17">
        <f t="shared" si="177"/>
        <v>1.84</v>
      </c>
      <c r="O2011" s="17">
        <f t="shared" si="171"/>
        <v>1472</v>
      </c>
      <c r="P2011" s="18">
        <f t="shared" si="172"/>
        <v>130482.34879999999</v>
      </c>
      <c r="R2011" s="66"/>
      <c r="S2011" s="48"/>
      <c r="T2011" s="20"/>
      <c r="U2011" s="20"/>
      <c r="V2011" s="20"/>
      <c r="W2011" s="20"/>
      <c r="X2011" s="20"/>
      <c r="Y2011" s="20"/>
      <c r="Z2011" s="20"/>
      <c r="AA2011" s="20"/>
    </row>
    <row r="2012" spans="1:27" ht="12.75">
      <c r="A2012" s="54"/>
      <c r="B2012" s="10">
        <v>46145</v>
      </c>
      <c r="C2012" s="11">
        <f>VLOOKUP(B:B,'Курс валют'!A:D,4,0)</f>
        <v>88.642899999999997</v>
      </c>
      <c r="D2012" s="57" t="s">
        <v>529</v>
      </c>
      <c r="E2012" s="21" t="s">
        <v>103</v>
      </c>
      <c r="F2012" s="58">
        <v>800</v>
      </c>
      <c r="G2012" s="13">
        <v>805</v>
      </c>
      <c r="H2012" s="56">
        <v>0</v>
      </c>
      <c r="I2012" s="13">
        <f t="shared" si="178"/>
        <v>5</v>
      </c>
      <c r="J2012" s="14">
        <f t="shared" si="168"/>
        <v>0.625</v>
      </c>
      <c r="K2012" s="56">
        <v>1.84</v>
      </c>
      <c r="L2012" s="15">
        <f t="shared" si="169"/>
        <v>0</v>
      </c>
      <c r="M2012" s="16">
        <f t="shared" si="170"/>
        <v>163.102936</v>
      </c>
      <c r="N2012" s="17">
        <f t="shared" si="177"/>
        <v>1.84</v>
      </c>
      <c r="O2012" s="17">
        <f t="shared" si="171"/>
        <v>1472</v>
      </c>
      <c r="P2012" s="18">
        <f t="shared" si="172"/>
        <v>130482.34879999999</v>
      </c>
      <c r="R2012" s="66"/>
      <c r="S2012" s="48"/>
      <c r="T2012" s="20"/>
      <c r="U2012" s="20"/>
      <c r="V2012" s="20"/>
      <c r="W2012" s="20"/>
      <c r="X2012" s="20"/>
      <c r="Y2012" s="20"/>
      <c r="Z2012" s="20"/>
      <c r="AA2012" s="20"/>
    </row>
    <row r="2013" spans="1:27" ht="12.75">
      <c r="A2013" s="54"/>
      <c r="B2013" s="10">
        <v>46145</v>
      </c>
      <c r="C2013" s="11">
        <f>VLOOKUP(B:B,'Курс валют'!A:D,4,0)</f>
        <v>88.642899999999997</v>
      </c>
      <c r="D2013" s="57" t="s">
        <v>530</v>
      </c>
      <c r="E2013" s="21" t="s">
        <v>103</v>
      </c>
      <c r="F2013" s="58">
        <v>800</v>
      </c>
      <c r="G2013" s="13">
        <v>805</v>
      </c>
      <c r="H2013" s="56">
        <v>0</v>
      </c>
      <c r="I2013" s="13">
        <f t="shared" si="178"/>
        <v>5</v>
      </c>
      <c r="J2013" s="14">
        <f t="shared" si="168"/>
        <v>0.625</v>
      </c>
      <c r="K2013" s="56">
        <v>1.84</v>
      </c>
      <c r="L2013" s="15">
        <f t="shared" si="169"/>
        <v>0</v>
      </c>
      <c r="M2013" s="16">
        <f t="shared" si="170"/>
        <v>163.102936</v>
      </c>
      <c r="N2013" s="17">
        <f t="shared" si="177"/>
        <v>1.84</v>
      </c>
      <c r="O2013" s="17">
        <f t="shared" si="171"/>
        <v>1472</v>
      </c>
      <c r="P2013" s="18">
        <f t="shared" si="172"/>
        <v>130482.34879999999</v>
      </c>
      <c r="R2013" s="66"/>
      <c r="S2013" s="48"/>
      <c r="T2013" s="20"/>
      <c r="U2013" s="20"/>
      <c r="V2013" s="20"/>
      <c r="W2013" s="20"/>
      <c r="X2013" s="20"/>
      <c r="Y2013" s="20"/>
      <c r="Z2013" s="20"/>
      <c r="AA2013" s="20"/>
    </row>
    <row r="2014" spans="1:27" ht="12.75">
      <c r="A2014" s="54"/>
      <c r="B2014" s="10">
        <v>46146</v>
      </c>
      <c r="C2014" s="11">
        <f>VLOOKUP(B:B,'Курс валют'!A:D,4,0)</f>
        <v>88.642899999999997</v>
      </c>
      <c r="D2014" s="57" t="s">
        <v>531</v>
      </c>
      <c r="E2014" s="50" t="s">
        <v>104</v>
      </c>
      <c r="F2014" s="58">
        <v>1920</v>
      </c>
      <c r="G2014" s="13">
        <v>1953.03</v>
      </c>
      <c r="H2014" s="56">
        <v>0</v>
      </c>
      <c r="I2014" s="13">
        <f t="shared" si="178"/>
        <v>33.029999999999973</v>
      </c>
      <c r="J2014" s="14">
        <f t="shared" si="168"/>
        <v>1.7203124999999986</v>
      </c>
      <c r="K2014" s="49">
        <v>2.64</v>
      </c>
      <c r="L2014" s="15">
        <f t="shared" si="169"/>
        <v>0</v>
      </c>
      <c r="M2014" s="16">
        <f t="shared" si="170"/>
        <v>234.017256</v>
      </c>
      <c r="N2014" s="17">
        <f t="shared" si="177"/>
        <v>2.64</v>
      </c>
      <c r="O2014" s="17">
        <f t="shared" si="171"/>
        <v>5068.8</v>
      </c>
      <c r="P2014" s="18">
        <f t="shared" si="172"/>
        <v>449313.13152</v>
      </c>
      <c r="R2014" s="66"/>
      <c r="S2014" s="20"/>
      <c r="T2014" s="20"/>
      <c r="U2014" s="20"/>
      <c r="V2014" s="20"/>
      <c r="W2014" s="20"/>
      <c r="X2014" s="20"/>
      <c r="Y2014" s="20"/>
      <c r="Z2014" s="20"/>
      <c r="AA2014" s="20"/>
    </row>
    <row r="2015" spans="1:27" ht="12.75">
      <c r="A2015" s="54"/>
      <c r="B2015" s="10">
        <v>46146</v>
      </c>
      <c r="C2015" s="11">
        <f>VLOOKUP(B:B,'Курс валют'!A:D,4,0)</f>
        <v>88.642899999999997</v>
      </c>
      <c r="D2015" s="57" t="s">
        <v>532</v>
      </c>
      <c r="E2015" s="26" t="s">
        <v>15</v>
      </c>
      <c r="F2015" s="58">
        <v>1100</v>
      </c>
      <c r="G2015" s="51">
        <v>1106.5</v>
      </c>
      <c r="H2015" s="56">
        <v>484.5</v>
      </c>
      <c r="I2015" s="13">
        <f t="shared" si="178"/>
        <v>6.5</v>
      </c>
      <c r="J2015" s="14">
        <f t="shared" si="168"/>
        <v>0.59090909090909094</v>
      </c>
      <c r="K2015" s="49">
        <v>12.29</v>
      </c>
      <c r="L2015" s="15">
        <f t="shared" si="169"/>
        <v>44.045454545454547</v>
      </c>
      <c r="M2015" s="16">
        <f t="shared" si="170"/>
        <v>210.94995588636348</v>
      </c>
      <c r="N2015" s="17">
        <f>(F2015*K2015-H2015*22.5)/F2015</f>
        <v>2.3797727272727256</v>
      </c>
      <c r="O2015" s="17">
        <f t="shared" si="171"/>
        <v>2617.7499999999982</v>
      </c>
      <c r="P2015" s="18">
        <f t="shared" si="172"/>
        <v>232044.95147499983</v>
      </c>
      <c r="R2015" s="66"/>
      <c r="S2015" s="20"/>
      <c r="T2015" s="20"/>
      <c r="U2015" s="20"/>
      <c r="V2015" s="20"/>
      <c r="W2015" s="20"/>
      <c r="X2015" s="20"/>
      <c r="Y2015" s="20"/>
      <c r="Z2015" s="20"/>
      <c r="AA2015" s="20"/>
    </row>
    <row r="2016" spans="1:27" ht="12.75">
      <c r="A2016" s="54"/>
      <c r="B2016" s="10">
        <v>46146</v>
      </c>
      <c r="C2016" s="11">
        <f>VLOOKUP(B:B,'Курс валют'!A:D,4,0)</f>
        <v>88.642899999999997</v>
      </c>
      <c r="D2016" s="57" t="s">
        <v>533</v>
      </c>
      <c r="E2016" s="50" t="s">
        <v>15</v>
      </c>
      <c r="F2016" s="58">
        <v>1100</v>
      </c>
      <c r="G2016" s="51">
        <v>1106.5</v>
      </c>
      <c r="H2016" s="56">
        <v>0</v>
      </c>
      <c r="I2016" s="13">
        <f t="shared" si="178"/>
        <v>6.5</v>
      </c>
      <c r="J2016" s="14">
        <f t="shared" si="168"/>
        <v>0.59090909090909094</v>
      </c>
      <c r="K2016" s="49">
        <v>2.36</v>
      </c>
      <c r="L2016" s="15">
        <f t="shared" si="169"/>
        <v>0</v>
      </c>
      <c r="M2016" s="16">
        <f t="shared" si="170"/>
        <v>209.19724399999998</v>
      </c>
      <c r="N2016" s="17">
        <f t="shared" ref="N2016:N2240" si="179">(F2016*K2016-H2016*3.04)/F2016</f>
        <v>2.36</v>
      </c>
      <c r="O2016" s="17">
        <f t="shared" si="171"/>
        <v>2596</v>
      </c>
      <c r="P2016" s="18">
        <f t="shared" si="172"/>
        <v>230116.96839999998</v>
      </c>
      <c r="R2016" s="66"/>
      <c r="S2016" s="19"/>
      <c r="T2016" s="20"/>
      <c r="U2016" s="20"/>
      <c r="V2016" s="20"/>
      <c r="W2016" s="20"/>
      <c r="X2016" s="20"/>
      <c r="Y2016" s="20"/>
      <c r="Z2016" s="20"/>
      <c r="AA2016" s="20"/>
    </row>
    <row r="2017" spans="1:27" ht="12.75">
      <c r="A2017" s="54"/>
      <c r="B2017" s="10">
        <v>46146</v>
      </c>
      <c r="C2017" s="11">
        <f>VLOOKUP(B:B,'Курс валют'!A:D,4,0)</f>
        <v>88.642899999999997</v>
      </c>
      <c r="D2017" s="57" t="s">
        <v>534</v>
      </c>
      <c r="E2017" s="50" t="s">
        <v>15</v>
      </c>
      <c r="F2017" s="58">
        <v>1100</v>
      </c>
      <c r="G2017" s="51">
        <v>1106.5</v>
      </c>
      <c r="H2017" s="56">
        <v>0</v>
      </c>
      <c r="I2017" s="13">
        <f t="shared" si="178"/>
        <v>6.5</v>
      </c>
      <c r="J2017" s="14">
        <f t="shared" si="168"/>
        <v>0.59090909090909094</v>
      </c>
      <c r="K2017" s="49">
        <v>2.36</v>
      </c>
      <c r="L2017" s="15">
        <f t="shared" si="169"/>
        <v>0</v>
      </c>
      <c r="M2017" s="16">
        <f t="shared" si="170"/>
        <v>209.19724399999998</v>
      </c>
      <c r="N2017" s="17">
        <f t="shared" si="179"/>
        <v>2.36</v>
      </c>
      <c r="O2017" s="17">
        <f t="shared" si="171"/>
        <v>2596</v>
      </c>
      <c r="P2017" s="18">
        <f t="shared" si="172"/>
        <v>230116.96839999998</v>
      </c>
      <c r="R2017" s="66"/>
      <c r="S2017" s="19"/>
      <c r="T2017" s="20"/>
      <c r="U2017" s="20"/>
      <c r="V2017" s="20"/>
      <c r="W2017" s="20"/>
      <c r="X2017" s="20"/>
      <c r="Y2017" s="20"/>
      <c r="Z2017" s="20"/>
      <c r="AA2017" s="20"/>
    </row>
    <row r="2018" spans="1:27" ht="12.75">
      <c r="A2018" s="54"/>
      <c r="B2018" s="10">
        <v>46146</v>
      </c>
      <c r="C2018" s="11">
        <f>VLOOKUP(B:B,'Курс валют'!A:D,4,0)</f>
        <v>88.642899999999997</v>
      </c>
      <c r="D2018" s="57" t="s">
        <v>535</v>
      </c>
      <c r="E2018" s="50" t="s">
        <v>15</v>
      </c>
      <c r="F2018" s="58">
        <v>1100</v>
      </c>
      <c r="G2018" s="51">
        <v>1106.5</v>
      </c>
      <c r="H2018" s="56">
        <v>0</v>
      </c>
      <c r="I2018" s="13">
        <f t="shared" si="178"/>
        <v>6.5</v>
      </c>
      <c r="J2018" s="14">
        <f t="shared" si="168"/>
        <v>0.59090909090909094</v>
      </c>
      <c r="K2018" s="49">
        <v>2.36</v>
      </c>
      <c r="L2018" s="15">
        <f t="shared" si="169"/>
        <v>0</v>
      </c>
      <c r="M2018" s="16">
        <f t="shared" si="170"/>
        <v>209.19724399999998</v>
      </c>
      <c r="N2018" s="17">
        <f t="shared" si="179"/>
        <v>2.36</v>
      </c>
      <c r="O2018" s="17">
        <f t="shared" si="171"/>
        <v>2596</v>
      </c>
      <c r="P2018" s="18">
        <f t="shared" si="172"/>
        <v>230116.96839999998</v>
      </c>
      <c r="R2018" s="66"/>
      <c r="S2018" s="19"/>
      <c r="T2018" s="20"/>
      <c r="U2018" s="20"/>
      <c r="V2018" s="20"/>
      <c r="W2018" s="20"/>
      <c r="X2018" s="20"/>
      <c r="Y2018" s="20"/>
      <c r="Z2018" s="20"/>
      <c r="AA2018" s="20"/>
    </row>
    <row r="2019" spans="1:27" ht="12.75">
      <c r="A2019" s="54"/>
      <c r="B2019" s="10">
        <v>46146</v>
      </c>
      <c r="C2019" s="11">
        <f>VLOOKUP(B:B,'Курс валют'!A:D,4,0)</f>
        <v>88.642899999999997</v>
      </c>
      <c r="D2019" s="57" t="s">
        <v>536</v>
      </c>
      <c r="E2019" s="50" t="s">
        <v>15</v>
      </c>
      <c r="F2019" s="58">
        <v>1100</v>
      </c>
      <c r="G2019" s="51">
        <v>1106.5</v>
      </c>
      <c r="H2019" s="56">
        <v>0</v>
      </c>
      <c r="I2019" s="13">
        <f t="shared" si="178"/>
        <v>6.5</v>
      </c>
      <c r="J2019" s="14">
        <f t="shared" si="168"/>
        <v>0.59090909090909094</v>
      </c>
      <c r="K2019" s="49">
        <v>2.36</v>
      </c>
      <c r="L2019" s="15">
        <f t="shared" si="169"/>
        <v>0</v>
      </c>
      <c r="M2019" s="16">
        <f t="shared" si="170"/>
        <v>209.19724399999998</v>
      </c>
      <c r="N2019" s="17">
        <f t="shared" si="179"/>
        <v>2.36</v>
      </c>
      <c r="O2019" s="17">
        <f t="shared" si="171"/>
        <v>2596</v>
      </c>
      <c r="P2019" s="18">
        <f t="shared" si="172"/>
        <v>230116.96839999998</v>
      </c>
      <c r="R2019" s="66"/>
      <c r="S2019" s="19"/>
      <c r="T2019" s="20"/>
      <c r="U2019" s="20"/>
      <c r="V2019" s="20"/>
      <c r="W2019" s="20"/>
      <c r="X2019" s="20"/>
      <c r="Y2019" s="20"/>
      <c r="Z2019" s="20"/>
      <c r="AA2019" s="20"/>
    </row>
    <row r="2020" spans="1:27" ht="12.75">
      <c r="A2020" s="54"/>
      <c r="B2020" s="10">
        <v>46146</v>
      </c>
      <c r="C2020" s="11">
        <f>VLOOKUP(B:B,'Курс валют'!A:D,4,0)</f>
        <v>88.642899999999997</v>
      </c>
      <c r="D2020" s="57" t="s">
        <v>537</v>
      </c>
      <c r="E2020" s="50" t="s">
        <v>15</v>
      </c>
      <c r="F2020" s="58">
        <v>1100</v>
      </c>
      <c r="G2020" s="51">
        <v>1106.5</v>
      </c>
      <c r="H2020" s="56">
        <v>0</v>
      </c>
      <c r="I2020" s="13">
        <f t="shared" si="178"/>
        <v>6.5</v>
      </c>
      <c r="J2020" s="14">
        <f t="shared" si="168"/>
        <v>0.59090909090909094</v>
      </c>
      <c r="K2020" s="49">
        <v>2.36</v>
      </c>
      <c r="L2020" s="15">
        <f t="shared" si="169"/>
        <v>0</v>
      </c>
      <c r="M2020" s="16">
        <f t="shared" si="170"/>
        <v>209.19724399999998</v>
      </c>
      <c r="N2020" s="17">
        <f t="shared" si="179"/>
        <v>2.36</v>
      </c>
      <c r="O2020" s="17">
        <f t="shared" si="171"/>
        <v>2596</v>
      </c>
      <c r="P2020" s="18">
        <f t="shared" si="172"/>
        <v>230116.96839999998</v>
      </c>
      <c r="R2020" s="66"/>
      <c r="S2020" s="19"/>
      <c r="T2020" s="20"/>
      <c r="U2020" s="20"/>
      <c r="V2020" s="20"/>
      <c r="W2020" s="20"/>
      <c r="X2020" s="20"/>
      <c r="Y2020" s="20"/>
      <c r="Z2020" s="20"/>
      <c r="AA2020" s="20"/>
    </row>
    <row r="2021" spans="1:27" ht="12.75">
      <c r="A2021" s="54"/>
      <c r="B2021" s="10">
        <v>46146</v>
      </c>
      <c r="C2021" s="11">
        <f>VLOOKUP(B:B,'Курс валют'!A:D,4,0)</f>
        <v>88.642899999999997</v>
      </c>
      <c r="D2021" s="57" t="s">
        <v>538</v>
      </c>
      <c r="E2021" s="50" t="s">
        <v>15</v>
      </c>
      <c r="F2021" s="58">
        <v>1100</v>
      </c>
      <c r="G2021" s="51">
        <v>1106.5</v>
      </c>
      <c r="H2021" s="56">
        <v>0</v>
      </c>
      <c r="I2021" s="13">
        <f t="shared" si="178"/>
        <v>6.5</v>
      </c>
      <c r="J2021" s="14">
        <f t="shared" si="168"/>
        <v>0.59090909090909094</v>
      </c>
      <c r="K2021" s="49">
        <v>2.36</v>
      </c>
      <c r="L2021" s="15">
        <f t="shared" si="169"/>
        <v>0</v>
      </c>
      <c r="M2021" s="16">
        <f t="shared" si="170"/>
        <v>209.19724399999998</v>
      </c>
      <c r="N2021" s="17">
        <f t="shared" si="179"/>
        <v>2.36</v>
      </c>
      <c r="O2021" s="17">
        <f t="shared" si="171"/>
        <v>2596</v>
      </c>
      <c r="P2021" s="18">
        <f t="shared" si="172"/>
        <v>230116.96839999998</v>
      </c>
      <c r="R2021" s="66"/>
      <c r="S2021" s="19"/>
      <c r="T2021" s="20"/>
      <c r="U2021" s="20"/>
      <c r="V2021" s="20"/>
      <c r="W2021" s="20"/>
      <c r="X2021" s="20"/>
      <c r="Y2021" s="20"/>
      <c r="Z2021" s="20"/>
      <c r="AA2021" s="20"/>
    </row>
    <row r="2022" spans="1:27" ht="12.75">
      <c r="A2022" s="54"/>
      <c r="B2022" s="10">
        <v>46146</v>
      </c>
      <c r="C2022" s="11">
        <f>VLOOKUP(B:B,'Курс валют'!A:D,4,0)</f>
        <v>88.642899999999997</v>
      </c>
      <c r="D2022" s="57" t="s">
        <v>539</v>
      </c>
      <c r="E2022" s="50" t="s">
        <v>15</v>
      </c>
      <c r="F2022" s="58">
        <v>1100</v>
      </c>
      <c r="G2022" s="51">
        <v>1106.5</v>
      </c>
      <c r="H2022" s="56">
        <v>0</v>
      </c>
      <c r="I2022" s="13">
        <f t="shared" si="178"/>
        <v>6.5</v>
      </c>
      <c r="J2022" s="14">
        <f t="shared" ref="J2022:J2268" si="180">I2022/F2022*100</f>
        <v>0.59090909090909094</v>
      </c>
      <c r="K2022" s="49">
        <v>2.36</v>
      </c>
      <c r="L2022" s="15">
        <f t="shared" ref="L2022:L2268" si="181">H2022/F2022*100</f>
        <v>0</v>
      </c>
      <c r="M2022" s="16">
        <f t="shared" ref="M2022:M2268" si="182">P2022/F2022</f>
        <v>209.19724399999998</v>
      </c>
      <c r="N2022" s="17">
        <f t="shared" si="179"/>
        <v>2.36</v>
      </c>
      <c r="O2022" s="17">
        <f t="shared" ref="O2022:O2268" si="183">N2022*F2022</f>
        <v>2596</v>
      </c>
      <c r="P2022" s="18">
        <f t="shared" ref="P2022:P2268" si="184">O2022*C2022</f>
        <v>230116.96839999998</v>
      </c>
      <c r="R2022" s="66"/>
      <c r="S2022" s="19"/>
      <c r="T2022" s="20"/>
      <c r="U2022" s="20"/>
      <c r="V2022" s="20"/>
      <c r="W2022" s="20"/>
      <c r="X2022" s="20"/>
      <c r="Y2022" s="20"/>
      <c r="Z2022" s="20"/>
      <c r="AA2022" s="20"/>
    </row>
    <row r="2023" spans="1:27" ht="12.75">
      <c r="A2023" s="54"/>
      <c r="B2023" s="10">
        <v>46146</v>
      </c>
      <c r="C2023" s="11">
        <f>VLOOKUP(B:B,'Курс валют'!A:D,4,0)</f>
        <v>88.642899999999997</v>
      </c>
      <c r="D2023" s="57" t="s">
        <v>540</v>
      </c>
      <c r="E2023" s="50" t="s">
        <v>125</v>
      </c>
      <c r="F2023" s="58">
        <v>1980</v>
      </c>
      <c r="G2023" s="51">
        <v>2004.32</v>
      </c>
      <c r="H2023" s="56">
        <v>0</v>
      </c>
      <c r="I2023" s="13">
        <f t="shared" si="178"/>
        <v>24.319999999999936</v>
      </c>
      <c r="J2023" s="14">
        <f t="shared" si="180"/>
        <v>1.2282828282828251</v>
      </c>
      <c r="K2023" s="56">
        <v>1.82</v>
      </c>
      <c r="L2023" s="15">
        <f t="shared" si="181"/>
        <v>0</v>
      </c>
      <c r="M2023" s="16">
        <f t="shared" si="182"/>
        <v>161.33007799999999</v>
      </c>
      <c r="N2023" s="17">
        <f t="shared" si="179"/>
        <v>1.82</v>
      </c>
      <c r="O2023" s="17">
        <f t="shared" si="183"/>
        <v>3603.6</v>
      </c>
      <c r="P2023" s="18">
        <f t="shared" si="184"/>
        <v>319433.55443999998</v>
      </c>
      <c r="R2023" s="66"/>
      <c r="S2023" s="20"/>
      <c r="T2023" s="20"/>
      <c r="U2023" s="20"/>
      <c r="V2023" s="20"/>
      <c r="W2023" s="20"/>
      <c r="X2023" s="20"/>
      <c r="Y2023" s="20"/>
      <c r="Z2023" s="20"/>
      <c r="AA2023" s="20"/>
    </row>
    <row r="2024" spans="1:27" ht="12.75">
      <c r="A2024" s="54"/>
      <c r="B2024" s="10">
        <v>46146</v>
      </c>
      <c r="C2024" s="11">
        <f>VLOOKUP(B:B,'Курс валют'!A:D,4,0)</f>
        <v>88.642899999999997</v>
      </c>
      <c r="D2024" s="57" t="s">
        <v>541</v>
      </c>
      <c r="E2024" s="50" t="s">
        <v>15</v>
      </c>
      <c r="F2024" s="58">
        <v>1100</v>
      </c>
      <c r="G2024" s="51">
        <v>1106.5</v>
      </c>
      <c r="H2024" s="56">
        <v>0</v>
      </c>
      <c r="I2024" s="13">
        <f t="shared" si="178"/>
        <v>6.5</v>
      </c>
      <c r="J2024" s="14">
        <f t="shared" si="180"/>
        <v>0.59090909090909094</v>
      </c>
      <c r="K2024" s="49">
        <v>2.36</v>
      </c>
      <c r="L2024" s="15">
        <f t="shared" si="181"/>
        <v>0</v>
      </c>
      <c r="M2024" s="16">
        <f t="shared" si="182"/>
        <v>209.19724399999998</v>
      </c>
      <c r="N2024" s="17">
        <f t="shared" si="179"/>
        <v>2.36</v>
      </c>
      <c r="O2024" s="17">
        <f t="shared" si="183"/>
        <v>2596</v>
      </c>
      <c r="P2024" s="18">
        <f t="shared" si="184"/>
        <v>230116.96839999998</v>
      </c>
      <c r="R2024" s="66"/>
      <c r="S2024" s="20"/>
      <c r="T2024" s="20"/>
      <c r="U2024" s="20"/>
      <c r="V2024" s="20"/>
      <c r="W2024" s="20"/>
      <c r="X2024" s="20"/>
      <c r="Y2024" s="20"/>
      <c r="Z2024" s="20"/>
      <c r="AA2024" s="20"/>
    </row>
    <row r="2025" spans="1:27" ht="12.75">
      <c r="A2025" s="54"/>
      <c r="B2025" s="10">
        <v>46146</v>
      </c>
      <c r="C2025" s="11">
        <f>VLOOKUP(B:B,'Курс валют'!A:D,4,0)</f>
        <v>88.642899999999997</v>
      </c>
      <c r="D2025" s="57" t="s">
        <v>542</v>
      </c>
      <c r="E2025" s="50" t="s">
        <v>15</v>
      </c>
      <c r="F2025" s="58">
        <v>1100</v>
      </c>
      <c r="G2025" s="51">
        <v>1106.5</v>
      </c>
      <c r="H2025" s="56">
        <v>0</v>
      </c>
      <c r="I2025" s="13">
        <f t="shared" si="178"/>
        <v>6.5</v>
      </c>
      <c r="J2025" s="14">
        <f t="shared" si="180"/>
        <v>0.59090909090909094</v>
      </c>
      <c r="K2025" s="49">
        <v>2.36</v>
      </c>
      <c r="L2025" s="15">
        <f t="shared" si="181"/>
        <v>0</v>
      </c>
      <c r="M2025" s="16">
        <f t="shared" si="182"/>
        <v>209.19724399999998</v>
      </c>
      <c r="N2025" s="17">
        <f t="shared" si="179"/>
        <v>2.36</v>
      </c>
      <c r="O2025" s="17">
        <f t="shared" si="183"/>
        <v>2596</v>
      </c>
      <c r="P2025" s="18">
        <f t="shared" si="184"/>
        <v>230116.96839999998</v>
      </c>
      <c r="R2025" s="66"/>
      <c r="S2025" s="19"/>
      <c r="T2025" s="20"/>
      <c r="U2025" s="20"/>
      <c r="V2025" s="20"/>
      <c r="W2025" s="20"/>
      <c r="X2025" s="20"/>
      <c r="Y2025" s="20"/>
      <c r="Z2025" s="20"/>
      <c r="AA2025" s="20"/>
    </row>
    <row r="2026" spans="1:27" ht="12.75">
      <c r="A2026" s="54"/>
      <c r="B2026" s="10">
        <v>46147</v>
      </c>
      <c r="C2026" s="11">
        <f>VLOOKUP(B:B,'Курс валют'!A:D,4,0)</f>
        <v>88.265100000000004</v>
      </c>
      <c r="D2026" s="57" t="s">
        <v>543</v>
      </c>
      <c r="E2026" s="50" t="s">
        <v>15</v>
      </c>
      <c r="F2026" s="58">
        <v>1100</v>
      </c>
      <c r="G2026" s="52">
        <v>1108.5</v>
      </c>
      <c r="H2026" s="49">
        <v>0</v>
      </c>
      <c r="I2026" s="13">
        <f t="shared" si="178"/>
        <v>8.5</v>
      </c>
      <c r="J2026" s="14">
        <f t="shared" si="180"/>
        <v>0.77272727272727271</v>
      </c>
      <c r="K2026" s="56">
        <v>2.37</v>
      </c>
      <c r="L2026" s="15">
        <f t="shared" si="181"/>
        <v>0</v>
      </c>
      <c r="M2026" s="16">
        <f t="shared" si="182"/>
        <v>209.18828700000003</v>
      </c>
      <c r="N2026" s="17">
        <f t="shared" si="179"/>
        <v>2.37</v>
      </c>
      <c r="O2026" s="17">
        <f t="shared" si="183"/>
        <v>2607</v>
      </c>
      <c r="P2026" s="18">
        <f t="shared" si="184"/>
        <v>230107.11570000002</v>
      </c>
      <c r="R2026" s="66"/>
      <c r="S2026" s="19"/>
      <c r="T2026" s="20"/>
      <c r="U2026" s="20"/>
      <c r="V2026" s="20"/>
      <c r="W2026" s="20"/>
      <c r="X2026" s="20"/>
      <c r="Y2026" s="20"/>
      <c r="Z2026" s="20"/>
      <c r="AA2026" s="20"/>
    </row>
    <row r="2027" spans="1:27" ht="12.75">
      <c r="A2027" s="54"/>
      <c r="B2027" s="10">
        <v>46147</v>
      </c>
      <c r="C2027" s="11">
        <f>VLOOKUP(B:B,'Курс валют'!A:D,4,0)</f>
        <v>88.265100000000004</v>
      </c>
      <c r="D2027" s="57" t="s">
        <v>544</v>
      </c>
      <c r="E2027" s="50" t="s">
        <v>15</v>
      </c>
      <c r="F2027" s="58">
        <v>1100</v>
      </c>
      <c r="G2027" s="52">
        <v>1108.5</v>
      </c>
      <c r="H2027" s="49">
        <v>0</v>
      </c>
      <c r="I2027" s="13">
        <f t="shared" si="178"/>
        <v>8.5</v>
      </c>
      <c r="J2027" s="14">
        <f t="shared" si="180"/>
        <v>0.77272727272727271</v>
      </c>
      <c r="K2027" s="56">
        <v>2.36</v>
      </c>
      <c r="L2027" s="15">
        <f t="shared" si="181"/>
        <v>0</v>
      </c>
      <c r="M2027" s="16">
        <f t="shared" si="182"/>
        <v>208.30563600000002</v>
      </c>
      <c r="N2027" s="17">
        <f t="shared" si="179"/>
        <v>2.36</v>
      </c>
      <c r="O2027" s="17">
        <f t="shared" si="183"/>
        <v>2596</v>
      </c>
      <c r="P2027" s="18">
        <f t="shared" si="184"/>
        <v>229136.19960000002</v>
      </c>
      <c r="R2027" s="66"/>
      <c r="S2027" s="19"/>
      <c r="T2027" s="20"/>
      <c r="U2027" s="20"/>
      <c r="V2027" s="20"/>
      <c r="W2027" s="20"/>
      <c r="X2027" s="20"/>
      <c r="Y2027" s="20"/>
      <c r="Z2027" s="20"/>
      <c r="AA2027" s="20"/>
    </row>
    <row r="2028" spans="1:27" ht="12.75">
      <c r="A2028" s="54"/>
      <c r="B2028" s="10">
        <v>46147</v>
      </c>
      <c r="C2028" s="11">
        <f>VLOOKUP(B:B,'Курс валют'!A:D,4,0)</f>
        <v>88.265100000000004</v>
      </c>
      <c r="D2028" s="57" t="s">
        <v>545</v>
      </c>
      <c r="E2028" s="50" t="s">
        <v>15</v>
      </c>
      <c r="F2028" s="58">
        <v>1100</v>
      </c>
      <c r="G2028" s="52">
        <v>1108.5</v>
      </c>
      <c r="H2028" s="49">
        <v>0</v>
      </c>
      <c r="I2028" s="13">
        <f t="shared" si="178"/>
        <v>8.5</v>
      </c>
      <c r="J2028" s="14">
        <f t="shared" si="180"/>
        <v>0.77272727272727271</v>
      </c>
      <c r="K2028" s="56">
        <v>2.36</v>
      </c>
      <c r="L2028" s="15">
        <f t="shared" si="181"/>
        <v>0</v>
      </c>
      <c r="M2028" s="16">
        <f t="shared" si="182"/>
        <v>208.30563600000002</v>
      </c>
      <c r="N2028" s="17">
        <f t="shared" si="179"/>
        <v>2.36</v>
      </c>
      <c r="O2028" s="17">
        <f t="shared" si="183"/>
        <v>2596</v>
      </c>
      <c r="P2028" s="18">
        <f t="shared" si="184"/>
        <v>229136.19960000002</v>
      </c>
      <c r="R2028" s="66"/>
      <c r="S2028" s="19"/>
      <c r="T2028" s="20"/>
      <c r="U2028" s="20"/>
      <c r="V2028" s="20"/>
      <c r="W2028" s="20"/>
      <c r="X2028" s="20"/>
      <c r="Y2028" s="20"/>
      <c r="Z2028" s="20"/>
      <c r="AA2028" s="20"/>
    </row>
    <row r="2029" spans="1:27" ht="12.75">
      <c r="A2029" s="54"/>
      <c r="B2029" s="10">
        <v>46147</v>
      </c>
      <c r="C2029" s="11">
        <f>VLOOKUP(B:B,'Курс валют'!A:D,4,0)</f>
        <v>88.265100000000004</v>
      </c>
      <c r="D2029" s="57" t="s">
        <v>546</v>
      </c>
      <c r="E2029" s="50" t="s">
        <v>15</v>
      </c>
      <c r="F2029" s="58">
        <v>1100</v>
      </c>
      <c r="G2029" s="52">
        <v>1108.5</v>
      </c>
      <c r="H2029" s="49">
        <v>0</v>
      </c>
      <c r="I2029" s="13">
        <f t="shared" si="178"/>
        <v>8.5</v>
      </c>
      <c r="J2029" s="14">
        <f t="shared" si="180"/>
        <v>0.77272727272727271</v>
      </c>
      <c r="K2029" s="56">
        <v>2.37</v>
      </c>
      <c r="L2029" s="15">
        <f t="shared" si="181"/>
        <v>0</v>
      </c>
      <c r="M2029" s="16">
        <f t="shared" si="182"/>
        <v>209.18828700000003</v>
      </c>
      <c r="N2029" s="17">
        <f t="shared" si="179"/>
        <v>2.37</v>
      </c>
      <c r="O2029" s="17">
        <f t="shared" si="183"/>
        <v>2607</v>
      </c>
      <c r="P2029" s="18">
        <f t="shared" si="184"/>
        <v>230107.11570000002</v>
      </c>
      <c r="R2029" s="65"/>
      <c r="S2029" s="19"/>
      <c r="T2029" s="20"/>
      <c r="U2029" s="20"/>
      <c r="V2029" s="20"/>
      <c r="W2029" s="20"/>
      <c r="X2029" s="20"/>
      <c r="Y2029" s="20"/>
      <c r="Z2029" s="20"/>
      <c r="AA2029" s="20"/>
    </row>
    <row r="2030" spans="1:27" ht="12.75">
      <c r="A2030" s="54"/>
      <c r="B2030" s="10">
        <v>46147</v>
      </c>
      <c r="C2030" s="11">
        <f>VLOOKUP(B:B,'Курс валют'!A:D,4,0)</f>
        <v>88.265100000000004</v>
      </c>
      <c r="D2030" s="57" t="s">
        <v>547</v>
      </c>
      <c r="E2030" s="50" t="s">
        <v>15</v>
      </c>
      <c r="F2030" s="58">
        <v>1100</v>
      </c>
      <c r="G2030" s="52">
        <v>1108.5</v>
      </c>
      <c r="H2030" s="49">
        <v>0</v>
      </c>
      <c r="I2030" s="13">
        <f t="shared" si="178"/>
        <v>8.5</v>
      </c>
      <c r="J2030" s="14">
        <f t="shared" si="180"/>
        <v>0.77272727272727271</v>
      </c>
      <c r="K2030" s="56">
        <v>2.36</v>
      </c>
      <c r="L2030" s="15">
        <f t="shared" si="181"/>
        <v>0</v>
      </c>
      <c r="M2030" s="16">
        <f t="shared" si="182"/>
        <v>208.30563600000002</v>
      </c>
      <c r="N2030" s="17">
        <f t="shared" si="179"/>
        <v>2.36</v>
      </c>
      <c r="O2030" s="17">
        <f t="shared" si="183"/>
        <v>2596</v>
      </c>
      <c r="P2030" s="18">
        <f t="shared" si="184"/>
        <v>229136.19960000002</v>
      </c>
      <c r="R2030" s="66"/>
      <c r="S2030" s="19"/>
      <c r="T2030" s="20"/>
      <c r="U2030" s="20"/>
      <c r="V2030" s="20"/>
      <c r="W2030" s="20"/>
      <c r="X2030" s="20"/>
      <c r="Y2030" s="20"/>
      <c r="Z2030" s="20"/>
      <c r="AA2030" s="20"/>
    </row>
    <row r="2031" spans="1:27" ht="12.75">
      <c r="A2031" s="54"/>
      <c r="B2031" s="10">
        <v>46147</v>
      </c>
      <c r="C2031" s="11">
        <f>VLOOKUP(B:B,'Курс валют'!A:D,4,0)</f>
        <v>88.265100000000004</v>
      </c>
      <c r="D2031" s="57" t="s">
        <v>548</v>
      </c>
      <c r="E2031" s="50" t="s">
        <v>104</v>
      </c>
      <c r="F2031" s="58">
        <v>1680</v>
      </c>
      <c r="G2031" s="52">
        <v>1699.36</v>
      </c>
      <c r="H2031" s="49">
        <v>0</v>
      </c>
      <c r="I2031" s="13">
        <f t="shared" si="178"/>
        <v>19.3599999999999</v>
      </c>
      <c r="J2031" s="14">
        <f t="shared" si="180"/>
        <v>1.1523809523809465</v>
      </c>
      <c r="K2031" s="53">
        <v>2.63</v>
      </c>
      <c r="L2031" s="15">
        <f t="shared" si="181"/>
        <v>0</v>
      </c>
      <c r="M2031" s="16">
        <f t="shared" si="182"/>
        <v>232.137213</v>
      </c>
      <c r="N2031" s="17">
        <f t="shared" si="179"/>
        <v>2.63</v>
      </c>
      <c r="O2031" s="17">
        <f t="shared" si="183"/>
        <v>4418.3999999999996</v>
      </c>
      <c r="P2031" s="18">
        <f t="shared" si="184"/>
        <v>389990.51783999999</v>
      </c>
      <c r="R2031" s="66"/>
      <c r="S2031" s="19"/>
      <c r="T2031" s="20"/>
      <c r="U2031" s="20"/>
      <c r="V2031" s="20"/>
      <c r="W2031" s="20"/>
      <c r="X2031" s="20"/>
      <c r="Y2031" s="20"/>
      <c r="Z2031" s="20"/>
      <c r="AA2031" s="20"/>
    </row>
    <row r="2032" spans="1:27" ht="12.75">
      <c r="A2032" s="54"/>
      <c r="B2032" s="10">
        <v>46147</v>
      </c>
      <c r="C2032" s="11">
        <f>VLOOKUP(B:B,'Курс валют'!A:D,4,0)</f>
        <v>88.265100000000004</v>
      </c>
      <c r="D2032" s="57" t="s">
        <v>549</v>
      </c>
      <c r="E2032" s="50" t="s">
        <v>125</v>
      </c>
      <c r="F2032" s="58">
        <v>1980</v>
      </c>
      <c r="G2032" s="52">
        <v>2004.32</v>
      </c>
      <c r="H2032" s="49">
        <v>0</v>
      </c>
      <c r="I2032" s="13">
        <f t="shared" si="178"/>
        <v>24.319999999999936</v>
      </c>
      <c r="J2032" s="14">
        <f t="shared" si="180"/>
        <v>1.2282828282828251</v>
      </c>
      <c r="K2032" s="53">
        <v>1.82</v>
      </c>
      <c r="L2032" s="15">
        <f t="shared" si="181"/>
        <v>0</v>
      </c>
      <c r="M2032" s="16">
        <f t="shared" si="182"/>
        <v>160.642482</v>
      </c>
      <c r="N2032" s="17">
        <f t="shared" si="179"/>
        <v>1.82</v>
      </c>
      <c r="O2032" s="17">
        <f t="shared" si="183"/>
        <v>3603.6</v>
      </c>
      <c r="P2032" s="18">
        <f t="shared" si="184"/>
        <v>318072.11436000001</v>
      </c>
      <c r="R2032" s="66"/>
      <c r="S2032" s="19"/>
      <c r="T2032" s="20"/>
      <c r="U2032" s="20"/>
      <c r="V2032" s="20"/>
      <c r="W2032" s="20"/>
      <c r="X2032" s="20"/>
      <c r="Y2032" s="20"/>
      <c r="Z2032" s="20"/>
      <c r="AA2032" s="20"/>
    </row>
    <row r="2033" spans="1:27" ht="12.75">
      <c r="A2033" s="54"/>
      <c r="B2033" s="10">
        <v>46147</v>
      </c>
      <c r="C2033" s="11">
        <f>VLOOKUP(B:B,'Курс валют'!A:D,4,0)</f>
        <v>88.265100000000004</v>
      </c>
      <c r="D2033" s="57" t="s">
        <v>550</v>
      </c>
      <c r="E2033" s="50" t="s">
        <v>15</v>
      </c>
      <c r="F2033" s="58">
        <v>1100</v>
      </c>
      <c r="G2033" s="52">
        <v>1108.5</v>
      </c>
      <c r="H2033" s="49">
        <v>0</v>
      </c>
      <c r="I2033" s="13">
        <f t="shared" si="178"/>
        <v>8.5</v>
      </c>
      <c r="J2033" s="14">
        <f t="shared" si="180"/>
        <v>0.77272727272727271</v>
      </c>
      <c r="K2033" s="56">
        <v>2.36</v>
      </c>
      <c r="L2033" s="15">
        <f t="shared" si="181"/>
        <v>0</v>
      </c>
      <c r="M2033" s="16">
        <f t="shared" si="182"/>
        <v>208.30563600000002</v>
      </c>
      <c r="N2033" s="17">
        <f t="shared" si="179"/>
        <v>2.36</v>
      </c>
      <c r="O2033" s="17">
        <f t="shared" si="183"/>
        <v>2596</v>
      </c>
      <c r="P2033" s="18">
        <f t="shared" si="184"/>
        <v>229136.19960000002</v>
      </c>
      <c r="R2033" s="66"/>
      <c r="S2033" s="20"/>
      <c r="T2033" s="20"/>
      <c r="U2033" s="20"/>
      <c r="V2033" s="20"/>
      <c r="W2033" s="20"/>
      <c r="X2033" s="20"/>
      <c r="Y2033" s="20"/>
      <c r="Z2033" s="20"/>
      <c r="AA2033" s="20"/>
    </row>
    <row r="2034" spans="1:27" ht="12.75">
      <c r="A2034" s="54"/>
      <c r="B2034" s="10">
        <v>46147</v>
      </c>
      <c r="C2034" s="11">
        <f>VLOOKUP(B:B,'Курс валют'!A:D,4,0)</f>
        <v>88.265100000000004</v>
      </c>
      <c r="D2034" s="57" t="s">
        <v>551</v>
      </c>
      <c r="E2034" s="50" t="s">
        <v>15</v>
      </c>
      <c r="F2034" s="58">
        <v>1100</v>
      </c>
      <c r="G2034" s="52">
        <v>1108.5</v>
      </c>
      <c r="H2034" s="49">
        <v>0</v>
      </c>
      <c r="I2034" s="13">
        <f t="shared" si="178"/>
        <v>8.5</v>
      </c>
      <c r="J2034" s="14">
        <f t="shared" si="180"/>
        <v>0.77272727272727271</v>
      </c>
      <c r="K2034" s="56">
        <v>2.36</v>
      </c>
      <c r="L2034" s="15">
        <f t="shared" si="181"/>
        <v>0</v>
      </c>
      <c r="M2034" s="16">
        <f t="shared" si="182"/>
        <v>208.30563600000002</v>
      </c>
      <c r="N2034" s="17">
        <f t="shared" si="179"/>
        <v>2.36</v>
      </c>
      <c r="O2034" s="17">
        <f t="shared" si="183"/>
        <v>2596</v>
      </c>
      <c r="P2034" s="18">
        <f t="shared" si="184"/>
        <v>229136.19960000002</v>
      </c>
      <c r="R2034" s="66"/>
      <c r="S2034" s="20"/>
      <c r="T2034" s="20"/>
      <c r="U2034" s="20"/>
      <c r="V2034" s="20"/>
      <c r="W2034" s="20"/>
      <c r="X2034" s="20"/>
      <c r="Y2034" s="20"/>
      <c r="Z2034" s="20"/>
      <c r="AA2034" s="20"/>
    </row>
    <row r="2035" spans="1:27" ht="12.75">
      <c r="A2035" s="54"/>
      <c r="B2035" s="10">
        <v>46147</v>
      </c>
      <c r="C2035" s="11">
        <f>VLOOKUP(B:B,'Курс валют'!A:D,4,0)</f>
        <v>88.265100000000004</v>
      </c>
      <c r="D2035" s="57" t="s">
        <v>552</v>
      </c>
      <c r="E2035" s="50" t="s">
        <v>15</v>
      </c>
      <c r="F2035" s="58">
        <v>1100</v>
      </c>
      <c r="G2035" s="52">
        <v>1108.5</v>
      </c>
      <c r="H2035" s="49">
        <v>0</v>
      </c>
      <c r="I2035" s="13">
        <f t="shared" si="178"/>
        <v>8.5</v>
      </c>
      <c r="J2035" s="14">
        <f t="shared" si="180"/>
        <v>0.77272727272727271</v>
      </c>
      <c r="K2035" s="56">
        <v>2.37</v>
      </c>
      <c r="L2035" s="15">
        <f t="shared" si="181"/>
        <v>0</v>
      </c>
      <c r="M2035" s="16">
        <f t="shared" si="182"/>
        <v>209.18828700000003</v>
      </c>
      <c r="N2035" s="17">
        <f t="shared" si="179"/>
        <v>2.37</v>
      </c>
      <c r="O2035" s="17">
        <f t="shared" si="183"/>
        <v>2607</v>
      </c>
      <c r="P2035" s="18">
        <f t="shared" si="184"/>
        <v>230107.11570000002</v>
      </c>
      <c r="R2035" s="66"/>
      <c r="S2035" s="20"/>
      <c r="T2035" s="20"/>
      <c r="U2035" s="20"/>
      <c r="V2035" s="20"/>
      <c r="W2035" s="20"/>
      <c r="X2035" s="20"/>
      <c r="Y2035" s="20"/>
      <c r="Z2035" s="20"/>
      <c r="AA2035" s="20"/>
    </row>
    <row r="2036" spans="1:27" ht="12.75">
      <c r="A2036" s="54"/>
      <c r="B2036" s="10">
        <v>46147</v>
      </c>
      <c r="C2036" s="11">
        <f>VLOOKUP(B:B,'Курс валют'!A:D,4,0)</f>
        <v>88.265100000000004</v>
      </c>
      <c r="D2036" s="57" t="s">
        <v>553</v>
      </c>
      <c r="E2036" s="50" t="s">
        <v>15</v>
      </c>
      <c r="F2036" s="58">
        <v>1100</v>
      </c>
      <c r="G2036" s="52">
        <v>1108.5</v>
      </c>
      <c r="H2036" s="49">
        <v>0</v>
      </c>
      <c r="I2036" s="13">
        <f t="shared" si="178"/>
        <v>8.5</v>
      </c>
      <c r="J2036" s="14">
        <f t="shared" si="180"/>
        <v>0.77272727272727271</v>
      </c>
      <c r="K2036" s="56">
        <v>2.36</v>
      </c>
      <c r="L2036" s="15">
        <f t="shared" si="181"/>
        <v>0</v>
      </c>
      <c r="M2036" s="16">
        <f t="shared" si="182"/>
        <v>208.30563600000002</v>
      </c>
      <c r="N2036" s="17">
        <f t="shared" si="179"/>
        <v>2.36</v>
      </c>
      <c r="O2036" s="17">
        <f t="shared" si="183"/>
        <v>2596</v>
      </c>
      <c r="P2036" s="18">
        <f t="shared" si="184"/>
        <v>229136.19960000002</v>
      </c>
      <c r="R2036" s="66"/>
      <c r="S2036" s="20"/>
      <c r="T2036" s="20"/>
      <c r="U2036" s="20"/>
      <c r="V2036" s="20"/>
      <c r="W2036" s="20"/>
      <c r="X2036" s="20"/>
      <c r="Y2036" s="20"/>
      <c r="Z2036" s="20"/>
      <c r="AA2036" s="20"/>
    </row>
    <row r="2037" spans="1:27" ht="12.75">
      <c r="A2037" s="54"/>
      <c r="B2037" s="10">
        <v>46147</v>
      </c>
      <c r="C2037" s="11">
        <f>VLOOKUP(B:B,'Курс валют'!A:D,4,0)</f>
        <v>88.265100000000004</v>
      </c>
      <c r="D2037" s="57" t="s">
        <v>554</v>
      </c>
      <c r="E2037" s="50" t="s">
        <v>15</v>
      </c>
      <c r="F2037" s="58">
        <v>1100</v>
      </c>
      <c r="G2037" s="52">
        <v>1108.5</v>
      </c>
      <c r="H2037" s="49">
        <v>0</v>
      </c>
      <c r="I2037" s="13">
        <f t="shared" si="178"/>
        <v>8.5</v>
      </c>
      <c r="J2037" s="14">
        <f t="shared" si="180"/>
        <v>0.77272727272727271</v>
      </c>
      <c r="K2037" s="56">
        <v>2.37</v>
      </c>
      <c r="L2037" s="15">
        <f t="shared" si="181"/>
        <v>0</v>
      </c>
      <c r="M2037" s="16">
        <f t="shared" si="182"/>
        <v>209.18828700000003</v>
      </c>
      <c r="N2037" s="17">
        <f t="shared" si="179"/>
        <v>2.37</v>
      </c>
      <c r="O2037" s="17">
        <f t="shared" si="183"/>
        <v>2607</v>
      </c>
      <c r="P2037" s="18">
        <f t="shared" si="184"/>
        <v>230107.11570000002</v>
      </c>
      <c r="R2037" s="66"/>
      <c r="S2037" s="19"/>
      <c r="T2037" s="20"/>
      <c r="U2037" s="20"/>
      <c r="V2037" s="20"/>
      <c r="W2037" s="20"/>
      <c r="X2037" s="20"/>
      <c r="Y2037" s="20"/>
      <c r="Z2037" s="20"/>
      <c r="AA2037" s="20"/>
    </row>
    <row r="2038" spans="1:27" ht="12.75">
      <c r="A2038" s="54"/>
      <c r="B2038" s="10">
        <v>46147</v>
      </c>
      <c r="C2038" s="11">
        <f>VLOOKUP(B:B,'Курс валют'!A:D,4,0)</f>
        <v>88.265100000000004</v>
      </c>
      <c r="D2038" s="60" t="s">
        <v>555</v>
      </c>
      <c r="E2038" s="50" t="s">
        <v>556</v>
      </c>
      <c r="F2038" s="58">
        <v>160</v>
      </c>
      <c r="G2038" s="52">
        <v>160</v>
      </c>
      <c r="H2038" s="22">
        <v>0</v>
      </c>
      <c r="I2038" s="13">
        <f t="shared" si="178"/>
        <v>0</v>
      </c>
      <c r="J2038" s="14">
        <f t="shared" si="180"/>
        <v>0</v>
      </c>
      <c r="K2038" s="56">
        <v>2.71</v>
      </c>
      <c r="L2038" s="15">
        <f t="shared" si="181"/>
        <v>0</v>
      </c>
      <c r="M2038" s="16">
        <f t="shared" si="182"/>
        <v>239.198421</v>
      </c>
      <c r="N2038" s="17">
        <f t="shared" si="179"/>
        <v>2.71</v>
      </c>
      <c r="O2038" s="17">
        <f t="shared" si="183"/>
        <v>433.6</v>
      </c>
      <c r="P2038" s="18">
        <f t="shared" si="184"/>
        <v>38271.747360000001</v>
      </c>
      <c r="R2038" s="66" t="s">
        <v>557</v>
      </c>
      <c r="S2038" s="19"/>
      <c r="T2038" s="20"/>
      <c r="U2038" s="20"/>
      <c r="V2038" s="20"/>
      <c r="W2038" s="20"/>
      <c r="X2038" s="20"/>
      <c r="Y2038" s="20"/>
      <c r="Z2038" s="20"/>
      <c r="AA2038" s="20"/>
    </row>
    <row r="2039" spans="1:27" ht="12.75">
      <c r="A2039" s="54"/>
      <c r="B2039" s="10">
        <v>46147</v>
      </c>
      <c r="C2039" s="11">
        <f>VLOOKUP(B:B,'Курс валют'!A:D,4,0)</f>
        <v>88.265100000000004</v>
      </c>
      <c r="D2039" s="60" t="s">
        <v>558</v>
      </c>
      <c r="E2039" s="50" t="s">
        <v>559</v>
      </c>
      <c r="F2039" s="58">
        <v>900</v>
      </c>
      <c r="G2039" s="52">
        <v>900</v>
      </c>
      <c r="H2039" s="22">
        <v>0</v>
      </c>
      <c r="I2039" s="13">
        <f t="shared" si="178"/>
        <v>0</v>
      </c>
      <c r="J2039" s="14">
        <f t="shared" si="180"/>
        <v>0</v>
      </c>
      <c r="K2039" s="56">
        <v>3.97</v>
      </c>
      <c r="L2039" s="15">
        <f t="shared" si="181"/>
        <v>0</v>
      </c>
      <c r="M2039" s="16">
        <f t="shared" si="182"/>
        <v>350.41244699999999</v>
      </c>
      <c r="N2039" s="17">
        <f t="shared" si="179"/>
        <v>3.97</v>
      </c>
      <c r="O2039" s="17">
        <f t="shared" si="183"/>
        <v>3573</v>
      </c>
      <c r="P2039" s="18">
        <f t="shared" si="184"/>
        <v>315371.2023</v>
      </c>
      <c r="R2039" s="66" t="s">
        <v>557</v>
      </c>
      <c r="S2039" s="19"/>
      <c r="T2039" s="20"/>
      <c r="U2039" s="20"/>
      <c r="V2039" s="20"/>
      <c r="W2039" s="20"/>
      <c r="X2039" s="20"/>
      <c r="Y2039" s="20"/>
      <c r="Z2039" s="20"/>
      <c r="AA2039" s="20"/>
    </row>
    <row r="2040" spans="1:27" ht="12.75">
      <c r="A2040" s="54"/>
      <c r="B2040" s="10">
        <v>46147</v>
      </c>
      <c r="C2040" s="11">
        <f>VLOOKUP(B:B,'Курс валют'!A:D,4,0)</f>
        <v>88.265100000000004</v>
      </c>
      <c r="D2040" s="60" t="s">
        <v>560</v>
      </c>
      <c r="E2040" s="50" t="s">
        <v>559</v>
      </c>
      <c r="F2040" s="58">
        <v>675</v>
      </c>
      <c r="G2040" s="52">
        <v>675</v>
      </c>
      <c r="H2040" s="22">
        <v>0</v>
      </c>
      <c r="I2040" s="13">
        <f t="shared" si="178"/>
        <v>0</v>
      </c>
      <c r="J2040" s="14">
        <f t="shared" si="180"/>
        <v>0</v>
      </c>
      <c r="K2040" s="56">
        <v>3.97</v>
      </c>
      <c r="L2040" s="15">
        <f t="shared" si="181"/>
        <v>0</v>
      </c>
      <c r="M2040" s="16">
        <f t="shared" si="182"/>
        <v>350.41244699999999</v>
      </c>
      <c r="N2040" s="17">
        <f t="shared" si="179"/>
        <v>3.97</v>
      </c>
      <c r="O2040" s="17">
        <f t="shared" si="183"/>
        <v>2679.75</v>
      </c>
      <c r="P2040" s="18">
        <f t="shared" si="184"/>
        <v>236528.401725</v>
      </c>
      <c r="R2040" s="66" t="s">
        <v>557</v>
      </c>
      <c r="S2040" s="19"/>
      <c r="T2040" s="20"/>
      <c r="U2040" s="20"/>
      <c r="V2040" s="20"/>
      <c r="W2040" s="20"/>
      <c r="X2040" s="20"/>
      <c r="Y2040" s="20"/>
      <c r="Z2040" s="20"/>
      <c r="AA2040" s="20"/>
    </row>
    <row r="2041" spans="1:27" ht="12.75">
      <c r="A2041" s="54"/>
      <c r="B2041" s="10">
        <v>46147</v>
      </c>
      <c r="C2041" s="11">
        <f>VLOOKUP(B:B,'Курс валют'!A:D,4,0)</f>
        <v>88.265100000000004</v>
      </c>
      <c r="D2041" s="60" t="s">
        <v>560</v>
      </c>
      <c r="E2041" s="50" t="s">
        <v>559</v>
      </c>
      <c r="F2041" s="58">
        <v>225</v>
      </c>
      <c r="G2041" s="52">
        <v>225</v>
      </c>
      <c r="H2041" s="22">
        <v>0</v>
      </c>
      <c r="I2041" s="13">
        <f t="shared" si="178"/>
        <v>0</v>
      </c>
      <c r="J2041" s="14">
        <f t="shared" si="180"/>
        <v>0</v>
      </c>
      <c r="K2041" s="56">
        <v>3.97</v>
      </c>
      <c r="L2041" s="15">
        <f t="shared" si="181"/>
        <v>0</v>
      </c>
      <c r="M2041" s="16">
        <f t="shared" si="182"/>
        <v>350.41244699999999</v>
      </c>
      <c r="N2041" s="17">
        <f t="shared" si="179"/>
        <v>3.97</v>
      </c>
      <c r="O2041" s="17">
        <f t="shared" si="183"/>
        <v>893.25</v>
      </c>
      <c r="P2041" s="18">
        <f t="shared" si="184"/>
        <v>78842.800575000001</v>
      </c>
      <c r="R2041" s="66" t="s">
        <v>557</v>
      </c>
      <c r="S2041" s="19"/>
      <c r="T2041" s="20"/>
      <c r="U2041" s="20"/>
      <c r="V2041" s="20"/>
      <c r="W2041" s="20"/>
      <c r="X2041" s="20"/>
      <c r="Y2041" s="20"/>
      <c r="Z2041" s="20"/>
      <c r="AA2041" s="20"/>
    </row>
    <row r="2042" spans="1:27" ht="12.75">
      <c r="A2042" s="54"/>
      <c r="B2042" s="10">
        <v>46147</v>
      </c>
      <c r="C2042" s="11">
        <f>VLOOKUP(B:B,'Курс валют'!A:D,4,0)</f>
        <v>88.265100000000004</v>
      </c>
      <c r="D2042" s="60" t="s">
        <v>561</v>
      </c>
      <c r="E2042" s="50" t="s">
        <v>562</v>
      </c>
      <c r="F2042" s="58">
        <v>220</v>
      </c>
      <c r="G2042" s="52">
        <v>220</v>
      </c>
      <c r="H2042" s="22">
        <v>0</v>
      </c>
      <c r="I2042" s="13">
        <f t="shared" si="178"/>
        <v>0</v>
      </c>
      <c r="J2042" s="14">
        <f t="shared" si="180"/>
        <v>0</v>
      </c>
      <c r="K2042" s="56">
        <v>3.22</v>
      </c>
      <c r="L2042" s="15">
        <f t="shared" si="181"/>
        <v>0</v>
      </c>
      <c r="M2042" s="16">
        <f t="shared" si="182"/>
        <v>284.21362200000004</v>
      </c>
      <c r="N2042" s="17">
        <f t="shared" si="179"/>
        <v>3.22</v>
      </c>
      <c r="O2042" s="17">
        <f t="shared" si="183"/>
        <v>708.40000000000009</v>
      </c>
      <c r="P2042" s="18">
        <f t="shared" si="184"/>
        <v>62526.996840000014</v>
      </c>
      <c r="R2042" s="66" t="s">
        <v>557</v>
      </c>
      <c r="S2042" s="19"/>
      <c r="T2042" s="20"/>
      <c r="U2042" s="20"/>
      <c r="V2042" s="20"/>
      <c r="W2042" s="20"/>
      <c r="X2042" s="20"/>
      <c r="Y2042" s="20"/>
      <c r="Z2042" s="20"/>
      <c r="AA2042" s="20"/>
    </row>
    <row r="2043" spans="1:27" ht="12.75">
      <c r="A2043" s="54"/>
      <c r="B2043" s="10">
        <v>46147</v>
      </c>
      <c r="C2043" s="11">
        <f>VLOOKUP(B:B,'Курс валют'!A:D,4,0)</f>
        <v>88.265100000000004</v>
      </c>
      <c r="D2043" s="60" t="s">
        <v>563</v>
      </c>
      <c r="E2043" s="50" t="s">
        <v>564</v>
      </c>
      <c r="F2043" s="58">
        <v>20</v>
      </c>
      <c r="G2043" s="52">
        <v>20</v>
      </c>
      <c r="H2043" s="22">
        <v>0</v>
      </c>
      <c r="I2043" s="13">
        <f t="shared" si="178"/>
        <v>0</v>
      </c>
      <c r="J2043" s="14">
        <f t="shared" si="180"/>
        <v>0</v>
      </c>
      <c r="K2043" s="56">
        <v>2.2000000000000002</v>
      </c>
      <c r="L2043" s="15">
        <f t="shared" si="181"/>
        <v>0</v>
      </c>
      <c r="M2043" s="16">
        <f t="shared" si="182"/>
        <v>194.18322000000001</v>
      </c>
      <c r="N2043" s="17">
        <f t="shared" si="179"/>
        <v>2.2000000000000002</v>
      </c>
      <c r="O2043" s="17">
        <f t="shared" si="183"/>
        <v>44</v>
      </c>
      <c r="P2043" s="18">
        <f t="shared" si="184"/>
        <v>3883.6644000000001</v>
      </c>
      <c r="R2043" s="66" t="s">
        <v>557</v>
      </c>
      <c r="S2043" s="19"/>
      <c r="T2043" s="20"/>
      <c r="U2043" s="20"/>
      <c r="V2043" s="20"/>
      <c r="W2043" s="20"/>
      <c r="X2043" s="20"/>
      <c r="Y2043" s="20"/>
      <c r="Z2043" s="20"/>
      <c r="AA2043" s="20"/>
    </row>
    <row r="2044" spans="1:27" ht="12.75">
      <c r="A2044" s="54"/>
      <c r="B2044" s="10">
        <v>46147</v>
      </c>
      <c r="C2044" s="11">
        <f>VLOOKUP(B:B,'Курс валют'!A:D,4,0)</f>
        <v>88.265100000000004</v>
      </c>
      <c r="D2044" s="60" t="s">
        <v>565</v>
      </c>
      <c r="E2044" s="50" t="s">
        <v>70</v>
      </c>
      <c r="F2044" s="58">
        <v>640</v>
      </c>
      <c r="G2044" s="52">
        <v>640</v>
      </c>
      <c r="H2044" s="22">
        <v>0</v>
      </c>
      <c r="I2044" s="13">
        <f t="shared" si="178"/>
        <v>0</v>
      </c>
      <c r="J2044" s="14">
        <f t="shared" si="180"/>
        <v>0</v>
      </c>
      <c r="K2044" s="56">
        <v>2.4700000000000002</v>
      </c>
      <c r="L2044" s="15">
        <f t="shared" si="181"/>
        <v>0</v>
      </c>
      <c r="M2044" s="16">
        <f t="shared" si="182"/>
        <v>218.01479700000004</v>
      </c>
      <c r="N2044" s="17">
        <f t="shared" si="179"/>
        <v>2.4700000000000002</v>
      </c>
      <c r="O2044" s="17">
        <f t="shared" si="183"/>
        <v>1580.8000000000002</v>
      </c>
      <c r="P2044" s="18">
        <f t="shared" si="184"/>
        <v>139529.47008000003</v>
      </c>
      <c r="R2044" s="66" t="s">
        <v>557</v>
      </c>
      <c r="S2044" s="19"/>
      <c r="T2044" s="20"/>
      <c r="U2044" s="20"/>
      <c r="V2044" s="20"/>
      <c r="W2044" s="20"/>
      <c r="X2044" s="20"/>
      <c r="Y2044" s="20"/>
      <c r="Z2044" s="20"/>
      <c r="AA2044" s="20"/>
    </row>
    <row r="2045" spans="1:27" ht="12.75">
      <c r="A2045" s="54"/>
      <c r="B2045" s="10">
        <v>46148</v>
      </c>
      <c r="C2045" s="11">
        <f>VLOOKUP(B:B,'Курс валют'!A:D,4,0)</f>
        <v>88.346299999999999</v>
      </c>
      <c r="D2045" s="57" t="s">
        <v>566</v>
      </c>
      <c r="E2045" s="50" t="s">
        <v>432</v>
      </c>
      <c r="F2045" s="58">
        <v>927.2</v>
      </c>
      <c r="G2045" s="52">
        <v>940</v>
      </c>
      <c r="H2045" s="22">
        <v>0</v>
      </c>
      <c r="I2045" s="13">
        <f t="shared" si="178"/>
        <v>12.799999999999955</v>
      </c>
      <c r="J2045" s="14">
        <f t="shared" si="180"/>
        <v>1.3805004314063798</v>
      </c>
      <c r="K2045" s="56">
        <v>1.83</v>
      </c>
      <c r="L2045" s="15">
        <f t="shared" si="181"/>
        <v>0</v>
      </c>
      <c r="M2045" s="16">
        <f t="shared" si="182"/>
        <v>161.67372900000001</v>
      </c>
      <c r="N2045" s="17">
        <f t="shared" si="179"/>
        <v>1.83</v>
      </c>
      <c r="O2045" s="17">
        <f t="shared" si="183"/>
        <v>1696.7760000000001</v>
      </c>
      <c r="P2045" s="18">
        <f t="shared" si="184"/>
        <v>149903.8815288</v>
      </c>
      <c r="R2045" s="66"/>
      <c r="S2045" s="19"/>
      <c r="T2045" s="20"/>
      <c r="U2045" s="20"/>
      <c r="V2045" s="20"/>
      <c r="W2045" s="20"/>
      <c r="X2045" s="20"/>
      <c r="Y2045" s="20"/>
      <c r="Z2045" s="20"/>
      <c r="AA2045" s="20"/>
    </row>
    <row r="2046" spans="1:27" ht="12.75">
      <c r="A2046" s="54"/>
      <c r="B2046" s="10">
        <v>46148</v>
      </c>
      <c r="C2046" s="11">
        <f>VLOOKUP(B:B,'Курс валют'!A:D,4,0)</f>
        <v>88.346299999999999</v>
      </c>
      <c r="D2046" s="57" t="s">
        <v>567</v>
      </c>
      <c r="E2046" s="50" t="s">
        <v>125</v>
      </c>
      <c r="F2046" s="58">
        <v>1760</v>
      </c>
      <c r="G2046" s="52">
        <v>1781.32</v>
      </c>
      <c r="H2046" s="56">
        <v>0</v>
      </c>
      <c r="I2046" s="13">
        <f t="shared" si="178"/>
        <v>21.319999999999936</v>
      </c>
      <c r="J2046" s="14">
        <f t="shared" si="180"/>
        <v>1.2113636363636329</v>
      </c>
      <c r="K2046" s="56">
        <v>1.82</v>
      </c>
      <c r="L2046" s="15">
        <f t="shared" si="181"/>
        <v>0</v>
      </c>
      <c r="M2046" s="16">
        <f t="shared" si="182"/>
        <v>160.790266</v>
      </c>
      <c r="N2046" s="17">
        <f t="shared" si="179"/>
        <v>1.82</v>
      </c>
      <c r="O2046" s="17">
        <f t="shared" si="183"/>
        <v>3203.2000000000003</v>
      </c>
      <c r="P2046" s="18">
        <f t="shared" si="184"/>
        <v>282990.86816000001</v>
      </c>
      <c r="R2046" s="66"/>
      <c r="S2046" s="19"/>
      <c r="T2046" s="20"/>
      <c r="U2046" s="20"/>
      <c r="V2046" s="20"/>
      <c r="W2046" s="20"/>
      <c r="X2046" s="20"/>
      <c r="Y2046" s="20"/>
      <c r="Z2046" s="20"/>
      <c r="AA2046" s="20"/>
    </row>
    <row r="2047" spans="1:27" ht="12.75">
      <c r="A2047" s="54"/>
      <c r="B2047" s="10">
        <v>46148</v>
      </c>
      <c r="C2047" s="11">
        <f>VLOOKUP(B:B,'Курс валют'!A:D,4,0)</f>
        <v>88.346299999999999</v>
      </c>
      <c r="D2047" s="57" t="s">
        <v>568</v>
      </c>
      <c r="E2047" s="50" t="s">
        <v>104</v>
      </c>
      <c r="F2047" s="58">
        <v>2160</v>
      </c>
      <c r="G2047" s="52">
        <v>2187.8000000000002</v>
      </c>
      <c r="H2047" s="56">
        <v>0</v>
      </c>
      <c r="I2047" s="13">
        <f t="shared" si="178"/>
        <v>27.800000000000182</v>
      </c>
      <c r="J2047" s="14">
        <f t="shared" si="180"/>
        <v>1.2870370370370454</v>
      </c>
      <c r="K2047" s="56">
        <v>2.63</v>
      </c>
      <c r="L2047" s="15">
        <f t="shared" si="181"/>
        <v>0</v>
      </c>
      <c r="M2047" s="16">
        <f t="shared" si="182"/>
        <v>232.35076900000001</v>
      </c>
      <c r="N2047" s="17">
        <f t="shared" si="179"/>
        <v>2.63</v>
      </c>
      <c r="O2047" s="17">
        <f t="shared" si="183"/>
        <v>5680.8</v>
      </c>
      <c r="P2047" s="18">
        <f t="shared" si="184"/>
        <v>501877.66104000004</v>
      </c>
      <c r="R2047" s="66"/>
      <c r="S2047" s="20"/>
      <c r="T2047" s="20"/>
      <c r="U2047" s="20"/>
      <c r="V2047" s="20"/>
      <c r="W2047" s="20"/>
      <c r="X2047" s="20"/>
      <c r="Y2047" s="20"/>
      <c r="Z2047" s="20"/>
      <c r="AA2047" s="20"/>
    </row>
    <row r="2048" spans="1:27" ht="12.75">
      <c r="A2048" s="54"/>
      <c r="B2048" s="10">
        <v>46149</v>
      </c>
      <c r="C2048" s="11">
        <f>VLOOKUP(B:B,'Курс валют'!A:D,4,0)</f>
        <v>88.06</v>
      </c>
      <c r="D2048" s="57" t="s">
        <v>569</v>
      </c>
      <c r="E2048" s="50" t="s">
        <v>60</v>
      </c>
      <c r="F2048" s="58">
        <v>2250</v>
      </c>
      <c r="G2048" s="52">
        <v>2293.65</v>
      </c>
      <c r="H2048" s="56">
        <v>0</v>
      </c>
      <c r="I2048" s="13">
        <f t="shared" si="178"/>
        <v>43.650000000000091</v>
      </c>
      <c r="J2048" s="14">
        <f t="shared" si="180"/>
        <v>1.9400000000000039</v>
      </c>
      <c r="K2048" s="56">
        <v>2.0699999999999998</v>
      </c>
      <c r="L2048" s="15">
        <f t="shared" si="181"/>
        <v>0</v>
      </c>
      <c r="M2048" s="16">
        <f t="shared" si="182"/>
        <v>182.2842</v>
      </c>
      <c r="N2048" s="17">
        <f t="shared" si="179"/>
        <v>2.0699999999999998</v>
      </c>
      <c r="O2048" s="17">
        <f t="shared" si="183"/>
        <v>4657.5</v>
      </c>
      <c r="P2048" s="18">
        <f t="shared" si="184"/>
        <v>410139.45</v>
      </c>
      <c r="R2048" s="66"/>
      <c r="S2048" s="20"/>
      <c r="T2048" s="20"/>
      <c r="U2048" s="20"/>
      <c r="V2048" s="20"/>
      <c r="W2048" s="20"/>
      <c r="X2048" s="20"/>
      <c r="Y2048" s="20"/>
      <c r="Z2048" s="20"/>
      <c r="AA2048" s="20"/>
    </row>
    <row r="2049" spans="1:27" ht="12.75">
      <c r="A2049" s="54"/>
      <c r="B2049" s="10">
        <v>46149</v>
      </c>
      <c r="C2049" s="11">
        <f>VLOOKUP(B:B,'Курс валют'!A:D,4,0)</f>
        <v>88.06</v>
      </c>
      <c r="D2049" s="57" t="s">
        <v>570</v>
      </c>
      <c r="E2049" s="50" t="s">
        <v>104</v>
      </c>
      <c r="F2049" s="58">
        <v>2160</v>
      </c>
      <c r="G2049" s="52">
        <v>2187.8000000000002</v>
      </c>
      <c r="H2049" s="56">
        <v>0</v>
      </c>
      <c r="I2049" s="13">
        <f t="shared" si="178"/>
        <v>27.800000000000182</v>
      </c>
      <c r="J2049" s="14">
        <f t="shared" si="180"/>
        <v>1.2870370370370454</v>
      </c>
      <c r="K2049" s="56">
        <v>2.63</v>
      </c>
      <c r="L2049" s="15">
        <f t="shared" si="181"/>
        <v>0</v>
      </c>
      <c r="M2049" s="16">
        <f t="shared" si="182"/>
        <v>231.59780000000001</v>
      </c>
      <c r="N2049" s="17">
        <f t="shared" si="179"/>
        <v>2.63</v>
      </c>
      <c r="O2049" s="17">
        <f t="shared" si="183"/>
        <v>5680.8</v>
      </c>
      <c r="P2049" s="18">
        <f t="shared" si="184"/>
        <v>500251.24800000002</v>
      </c>
      <c r="R2049" s="66"/>
      <c r="S2049" s="20"/>
      <c r="T2049" s="20"/>
      <c r="U2049" s="20"/>
      <c r="V2049" s="20"/>
      <c r="W2049" s="20"/>
      <c r="X2049" s="20"/>
      <c r="Y2049" s="20"/>
      <c r="Z2049" s="20"/>
      <c r="AA2049" s="20"/>
    </row>
    <row r="2050" spans="1:27" ht="12.75">
      <c r="A2050" s="54"/>
      <c r="B2050" s="10">
        <v>46149</v>
      </c>
      <c r="C2050" s="11">
        <f>VLOOKUP(B:B,'Курс валют'!A:D,4,0)</f>
        <v>88.06</v>
      </c>
      <c r="D2050" s="57" t="s">
        <v>571</v>
      </c>
      <c r="E2050" s="50" t="s">
        <v>95</v>
      </c>
      <c r="F2050" s="58">
        <v>6480</v>
      </c>
      <c r="G2050" s="52">
        <v>6532</v>
      </c>
      <c r="H2050" s="56">
        <v>0</v>
      </c>
      <c r="I2050" s="13">
        <f t="shared" si="178"/>
        <v>52</v>
      </c>
      <c r="J2050" s="14">
        <f t="shared" si="180"/>
        <v>0.80246913580246915</v>
      </c>
      <c r="K2050" s="56">
        <v>2.2999999999999998</v>
      </c>
      <c r="L2050" s="15">
        <f t="shared" si="181"/>
        <v>0</v>
      </c>
      <c r="M2050" s="16">
        <f t="shared" si="182"/>
        <v>202.53799999999995</v>
      </c>
      <c r="N2050" s="17">
        <f t="shared" si="179"/>
        <v>2.2999999999999998</v>
      </c>
      <c r="O2050" s="17">
        <f t="shared" si="183"/>
        <v>14903.999999999998</v>
      </c>
      <c r="P2050" s="18">
        <f t="shared" si="184"/>
        <v>1312446.2399999998</v>
      </c>
      <c r="R2050" s="66"/>
      <c r="S2050" s="20"/>
      <c r="T2050" s="20"/>
      <c r="U2050" s="20"/>
      <c r="V2050" s="20"/>
      <c r="W2050" s="20"/>
      <c r="X2050" s="20"/>
      <c r="Y2050" s="20"/>
      <c r="Z2050" s="20"/>
      <c r="AA2050" s="20"/>
    </row>
    <row r="2051" spans="1:27" ht="12.75">
      <c r="A2051" s="54"/>
      <c r="B2051" s="10">
        <v>46149</v>
      </c>
      <c r="C2051" s="11">
        <f>VLOOKUP(B:B,'Курс валют'!A:D,4,0)</f>
        <v>88.06</v>
      </c>
      <c r="D2051" s="60" t="s">
        <v>572</v>
      </c>
      <c r="E2051" s="50" t="s">
        <v>573</v>
      </c>
      <c r="F2051" s="58">
        <v>11.59</v>
      </c>
      <c r="G2051" s="52">
        <v>11.59</v>
      </c>
      <c r="H2051" s="56">
        <v>0</v>
      </c>
      <c r="I2051" s="13">
        <f t="shared" si="178"/>
        <v>0</v>
      </c>
      <c r="J2051" s="14">
        <f t="shared" si="180"/>
        <v>0</v>
      </c>
      <c r="K2051" s="56">
        <v>2.0499999999999998</v>
      </c>
      <c r="L2051" s="15">
        <f t="shared" si="181"/>
        <v>0</v>
      </c>
      <c r="M2051" s="16">
        <f t="shared" si="182"/>
        <v>180.52300000000002</v>
      </c>
      <c r="N2051" s="17">
        <f t="shared" si="179"/>
        <v>2.0499999999999998</v>
      </c>
      <c r="O2051" s="17">
        <f t="shared" si="183"/>
        <v>23.759499999999999</v>
      </c>
      <c r="P2051" s="18">
        <f t="shared" si="184"/>
        <v>2092.2615700000001</v>
      </c>
      <c r="R2051" s="66" t="s">
        <v>574</v>
      </c>
      <c r="S2051" s="20"/>
      <c r="T2051" s="20"/>
      <c r="U2051" s="20"/>
      <c r="V2051" s="20"/>
      <c r="W2051" s="20"/>
      <c r="X2051" s="20"/>
      <c r="Y2051" s="20"/>
      <c r="Z2051" s="20"/>
      <c r="AA2051" s="20"/>
    </row>
    <row r="2052" spans="1:27" ht="12.75">
      <c r="A2052" s="54"/>
      <c r="B2052" s="10">
        <v>46150</v>
      </c>
      <c r="C2052" s="11">
        <f>VLOOKUP(B:B,'Курс валют'!A:D,4,0)</f>
        <v>87.889700000000005</v>
      </c>
      <c r="D2052" s="57" t="s">
        <v>575</v>
      </c>
      <c r="E2052" s="50" t="s">
        <v>51</v>
      </c>
      <c r="F2052" s="58">
        <v>800</v>
      </c>
      <c r="G2052" s="52">
        <v>805.14</v>
      </c>
      <c r="H2052" s="56">
        <v>0</v>
      </c>
      <c r="I2052" s="13">
        <f t="shared" si="178"/>
        <v>5.1399999999999864</v>
      </c>
      <c r="J2052" s="14">
        <f t="shared" si="180"/>
        <v>0.64249999999999829</v>
      </c>
      <c r="K2052" s="56">
        <v>1.92</v>
      </c>
      <c r="L2052" s="15">
        <f t="shared" si="181"/>
        <v>0</v>
      </c>
      <c r="M2052" s="16">
        <f t="shared" si="182"/>
        <v>168.74822400000002</v>
      </c>
      <c r="N2052" s="17">
        <f t="shared" si="179"/>
        <v>1.92</v>
      </c>
      <c r="O2052" s="17">
        <f t="shared" si="183"/>
        <v>1536</v>
      </c>
      <c r="P2052" s="18">
        <f t="shared" si="184"/>
        <v>134998.57920000001</v>
      </c>
      <c r="R2052" s="66"/>
      <c r="S2052" s="20"/>
      <c r="T2052" s="20"/>
      <c r="U2052" s="20"/>
      <c r="V2052" s="20"/>
      <c r="W2052" s="20"/>
      <c r="X2052" s="20"/>
      <c r="Y2052" s="20"/>
      <c r="Z2052" s="20"/>
      <c r="AA2052" s="20"/>
    </row>
    <row r="2053" spans="1:27" ht="12.75">
      <c r="A2053" s="54"/>
      <c r="B2053" s="10">
        <v>46150</v>
      </c>
      <c r="C2053" s="11">
        <f>VLOOKUP(B:B,'Курс валют'!A:D,4,0)</f>
        <v>87.889700000000005</v>
      </c>
      <c r="D2053" s="57" t="s">
        <v>576</v>
      </c>
      <c r="E2053" s="50" t="s">
        <v>51</v>
      </c>
      <c r="F2053" s="58">
        <v>800</v>
      </c>
      <c r="G2053" s="52">
        <v>805.14</v>
      </c>
      <c r="H2053" s="56">
        <v>0</v>
      </c>
      <c r="I2053" s="13">
        <f t="shared" si="178"/>
        <v>5.1399999999999864</v>
      </c>
      <c r="J2053" s="14">
        <f t="shared" si="180"/>
        <v>0.64249999999999829</v>
      </c>
      <c r="K2053" s="56">
        <v>1.91</v>
      </c>
      <c r="L2053" s="15">
        <f t="shared" si="181"/>
        <v>0</v>
      </c>
      <c r="M2053" s="16">
        <f t="shared" si="182"/>
        <v>167.869327</v>
      </c>
      <c r="N2053" s="17">
        <f t="shared" si="179"/>
        <v>1.91</v>
      </c>
      <c r="O2053" s="17">
        <f t="shared" si="183"/>
        <v>1528</v>
      </c>
      <c r="P2053" s="18">
        <f t="shared" si="184"/>
        <v>134295.46160000001</v>
      </c>
      <c r="R2053" s="66"/>
      <c r="S2053" s="20"/>
      <c r="T2053" s="20"/>
      <c r="U2053" s="20"/>
      <c r="V2053" s="20"/>
      <c r="W2053" s="20"/>
      <c r="X2053" s="20"/>
      <c r="Y2053" s="20"/>
      <c r="Z2053" s="20"/>
      <c r="AA2053" s="20"/>
    </row>
    <row r="2054" spans="1:27" ht="12.75">
      <c r="A2054" s="54"/>
      <c r="B2054" s="10">
        <v>46150</v>
      </c>
      <c r="C2054" s="11">
        <f>VLOOKUP(B:B,'Курс валют'!A:D,4,0)</f>
        <v>87.889700000000005</v>
      </c>
      <c r="D2054" s="57" t="s">
        <v>577</v>
      </c>
      <c r="E2054" s="50" t="s">
        <v>51</v>
      </c>
      <c r="F2054" s="58">
        <v>800</v>
      </c>
      <c r="G2054" s="52">
        <v>805.14</v>
      </c>
      <c r="H2054" s="56">
        <v>0</v>
      </c>
      <c r="I2054" s="13">
        <f t="shared" si="178"/>
        <v>5.1399999999999864</v>
      </c>
      <c r="J2054" s="14">
        <f t="shared" si="180"/>
        <v>0.64249999999999829</v>
      </c>
      <c r="K2054" s="56">
        <v>1.91</v>
      </c>
      <c r="L2054" s="15">
        <f t="shared" si="181"/>
        <v>0</v>
      </c>
      <c r="M2054" s="16">
        <f t="shared" si="182"/>
        <v>167.869327</v>
      </c>
      <c r="N2054" s="17">
        <f t="shared" si="179"/>
        <v>1.91</v>
      </c>
      <c r="O2054" s="17">
        <f t="shared" si="183"/>
        <v>1528</v>
      </c>
      <c r="P2054" s="18">
        <f t="shared" si="184"/>
        <v>134295.46160000001</v>
      </c>
      <c r="R2054" s="66"/>
      <c r="S2054" s="20"/>
      <c r="T2054" s="20"/>
      <c r="U2054" s="20"/>
      <c r="V2054" s="20"/>
      <c r="W2054" s="20"/>
      <c r="X2054" s="20"/>
      <c r="Y2054" s="20"/>
      <c r="Z2054" s="20"/>
      <c r="AA2054" s="20"/>
    </row>
    <row r="2055" spans="1:27" ht="12.75">
      <c r="A2055" s="54"/>
      <c r="B2055" s="10">
        <v>46150</v>
      </c>
      <c r="C2055" s="11">
        <f>VLOOKUP(B:B,'Курс валют'!A:D,4,0)</f>
        <v>87.889700000000005</v>
      </c>
      <c r="D2055" s="57" t="s">
        <v>578</v>
      </c>
      <c r="E2055" s="50" t="s">
        <v>51</v>
      </c>
      <c r="F2055" s="58">
        <v>800</v>
      </c>
      <c r="G2055" s="52">
        <v>805.14</v>
      </c>
      <c r="H2055" s="56">
        <v>0</v>
      </c>
      <c r="I2055" s="13">
        <f t="shared" si="178"/>
        <v>5.1399999999999864</v>
      </c>
      <c r="J2055" s="14">
        <f t="shared" si="180"/>
        <v>0.64249999999999829</v>
      </c>
      <c r="K2055" s="56">
        <v>1.91</v>
      </c>
      <c r="L2055" s="15">
        <f t="shared" si="181"/>
        <v>0</v>
      </c>
      <c r="M2055" s="16">
        <f t="shared" si="182"/>
        <v>167.869327</v>
      </c>
      <c r="N2055" s="17">
        <f t="shared" si="179"/>
        <v>1.91</v>
      </c>
      <c r="O2055" s="17">
        <f t="shared" si="183"/>
        <v>1528</v>
      </c>
      <c r="P2055" s="18">
        <f t="shared" si="184"/>
        <v>134295.46160000001</v>
      </c>
      <c r="R2055" s="66"/>
      <c r="S2055" s="20"/>
      <c r="T2055" s="20"/>
      <c r="U2055" s="20"/>
      <c r="V2055" s="20"/>
      <c r="W2055" s="20"/>
      <c r="X2055" s="20"/>
      <c r="Y2055" s="20"/>
      <c r="Z2055" s="20"/>
      <c r="AA2055" s="20"/>
    </row>
    <row r="2056" spans="1:27" ht="12.75">
      <c r="A2056" s="54"/>
      <c r="B2056" s="10">
        <v>46150</v>
      </c>
      <c r="C2056" s="11">
        <f>VLOOKUP(B:B,'Курс валют'!A:D,4,0)</f>
        <v>87.889700000000005</v>
      </c>
      <c r="D2056" s="57" t="s">
        <v>579</v>
      </c>
      <c r="E2056" s="50" t="s">
        <v>51</v>
      </c>
      <c r="F2056" s="58">
        <v>800</v>
      </c>
      <c r="G2056" s="52">
        <v>805.14</v>
      </c>
      <c r="H2056" s="56">
        <v>0</v>
      </c>
      <c r="I2056" s="13">
        <f t="shared" si="178"/>
        <v>5.1399999999999864</v>
      </c>
      <c r="J2056" s="14">
        <f t="shared" si="180"/>
        <v>0.64249999999999829</v>
      </c>
      <c r="K2056" s="56">
        <v>1.91</v>
      </c>
      <c r="L2056" s="15">
        <f t="shared" si="181"/>
        <v>0</v>
      </c>
      <c r="M2056" s="16">
        <f t="shared" si="182"/>
        <v>167.869327</v>
      </c>
      <c r="N2056" s="17">
        <f t="shared" si="179"/>
        <v>1.91</v>
      </c>
      <c r="O2056" s="17">
        <f t="shared" si="183"/>
        <v>1528</v>
      </c>
      <c r="P2056" s="18">
        <f t="shared" si="184"/>
        <v>134295.46160000001</v>
      </c>
      <c r="R2056" s="66"/>
      <c r="S2056" s="20"/>
      <c r="T2056" s="20"/>
      <c r="U2056" s="20"/>
      <c r="V2056" s="20"/>
      <c r="W2056" s="20"/>
      <c r="X2056" s="20"/>
      <c r="Y2056" s="20"/>
      <c r="Z2056" s="20"/>
      <c r="AA2056" s="20"/>
    </row>
    <row r="2057" spans="1:27" ht="12.75">
      <c r="A2057" s="54"/>
      <c r="B2057" s="10">
        <v>46150</v>
      </c>
      <c r="C2057" s="11">
        <f>VLOOKUP(B:B,'Курс валют'!A:D,4,0)</f>
        <v>87.889700000000005</v>
      </c>
      <c r="D2057" s="57" t="s">
        <v>580</v>
      </c>
      <c r="E2057" s="50" t="s">
        <v>51</v>
      </c>
      <c r="F2057" s="58">
        <v>800</v>
      </c>
      <c r="G2057" s="52">
        <v>805.14</v>
      </c>
      <c r="H2057" s="56">
        <v>0</v>
      </c>
      <c r="I2057" s="13">
        <f t="shared" si="178"/>
        <v>5.1399999999999864</v>
      </c>
      <c r="J2057" s="14">
        <f t="shared" si="180"/>
        <v>0.64249999999999829</v>
      </c>
      <c r="K2057" s="56">
        <v>1.92</v>
      </c>
      <c r="L2057" s="15">
        <f t="shared" si="181"/>
        <v>0</v>
      </c>
      <c r="M2057" s="16">
        <f t="shared" si="182"/>
        <v>168.74822400000002</v>
      </c>
      <c r="N2057" s="17">
        <f t="shared" si="179"/>
        <v>1.92</v>
      </c>
      <c r="O2057" s="17">
        <f t="shared" si="183"/>
        <v>1536</v>
      </c>
      <c r="P2057" s="18">
        <f t="shared" si="184"/>
        <v>134998.57920000001</v>
      </c>
      <c r="R2057" s="66"/>
      <c r="S2057" s="20"/>
      <c r="T2057" s="20"/>
      <c r="U2057" s="20"/>
      <c r="V2057" s="20"/>
      <c r="W2057" s="20"/>
      <c r="X2057" s="20"/>
      <c r="Y2057" s="20"/>
      <c r="Z2057" s="20"/>
      <c r="AA2057" s="20"/>
    </row>
    <row r="2058" spans="1:27" ht="12.75">
      <c r="A2058" s="54"/>
      <c r="B2058" s="10">
        <v>46150</v>
      </c>
      <c r="C2058" s="11">
        <f>VLOOKUP(B:B,'Курс валют'!A:D,4,0)</f>
        <v>87.889700000000005</v>
      </c>
      <c r="D2058" s="57" t="s">
        <v>581</v>
      </c>
      <c r="E2058" s="50" t="s">
        <v>104</v>
      </c>
      <c r="F2058" s="58">
        <v>2160</v>
      </c>
      <c r="G2058" s="52">
        <v>2187.44</v>
      </c>
      <c r="H2058" s="56">
        <v>0</v>
      </c>
      <c r="I2058" s="13">
        <f t="shared" si="178"/>
        <v>27.440000000000055</v>
      </c>
      <c r="J2058" s="14">
        <f t="shared" si="180"/>
        <v>1.2703703703703728</v>
      </c>
      <c r="K2058" s="56">
        <v>2.63</v>
      </c>
      <c r="L2058" s="15">
        <f t="shared" si="181"/>
        <v>0</v>
      </c>
      <c r="M2058" s="16">
        <f t="shared" si="182"/>
        <v>231.14991100000003</v>
      </c>
      <c r="N2058" s="17">
        <f t="shared" si="179"/>
        <v>2.63</v>
      </c>
      <c r="O2058" s="17">
        <f t="shared" si="183"/>
        <v>5680.8</v>
      </c>
      <c r="P2058" s="18">
        <f t="shared" si="184"/>
        <v>499283.80776000005</v>
      </c>
      <c r="R2058" s="66"/>
      <c r="S2058" s="20"/>
      <c r="T2058" s="20"/>
      <c r="U2058" s="20"/>
      <c r="V2058" s="20"/>
      <c r="W2058" s="20"/>
      <c r="X2058" s="20"/>
      <c r="Y2058" s="20"/>
      <c r="Z2058" s="20"/>
      <c r="AA2058" s="20"/>
    </row>
    <row r="2059" spans="1:27" ht="12.75">
      <c r="A2059" s="54"/>
      <c r="B2059" s="10">
        <v>46150</v>
      </c>
      <c r="C2059" s="11">
        <f>VLOOKUP(B:B,'Курс валют'!A:D,4,0)</f>
        <v>87.889700000000005</v>
      </c>
      <c r="D2059" s="57" t="s">
        <v>582</v>
      </c>
      <c r="E2059" s="55" t="s">
        <v>51</v>
      </c>
      <c r="F2059" s="58">
        <v>800</v>
      </c>
      <c r="G2059" s="52">
        <v>805.14</v>
      </c>
      <c r="H2059" s="56">
        <v>0</v>
      </c>
      <c r="I2059" s="13">
        <f t="shared" si="178"/>
        <v>5.1399999999999864</v>
      </c>
      <c r="J2059" s="14">
        <f t="shared" si="180"/>
        <v>0.64249999999999829</v>
      </c>
      <c r="K2059" s="56">
        <v>1.91</v>
      </c>
      <c r="L2059" s="15">
        <f t="shared" si="181"/>
        <v>0</v>
      </c>
      <c r="M2059" s="16">
        <f t="shared" si="182"/>
        <v>167.869327</v>
      </c>
      <c r="N2059" s="17">
        <f t="shared" si="179"/>
        <v>1.91</v>
      </c>
      <c r="O2059" s="17">
        <f t="shared" si="183"/>
        <v>1528</v>
      </c>
      <c r="P2059" s="18">
        <f t="shared" si="184"/>
        <v>134295.46160000001</v>
      </c>
      <c r="R2059" s="66"/>
      <c r="S2059" s="20"/>
      <c r="T2059" s="20"/>
      <c r="U2059" s="20"/>
      <c r="V2059" s="20"/>
      <c r="W2059" s="20"/>
      <c r="X2059" s="20"/>
      <c r="Y2059" s="20"/>
      <c r="Z2059" s="20"/>
      <c r="AA2059" s="20"/>
    </row>
    <row r="2060" spans="1:27" ht="12.75">
      <c r="A2060" s="54"/>
      <c r="B2060" s="10">
        <v>46150</v>
      </c>
      <c r="C2060" s="11">
        <f>VLOOKUP(B:B,'Курс валют'!A:D,4,0)</f>
        <v>87.889700000000005</v>
      </c>
      <c r="D2060" s="57" t="s">
        <v>583</v>
      </c>
      <c r="E2060" s="55" t="s">
        <v>51</v>
      </c>
      <c r="F2060" s="58">
        <v>800</v>
      </c>
      <c r="G2060" s="52">
        <v>805.14</v>
      </c>
      <c r="H2060" s="56">
        <v>0</v>
      </c>
      <c r="I2060" s="13">
        <f t="shared" si="178"/>
        <v>5.1399999999999864</v>
      </c>
      <c r="J2060" s="14">
        <f t="shared" si="180"/>
        <v>0.64249999999999829</v>
      </c>
      <c r="K2060" s="56">
        <v>1.91</v>
      </c>
      <c r="L2060" s="15">
        <f t="shared" si="181"/>
        <v>0</v>
      </c>
      <c r="M2060" s="16">
        <f t="shared" si="182"/>
        <v>167.869327</v>
      </c>
      <c r="N2060" s="17">
        <f t="shared" si="179"/>
        <v>1.91</v>
      </c>
      <c r="O2060" s="17">
        <f t="shared" si="183"/>
        <v>1528</v>
      </c>
      <c r="P2060" s="18">
        <f t="shared" si="184"/>
        <v>134295.46160000001</v>
      </c>
      <c r="R2060" s="66"/>
      <c r="S2060" s="20"/>
      <c r="T2060" s="20"/>
      <c r="U2060" s="20"/>
      <c r="V2060" s="20"/>
      <c r="W2060" s="20"/>
      <c r="X2060" s="20"/>
      <c r="Y2060" s="20"/>
      <c r="Z2060" s="20"/>
      <c r="AA2060" s="20"/>
    </row>
    <row r="2061" spans="1:27" ht="12.75">
      <c r="A2061" s="54"/>
      <c r="B2061" s="10">
        <v>46150</v>
      </c>
      <c r="C2061" s="11">
        <f>VLOOKUP(B:B,'Курс валют'!A:D,4,0)</f>
        <v>87.889700000000005</v>
      </c>
      <c r="D2061" s="57" t="s">
        <v>584</v>
      </c>
      <c r="E2061" s="55" t="s">
        <v>60</v>
      </c>
      <c r="F2061" s="58">
        <v>2250</v>
      </c>
      <c r="G2061" s="13">
        <v>2293.65</v>
      </c>
      <c r="H2061" s="56">
        <v>0</v>
      </c>
      <c r="I2061" s="13">
        <f t="shared" si="178"/>
        <v>43.650000000000091</v>
      </c>
      <c r="J2061" s="14">
        <f t="shared" si="180"/>
        <v>1.9400000000000039</v>
      </c>
      <c r="K2061" s="56">
        <v>2.0699999999999998</v>
      </c>
      <c r="L2061" s="15">
        <f t="shared" si="181"/>
        <v>0</v>
      </c>
      <c r="M2061" s="16">
        <f t="shared" si="182"/>
        <v>181.931679</v>
      </c>
      <c r="N2061" s="17">
        <f t="shared" si="179"/>
        <v>2.0699999999999998</v>
      </c>
      <c r="O2061" s="17">
        <f t="shared" si="183"/>
        <v>4657.5</v>
      </c>
      <c r="P2061" s="18">
        <f t="shared" si="184"/>
        <v>409346.27775000001</v>
      </c>
      <c r="R2061" s="66"/>
      <c r="S2061" s="20"/>
      <c r="T2061" s="20"/>
      <c r="U2061" s="20"/>
      <c r="V2061" s="20"/>
      <c r="W2061" s="20"/>
      <c r="X2061" s="20"/>
      <c r="Y2061" s="20"/>
      <c r="Z2061" s="20"/>
      <c r="AA2061" s="20"/>
    </row>
    <row r="2062" spans="1:27" ht="12.75">
      <c r="A2062" s="54"/>
      <c r="B2062" s="10">
        <v>46150</v>
      </c>
      <c r="C2062" s="11">
        <f>VLOOKUP(B:B,'Курс валют'!A:D,4,0)</f>
        <v>87.889700000000005</v>
      </c>
      <c r="D2062" s="57" t="s">
        <v>585</v>
      </c>
      <c r="E2062" s="55" t="s">
        <v>51</v>
      </c>
      <c r="F2062" s="58">
        <v>800</v>
      </c>
      <c r="G2062" s="52">
        <v>805.14</v>
      </c>
      <c r="H2062" s="56">
        <v>0</v>
      </c>
      <c r="I2062" s="13">
        <f t="shared" si="178"/>
        <v>5.1399999999999864</v>
      </c>
      <c r="J2062" s="14">
        <f t="shared" si="180"/>
        <v>0.64249999999999829</v>
      </c>
      <c r="K2062" s="56">
        <v>1.91</v>
      </c>
      <c r="L2062" s="15">
        <f t="shared" si="181"/>
        <v>0</v>
      </c>
      <c r="M2062" s="16">
        <f t="shared" si="182"/>
        <v>167.869327</v>
      </c>
      <c r="N2062" s="17">
        <f t="shared" si="179"/>
        <v>1.91</v>
      </c>
      <c r="O2062" s="17">
        <f t="shared" si="183"/>
        <v>1528</v>
      </c>
      <c r="P2062" s="18">
        <f t="shared" si="184"/>
        <v>134295.46160000001</v>
      </c>
      <c r="R2062" s="66"/>
      <c r="S2062" s="20"/>
      <c r="T2062" s="20"/>
      <c r="U2062" s="20"/>
      <c r="V2062" s="20"/>
      <c r="W2062" s="20"/>
      <c r="X2062" s="20"/>
      <c r="Y2062" s="20"/>
      <c r="Z2062" s="20"/>
      <c r="AA2062" s="20"/>
    </row>
    <row r="2063" spans="1:27" ht="12.75">
      <c r="A2063" s="54"/>
      <c r="B2063" s="10">
        <v>46150</v>
      </c>
      <c r="C2063" s="11">
        <f>VLOOKUP(B:B,'Курс валют'!A:D,4,0)</f>
        <v>87.889700000000005</v>
      </c>
      <c r="D2063" s="57" t="s">
        <v>586</v>
      </c>
      <c r="E2063" s="55" t="s">
        <v>51</v>
      </c>
      <c r="F2063" s="58">
        <v>800</v>
      </c>
      <c r="G2063" s="52">
        <v>805.14</v>
      </c>
      <c r="H2063" s="56">
        <v>0</v>
      </c>
      <c r="I2063" s="13">
        <f t="shared" si="178"/>
        <v>5.1399999999999864</v>
      </c>
      <c r="J2063" s="14">
        <f t="shared" si="180"/>
        <v>0.64249999999999829</v>
      </c>
      <c r="K2063" s="56">
        <v>1.92</v>
      </c>
      <c r="L2063" s="15">
        <f t="shared" si="181"/>
        <v>0</v>
      </c>
      <c r="M2063" s="16">
        <f t="shared" si="182"/>
        <v>168.74822400000002</v>
      </c>
      <c r="N2063" s="17">
        <f t="shared" si="179"/>
        <v>1.92</v>
      </c>
      <c r="O2063" s="17">
        <f t="shared" si="183"/>
        <v>1536</v>
      </c>
      <c r="P2063" s="18">
        <f t="shared" si="184"/>
        <v>134998.57920000001</v>
      </c>
      <c r="R2063" s="66"/>
      <c r="S2063" s="20"/>
      <c r="T2063" s="20"/>
      <c r="U2063" s="20"/>
      <c r="V2063" s="20"/>
      <c r="W2063" s="20"/>
      <c r="X2063" s="20"/>
      <c r="Y2063" s="20"/>
      <c r="Z2063" s="20"/>
      <c r="AA2063" s="20"/>
    </row>
    <row r="2064" spans="1:27" ht="12.75">
      <c r="A2064" s="54"/>
      <c r="B2064" s="10">
        <v>46151</v>
      </c>
      <c r="C2064" s="11">
        <f>VLOOKUP(B:B,'Курс валют'!A:D,4,0)</f>
        <v>88.549000000000007</v>
      </c>
      <c r="D2064" s="57" t="s">
        <v>587</v>
      </c>
      <c r="E2064" s="55" t="s">
        <v>95</v>
      </c>
      <c r="F2064" s="58">
        <v>3600</v>
      </c>
      <c r="G2064" s="13">
        <v>3636</v>
      </c>
      <c r="H2064" s="56">
        <v>0</v>
      </c>
      <c r="I2064" s="13">
        <f t="shared" si="178"/>
        <v>36</v>
      </c>
      <c r="J2064" s="14">
        <f t="shared" si="180"/>
        <v>1</v>
      </c>
      <c r="K2064" s="56">
        <v>2.2999999999999998</v>
      </c>
      <c r="L2064" s="15">
        <f t="shared" si="181"/>
        <v>0</v>
      </c>
      <c r="M2064" s="16">
        <f t="shared" si="182"/>
        <v>203.66270000000003</v>
      </c>
      <c r="N2064" s="17">
        <f t="shared" si="179"/>
        <v>2.2999999999999998</v>
      </c>
      <c r="O2064" s="17">
        <f t="shared" si="183"/>
        <v>8280</v>
      </c>
      <c r="P2064" s="18">
        <f t="shared" si="184"/>
        <v>733185.72000000009</v>
      </c>
      <c r="R2064" s="66"/>
      <c r="S2064" s="20"/>
      <c r="T2064" s="20"/>
      <c r="U2064" s="20"/>
      <c r="V2064" s="20"/>
      <c r="W2064" s="20"/>
      <c r="X2064" s="20"/>
      <c r="Y2064" s="20"/>
      <c r="Z2064" s="20"/>
      <c r="AA2064" s="20"/>
    </row>
    <row r="2065" spans="1:27" ht="12.75">
      <c r="A2065" s="54"/>
      <c r="B2065" s="10">
        <v>46151</v>
      </c>
      <c r="C2065" s="11">
        <f>VLOOKUP(B:B,'Курс валют'!A:D,4,0)</f>
        <v>88.549000000000007</v>
      </c>
      <c r="D2065" s="57" t="s">
        <v>588</v>
      </c>
      <c r="E2065" s="55" t="s">
        <v>51</v>
      </c>
      <c r="F2065" s="58">
        <v>800</v>
      </c>
      <c r="G2065" s="13">
        <v>805.14</v>
      </c>
      <c r="H2065" s="56">
        <v>0</v>
      </c>
      <c r="I2065" s="13">
        <f t="shared" si="178"/>
        <v>5.1399999999999864</v>
      </c>
      <c r="J2065" s="14">
        <f t="shared" si="180"/>
        <v>0.64249999999999829</v>
      </c>
      <c r="K2065" s="56">
        <v>1.92</v>
      </c>
      <c r="L2065" s="15">
        <f t="shared" si="181"/>
        <v>0</v>
      </c>
      <c r="M2065" s="16">
        <f t="shared" si="182"/>
        <v>170.01408000000004</v>
      </c>
      <c r="N2065" s="17">
        <f t="shared" si="179"/>
        <v>1.92</v>
      </c>
      <c r="O2065" s="17">
        <f t="shared" si="183"/>
        <v>1536</v>
      </c>
      <c r="P2065" s="18">
        <f t="shared" si="184"/>
        <v>136011.26400000002</v>
      </c>
      <c r="R2065" s="66"/>
      <c r="S2065" s="20"/>
      <c r="T2065" s="20"/>
      <c r="U2065" s="20"/>
      <c r="V2065" s="20"/>
      <c r="W2065" s="20"/>
      <c r="X2065" s="20"/>
      <c r="Y2065" s="20"/>
      <c r="Z2065" s="20"/>
      <c r="AA2065" s="20"/>
    </row>
    <row r="2066" spans="1:27" ht="12.75">
      <c r="A2066" s="54"/>
      <c r="B2066" s="10">
        <v>46151</v>
      </c>
      <c r="C2066" s="11">
        <f>VLOOKUP(B:B,'Курс валют'!A:D,4,0)</f>
        <v>88.549000000000007</v>
      </c>
      <c r="D2066" s="57" t="s">
        <v>589</v>
      </c>
      <c r="E2066" s="55" t="s">
        <v>51</v>
      </c>
      <c r="F2066" s="58">
        <v>800</v>
      </c>
      <c r="G2066" s="13">
        <v>805.14</v>
      </c>
      <c r="H2066" s="56">
        <v>0</v>
      </c>
      <c r="I2066" s="13">
        <f t="shared" si="178"/>
        <v>5.1399999999999864</v>
      </c>
      <c r="J2066" s="14">
        <f t="shared" si="180"/>
        <v>0.64249999999999829</v>
      </c>
      <c r="K2066" s="56">
        <v>1.91</v>
      </c>
      <c r="L2066" s="15">
        <f t="shared" si="181"/>
        <v>0</v>
      </c>
      <c r="M2066" s="16">
        <f t="shared" si="182"/>
        <v>169.12859</v>
      </c>
      <c r="N2066" s="17">
        <f t="shared" si="179"/>
        <v>1.91</v>
      </c>
      <c r="O2066" s="17">
        <f t="shared" si="183"/>
        <v>1528</v>
      </c>
      <c r="P2066" s="18">
        <f t="shared" si="184"/>
        <v>135302.872</v>
      </c>
      <c r="R2066" s="66"/>
      <c r="S2066" s="20"/>
      <c r="T2066" s="20"/>
      <c r="U2066" s="20"/>
      <c r="V2066" s="20"/>
      <c r="W2066" s="20"/>
      <c r="X2066" s="20"/>
      <c r="Y2066" s="20"/>
      <c r="Z2066" s="20"/>
      <c r="AA2066" s="20"/>
    </row>
    <row r="2067" spans="1:27" ht="12.75">
      <c r="A2067" s="54"/>
      <c r="B2067" s="10">
        <v>46151</v>
      </c>
      <c r="C2067" s="11">
        <f>VLOOKUP(B:B,'Курс валют'!A:D,4,0)</f>
        <v>88.549000000000007</v>
      </c>
      <c r="D2067" s="57" t="s">
        <v>590</v>
      </c>
      <c r="E2067" s="55" t="s">
        <v>51</v>
      </c>
      <c r="F2067" s="58">
        <v>800</v>
      </c>
      <c r="G2067" s="13">
        <v>805.14</v>
      </c>
      <c r="H2067" s="56">
        <v>0</v>
      </c>
      <c r="I2067" s="13">
        <f t="shared" si="178"/>
        <v>5.1399999999999864</v>
      </c>
      <c r="J2067" s="14">
        <f t="shared" si="180"/>
        <v>0.64249999999999829</v>
      </c>
      <c r="K2067" s="56">
        <v>1.91</v>
      </c>
      <c r="L2067" s="15">
        <f t="shared" si="181"/>
        <v>0</v>
      </c>
      <c r="M2067" s="16">
        <f t="shared" si="182"/>
        <v>169.12859</v>
      </c>
      <c r="N2067" s="17">
        <f t="shared" si="179"/>
        <v>1.91</v>
      </c>
      <c r="O2067" s="17">
        <f t="shared" si="183"/>
        <v>1528</v>
      </c>
      <c r="P2067" s="18">
        <f t="shared" si="184"/>
        <v>135302.872</v>
      </c>
      <c r="R2067" s="66"/>
      <c r="S2067" s="20"/>
      <c r="T2067" s="20"/>
      <c r="U2067" s="20"/>
      <c r="V2067" s="20"/>
      <c r="W2067" s="20"/>
      <c r="X2067" s="20"/>
      <c r="Y2067" s="20"/>
      <c r="Z2067" s="20"/>
      <c r="AA2067" s="20"/>
    </row>
    <row r="2068" spans="1:27" ht="12.75">
      <c r="A2068" s="54"/>
      <c r="B2068" s="10">
        <v>46151</v>
      </c>
      <c r="C2068" s="11">
        <f>VLOOKUP(B:B,'Курс валют'!A:D,4,0)</f>
        <v>88.549000000000007</v>
      </c>
      <c r="D2068" s="57" t="s">
        <v>591</v>
      </c>
      <c r="E2068" s="55" t="s">
        <v>51</v>
      </c>
      <c r="F2068" s="58">
        <v>800</v>
      </c>
      <c r="G2068" s="13">
        <v>805.14</v>
      </c>
      <c r="H2068" s="56">
        <v>0</v>
      </c>
      <c r="I2068" s="13">
        <f t="shared" si="178"/>
        <v>5.1399999999999864</v>
      </c>
      <c r="J2068" s="14">
        <f t="shared" si="180"/>
        <v>0.64249999999999829</v>
      </c>
      <c r="K2068" s="56">
        <v>1.91</v>
      </c>
      <c r="L2068" s="15">
        <f t="shared" si="181"/>
        <v>0</v>
      </c>
      <c r="M2068" s="16">
        <f t="shared" si="182"/>
        <v>169.12859</v>
      </c>
      <c r="N2068" s="17">
        <f t="shared" si="179"/>
        <v>1.91</v>
      </c>
      <c r="O2068" s="17">
        <f t="shared" si="183"/>
        <v>1528</v>
      </c>
      <c r="P2068" s="18">
        <f t="shared" si="184"/>
        <v>135302.872</v>
      </c>
      <c r="R2068" s="66"/>
      <c r="S2068" s="20"/>
      <c r="T2068" s="20"/>
      <c r="U2068" s="20"/>
      <c r="V2068" s="20"/>
      <c r="W2068" s="20"/>
      <c r="X2068" s="20"/>
      <c r="Y2068" s="20"/>
      <c r="Z2068" s="20"/>
      <c r="AA2068" s="20"/>
    </row>
    <row r="2069" spans="1:27" ht="12.75">
      <c r="A2069" s="54"/>
      <c r="B2069" s="10">
        <v>46151</v>
      </c>
      <c r="C2069" s="11">
        <f>VLOOKUP(B:B,'Курс валют'!A:D,4,0)</f>
        <v>88.549000000000007</v>
      </c>
      <c r="D2069" s="57" t="s">
        <v>592</v>
      </c>
      <c r="E2069" s="55" t="s">
        <v>51</v>
      </c>
      <c r="F2069" s="58">
        <v>800</v>
      </c>
      <c r="G2069" s="13">
        <v>805.14</v>
      </c>
      <c r="H2069" s="56">
        <v>0</v>
      </c>
      <c r="I2069" s="13">
        <f t="shared" si="178"/>
        <v>5.1399999999999864</v>
      </c>
      <c r="J2069" s="14">
        <f t="shared" si="180"/>
        <v>0.64249999999999829</v>
      </c>
      <c r="K2069" s="56">
        <v>1.92</v>
      </c>
      <c r="L2069" s="15">
        <f t="shared" si="181"/>
        <v>0</v>
      </c>
      <c r="M2069" s="16">
        <f t="shared" si="182"/>
        <v>170.01408000000004</v>
      </c>
      <c r="N2069" s="17">
        <f t="shared" si="179"/>
        <v>1.92</v>
      </c>
      <c r="O2069" s="17">
        <f t="shared" si="183"/>
        <v>1536</v>
      </c>
      <c r="P2069" s="18">
        <f t="shared" si="184"/>
        <v>136011.26400000002</v>
      </c>
      <c r="R2069" s="66"/>
      <c r="S2069" s="20"/>
      <c r="T2069" s="20"/>
      <c r="U2069" s="20"/>
      <c r="V2069" s="20"/>
      <c r="W2069" s="20"/>
      <c r="X2069" s="20"/>
      <c r="Y2069" s="20"/>
      <c r="Z2069" s="20"/>
      <c r="AA2069" s="20"/>
    </row>
    <row r="2070" spans="1:27" ht="12.75">
      <c r="A2070" s="54"/>
      <c r="B2070" s="10">
        <v>46151</v>
      </c>
      <c r="C2070" s="11">
        <f>VLOOKUP(B:B,'Курс валют'!A:D,4,0)</f>
        <v>88.549000000000007</v>
      </c>
      <c r="D2070" s="57" t="s">
        <v>593</v>
      </c>
      <c r="E2070" s="55" t="s">
        <v>51</v>
      </c>
      <c r="F2070" s="58">
        <v>800</v>
      </c>
      <c r="G2070" s="13">
        <v>805.14</v>
      </c>
      <c r="H2070" s="56">
        <v>0</v>
      </c>
      <c r="I2070" s="13">
        <f t="shared" si="178"/>
        <v>5.1399999999999864</v>
      </c>
      <c r="J2070" s="14">
        <f t="shared" si="180"/>
        <v>0.64249999999999829</v>
      </c>
      <c r="K2070" s="56">
        <v>1.91</v>
      </c>
      <c r="L2070" s="15">
        <f t="shared" si="181"/>
        <v>0</v>
      </c>
      <c r="M2070" s="16">
        <f t="shared" si="182"/>
        <v>169.12859</v>
      </c>
      <c r="N2070" s="17">
        <f t="shared" si="179"/>
        <v>1.91</v>
      </c>
      <c r="O2070" s="17">
        <f t="shared" si="183"/>
        <v>1528</v>
      </c>
      <c r="P2070" s="18">
        <f t="shared" si="184"/>
        <v>135302.872</v>
      </c>
      <c r="R2070" s="66"/>
      <c r="S2070" s="20"/>
      <c r="T2070" s="20"/>
      <c r="U2070" s="20"/>
      <c r="V2070" s="20"/>
      <c r="W2070" s="20"/>
      <c r="X2070" s="20"/>
      <c r="Y2070" s="20"/>
      <c r="Z2070" s="20"/>
      <c r="AA2070" s="20"/>
    </row>
    <row r="2071" spans="1:27" ht="12.75">
      <c r="A2071" s="54"/>
      <c r="B2071" s="10">
        <v>46151</v>
      </c>
      <c r="C2071" s="11">
        <f>VLOOKUP(B:B,'Курс валют'!A:D,4,0)</f>
        <v>88.549000000000007</v>
      </c>
      <c r="D2071" s="57" t="s">
        <v>594</v>
      </c>
      <c r="E2071" s="55" t="s">
        <v>51</v>
      </c>
      <c r="F2071" s="58">
        <v>800</v>
      </c>
      <c r="G2071" s="13">
        <v>805.14</v>
      </c>
      <c r="H2071" s="56">
        <v>0</v>
      </c>
      <c r="I2071" s="13">
        <f t="shared" si="178"/>
        <v>5.1399999999999864</v>
      </c>
      <c r="J2071" s="14">
        <f t="shared" si="180"/>
        <v>0.64249999999999829</v>
      </c>
      <c r="K2071" s="56">
        <v>1.91</v>
      </c>
      <c r="L2071" s="15">
        <f t="shared" si="181"/>
        <v>0</v>
      </c>
      <c r="M2071" s="16">
        <f t="shared" si="182"/>
        <v>169.12859</v>
      </c>
      <c r="N2071" s="17">
        <f t="shared" si="179"/>
        <v>1.91</v>
      </c>
      <c r="O2071" s="17">
        <f t="shared" si="183"/>
        <v>1528</v>
      </c>
      <c r="P2071" s="18">
        <f t="shared" si="184"/>
        <v>135302.872</v>
      </c>
      <c r="R2071" s="66"/>
      <c r="S2071" s="20"/>
      <c r="T2071" s="20"/>
      <c r="U2071" s="20"/>
      <c r="V2071" s="20"/>
      <c r="W2071" s="20"/>
      <c r="X2071" s="20"/>
      <c r="Y2071" s="20"/>
      <c r="Z2071" s="20"/>
      <c r="AA2071" s="20"/>
    </row>
    <row r="2072" spans="1:27" ht="12.75">
      <c r="A2072" s="54"/>
      <c r="B2072" s="10">
        <v>46151</v>
      </c>
      <c r="C2072" s="11">
        <f>VLOOKUP(B:B,'Курс валют'!A:D,4,0)</f>
        <v>88.549000000000007</v>
      </c>
      <c r="D2072" s="57" t="s">
        <v>595</v>
      </c>
      <c r="E2072" s="55" t="s">
        <v>51</v>
      </c>
      <c r="F2072" s="58">
        <v>800</v>
      </c>
      <c r="G2072" s="13">
        <v>805.14</v>
      </c>
      <c r="H2072" s="56">
        <v>0</v>
      </c>
      <c r="I2072" s="13">
        <f t="shared" si="178"/>
        <v>5.1399999999999864</v>
      </c>
      <c r="J2072" s="14">
        <f t="shared" si="180"/>
        <v>0.64249999999999829</v>
      </c>
      <c r="K2072" s="56">
        <v>1.91</v>
      </c>
      <c r="L2072" s="15">
        <f t="shared" si="181"/>
        <v>0</v>
      </c>
      <c r="M2072" s="16">
        <f t="shared" si="182"/>
        <v>169.12859</v>
      </c>
      <c r="N2072" s="17">
        <f t="shared" si="179"/>
        <v>1.91</v>
      </c>
      <c r="O2072" s="17">
        <f t="shared" si="183"/>
        <v>1528</v>
      </c>
      <c r="P2072" s="18">
        <f t="shared" si="184"/>
        <v>135302.872</v>
      </c>
      <c r="R2072" s="66"/>
      <c r="S2072" s="20"/>
      <c r="T2072" s="20"/>
      <c r="U2072" s="20"/>
      <c r="V2072" s="20"/>
      <c r="W2072" s="20"/>
      <c r="X2072" s="20"/>
      <c r="Y2072" s="20"/>
      <c r="Z2072" s="20"/>
      <c r="AA2072" s="20"/>
    </row>
    <row r="2073" spans="1:27" ht="12.75">
      <c r="A2073" s="54"/>
      <c r="B2073" s="10">
        <v>46151</v>
      </c>
      <c r="C2073" s="11">
        <f>VLOOKUP(B:B,'Курс валют'!A:D,4,0)</f>
        <v>88.549000000000007</v>
      </c>
      <c r="D2073" s="57" t="s">
        <v>596</v>
      </c>
      <c r="E2073" s="55" t="s">
        <v>51</v>
      </c>
      <c r="F2073" s="58">
        <v>800</v>
      </c>
      <c r="G2073" s="13">
        <v>805.14</v>
      </c>
      <c r="H2073" s="56">
        <v>0</v>
      </c>
      <c r="I2073" s="13">
        <f t="shared" si="178"/>
        <v>5.1399999999999864</v>
      </c>
      <c r="J2073" s="14">
        <f t="shared" si="180"/>
        <v>0.64249999999999829</v>
      </c>
      <c r="K2073" s="56">
        <v>1.91</v>
      </c>
      <c r="L2073" s="15">
        <f t="shared" si="181"/>
        <v>0</v>
      </c>
      <c r="M2073" s="16">
        <f t="shared" si="182"/>
        <v>169.12859</v>
      </c>
      <c r="N2073" s="17">
        <f t="shared" si="179"/>
        <v>1.91</v>
      </c>
      <c r="O2073" s="17">
        <f t="shared" si="183"/>
        <v>1528</v>
      </c>
      <c r="P2073" s="18">
        <f t="shared" si="184"/>
        <v>135302.872</v>
      </c>
      <c r="R2073" s="66"/>
      <c r="S2073" s="20"/>
      <c r="T2073" s="20"/>
      <c r="U2073" s="20"/>
      <c r="V2073" s="20"/>
      <c r="W2073" s="20"/>
      <c r="X2073" s="20"/>
      <c r="Y2073" s="20"/>
      <c r="Z2073" s="20"/>
      <c r="AA2073" s="20"/>
    </row>
    <row r="2074" spans="1:27" ht="12.75">
      <c r="A2074" s="54"/>
      <c r="B2074" s="10">
        <v>46151</v>
      </c>
      <c r="C2074" s="11">
        <f>VLOOKUP(B:B,'Курс валют'!A:D,4,0)</f>
        <v>88.549000000000007</v>
      </c>
      <c r="D2074" s="57" t="s">
        <v>597</v>
      </c>
      <c r="E2074" s="55" t="s">
        <v>51</v>
      </c>
      <c r="F2074" s="58">
        <v>800</v>
      </c>
      <c r="G2074" s="13">
        <v>805.14</v>
      </c>
      <c r="H2074" s="56">
        <v>0</v>
      </c>
      <c r="I2074" s="13">
        <f t="shared" si="178"/>
        <v>5.1399999999999864</v>
      </c>
      <c r="J2074" s="14">
        <f t="shared" si="180"/>
        <v>0.64249999999999829</v>
      </c>
      <c r="K2074" s="56">
        <v>1.92</v>
      </c>
      <c r="L2074" s="15">
        <f t="shared" si="181"/>
        <v>0</v>
      </c>
      <c r="M2074" s="16">
        <f t="shared" si="182"/>
        <v>170.01408000000004</v>
      </c>
      <c r="N2074" s="17">
        <f t="shared" si="179"/>
        <v>1.92</v>
      </c>
      <c r="O2074" s="17">
        <f t="shared" si="183"/>
        <v>1536</v>
      </c>
      <c r="P2074" s="18">
        <f t="shared" si="184"/>
        <v>136011.26400000002</v>
      </c>
      <c r="R2074" s="66"/>
      <c r="S2074" s="20"/>
      <c r="T2074" s="20"/>
      <c r="U2074" s="20"/>
      <c r="V2074" s="20"/>
      <c r="W2074" s="20"/>
      <c r="X2074" s="20"/>
      <c r="Y2074" s="20"/>
      <c r="Z2074" s="20"/>
      <c r="AA2074" s="20"/>
    </row>
    <row r="2075" spans="1:27" ht="12.75">
      <c r="A2075" s="54"/>
      <c r="B2075" s="10">
        <v>46152</v>
      </c>
      <c r="C2075" s="11">
        <f>VLOOKUP(B:B,'Курс валют'!A:D,4,0)</f>
        <v>88.549000000000007</v>
      </c>
      <c r="D2075" s="57" t="s">
        <v>598</v>
      </c>
      <c r="E2075" s="55" t="s">
        <v>103</v>
      </c>
      <c r="F2075" s="58">
        <v>800</v>
      </c>
      <c r="G2075" s="13">
        <v>805</v>
      </c>
      <c r="H2075" s="56">
        <v>0</v>
      </c>
      <c r="I2075" s="13">
        <f t="shared" si="178"/>
        <v>5</v>
      </c>
      <c r="J2075" s="14">
        <f t="shared" si="180"/>
        <v>0.625</v>
      </c>
      <c r="K2075" s="56">
        <v>1.84</v>
      </c>
      <c r="L2075" s="15">
        <f t="shared" si="181"/>
        <v>0</v>
      </c>
      <c r="M2075" s="16">
        <f t="shared" si="182"/>
        <v>162.93016</v>
      </c>
      <c r="N2075" s="17">
        <f t="shared" si="179"/>
        <v>1.84</v>
      </c>
      <c r="O2075" s="17">
        <f t="shared" si="183"/>
        <v>1472</v>
      </c>
      <c r="P2075" s="18">
        <f t="shared" si="184"/>
        <v>130344.12800000001</v>
      </c>
      <c r="R2075" s="66"/>
      <c r="S2075" s="20"/>
      <c r="T2075" s="20"/>
      <c r="U2075" s="20"/>
      <c r="V2075" s="20"/>
      <c r="W2075" s="20"/>
      <c r="X2075" s="20"/>
      <c r="Y2075" s="20"/>
      <c r="Z2075" s="20"/>
      <c r="AA2075" s="20"/>
    </row>
    <row r="2076" spans="1:27" ht="12.75">
      <c r="A2076" s="54"/>
      <c r="B2076" s="10">
        <v>46152</v>
      </c>
      <c r="C2076" s="11">
        <f>VLOOKUP(B:B,'Курс валют'!A:D,4,0)</f>
        <v>88.549000000000007</v>
      </c>
      <c r="D2076" s="57" t="s">
        <v>599</v>
      </c>
      <c r="E2076" s="55" t="s">
        <v>103</v>
      </c>
      <c r="F2076" s="58">
        <v>800</v>
      </c>
      <c r="G2076" s="13">
        <v>805</v>
      </c>
      <c r="H2076" s="56">
        <v>0</v>
      </c>
      <c r="I2076" s="13">
        <f t="shared" si="178"/>
        <v>5</v>
      </c>
      <c r="J2076" s="14">
        <f t="shared" si="180"/>
        <v>0.625</v>
      </c>
      <c r="K2076" s="56">
        <v>1.84</v>
      </c>
      <c r="L2076" s="15">
        <f t="shared" si="181"/>
        <v>0</v>
      </c>
      <c r="M2076" s="16">
        <f t="shared" si="182"/>
        <v>162.93016</v>
      </c>
      <c r="N2076" s="17">
        <f t="shared" si="179"/>
        <v>1.84</v>
      </c>
      <c r="O2076" s="17">
        <f t="shared" si="183"/>
        <v>1472</v>
      </c>
      <c r="P2076" s="18">
        <f t="shared" si="184"/>
        <v>130344.12800000001</v>
      </c>
      <c r="R2076" s="66"/>
      <c r="S2076" s="20"/>
      <c r="T2076" s="20"/>
      <c r="U2076" s="20"/>
      <c r="V2076" s="20"/>
      <c r="W2076" s="20"/>
      <c r="X2076" s="20"/>
      <c r="Y2076" s="20"/>
      <c r="Z2076" s="20"/>
      <c r="AA2076" s="20"/>
    </row>
    <row r="2077" spans="1:27" ht="12.75">
      <c r="A2077" s="54"/>
      <c r="B2077" s="10">
        <v>46152</v>
      </c>
      <c r="C2077" s="11">
        <f>VLOOKUP(B:B,'Курс валют'!A:D,4,0)</f>
        <v>88.549000000000007</v>
      </c>
      <c r="D2077" s="57" t="s">
        <v>600</v>
      </c>
      <c r="E2077" s="55" t="s">
        <v>103</v>
      </c>
      <c r="F2077" s="58">
        <v>800</v>
      </c>
      <c r="G2077" s="13">
        <v>805</v>
      </c>
      <c r="H2077" s="56">
        <v>0</v>
      </c>
      <c r="I2077" s="13">
        <f t="shared" si="178"/>
        <v>5</v>
      </c>
      <c r="J2077" s="14">
        <f t="shared" si="180"/>
        <v>0.625</v>
      </c>
      <c r="K2077" s="56">
        <v>1.84</v>
      </c>
      <c r="L2077" s="15">
        <f t="shared" si="181"/>
        <v>0</v>
      </c>
      <c r="M2077" s="16">
        <f t="shared" si="182"/>
        <v>162.93016</v>
      </c>
      <c r="N2077" s="17">
        <f t="shared" si="179"/>
        <v>1.84</v>
      </c>
      <c r="O2077" s="17">
        <f t="shared" si="183"/>
        <v>1472</v>
      </c>
      <c r="P2077" s="18">
        <f t="shared" si="184"/>
        <v>130344.12800000001</v>
      </c>
      <c r="R2077" s="66"/>
      <c r="S2077" s="20"/>
      <c r="T2077" s="20"/>
      <c r="U2077" s="20"/>
      <c r="V2077" s="20"/>
      <c r="W2077" s="20"/>
      <c r="X2077" s="20"/>
      <c r="Y2077" s="20"/>
      <c r="Z2077" s="20"/>
      <c r="AA2077" s="20"/>
    </row>
    <row r="2078" spans="1:27" ht="12.75">
      <c r="A2078" s="54"/>
      <c r="B2078" s="10">
        <v>46152</v>
      </c>
      <c r="C2078" s="11">
        <f>VLOOKUP(B:B,'Курс валют'!A:D,4,0)</f>
        <v>88.549000000000007</v>
      </c>
      <c r="D2078" s="57" t="s">
        <v>601</v>
      </c>
      <c r="E2078" s="55" t="s">
        <v>103</v>
      </c>
      <c r="F2078" s="58">
        <v>800</v>
      </c>
      <c r="G2078" s="13">
        <v>805</v>
      </c>
      <c r="H2078" s="56">
        <v>0</v>
      </c>
      <c r="I2078" s="13">
        <f t="shared" si="178"/>
        <v>5</v>
      </c>
      <c r="J2078" s="14">
        <f t="shared" si="180"/>
        <v>0.625</v>
      </c>
      <c r="K2078" s="56">
        <v>1.84</v>
      </c>
      <c r="L2078" s="15">
        <f t="shared" si="181"/>
        <v>0</v>
      </c>
      <c r="M2078" s="16">
        <f t="shared" si="182"/>
        <v>162.93016</v>
      </c>
      <c r="N2078" s="17">
        <f t="shared" si="179"/>
        <v>1.84</v>
      </c>
      <c r="O2078" s="17">
        <f t="shared" si="183"/>
        <v>1472</v>
      </c>
      <c r="P2078" s="18">
        <f t="shared" si="184"/>
        <v>130344.12800000001</v>
      </c>
      <c r="R2078" s="66"/>
      <c r="S2078" s="20"/>
      <c r="T2078" s="20"/>
      <c r="U2078" s="20"/>
      <c r="V2078" s="20"/>
      <c r="W2078" s="20"/>
      <c r="X2078" s="20"/>
      <c r="Y2078" s="20"/>
      <c r="Z2078" s="20"/>
      <c r="AA2078" s="20"/>
    </row>
    <row r="2079" spans="1:27" ht="12.75">
      <c r="A2079" s="54"/>
      <c r="B2079" s="10">
        <v>46152</v>
      </c>
      <c r="C2079" s="11">
        <f>VLOOKUP(B:B,'Курс валют'!A:D,4,0)</f>
        <v>88.549000000000007</v>
      </c>
      <c r="D2079" s="57" t="s">
        <v>602</v>
      </c>
      <c r="E2079" s="55" t="s">
        <v>103</v>
      </c>
      <c r="F2079" s="58">
        <v>800</v>
      </c>
      <c r="G2079" s="13">
        <v>805</v>
      </c>
      <c r="H2079" s="56">
        <v>0</v>
      </c>
      <c r="I2079" s="13">
        <f t="shared" si="178"/>
        <v>5</v>
      </c>
      <c r="J2079" s="14">
        <f t="shared" si="180"/>
        <v>0.625</v>
      </c>
      <c r="K2079" s="56">
        <v>1.84</v>
      </c>
      <c r="L2079" s="15">
        <f t="shared" si="181"/>
        <v>0</v>
      </c>
      <c r="M2079" s="16">
        <f t="shared" si="182"/>
        <v>162.93016</v>
      </c>
      <c r="N2079" s="17">
        <f t="shared" si="179"/>
        <v>1.84</v>
      </c>
      <c r="O2079" s="17">
        <f t="shared" si="183"/>
        <v>1472</v>
      </c>
      <c r="P2079" s="18">
        <f t="shared" si="184"/>
        <v>130344.12800000001</v>
      </c>
      <c r="R2079" s="19"/>
      <c r="S2079" s="20"/>
      <c r="T2079" s="20"/>
      <c r="U2079" s="20"/>
      <c r="V2079" s="20"/>
      <c r="W2079" s="20"/>
      <c r="X2079" s="20"/>
      <c r="Y2079" s="20"/>
      <c r="Z2079" s="20"/>
      <c r="AA2079" s="20"/>
    </row>
    <row r="2080" spans="1:27" ht="12.75">
      <c r="A2080" s="20"/>
      <c r="B2080" s="10">
        <v>46152</v>
      </c>
      <c r="C2080" s="11">
        <f>VLOOKUP(B:B,'Курс валют'!A:D,4,0)</f>
        <v>88.549000000000007</v>
      </c>
      <c r="D2080" s="57" t="s">
        <v>603</v>
      </c>
      <c r="E2080" s="55" t="s">
        <v>103</v>
      </c>
      <c r="F2080" s="58">
        <v>800</v>
      </c>
      <c r="G2080" s="13">
        <v>805</v>
      </c>
      <c r="H2080" s="56">
        <v>0</v>
      </c>
      <c r="I2080" s="13">
        <f t="shared" si="178"/>
        <v>5</v>
      </c>
      <c r="J2080" s="14">
        <f t="shared" si="180"/>
        <v>0.625</v>
      </c>
      <c r="K2080" s="56">
        <v>1.84</v>
      </c>
      <c r="L2080" s="15">
        <f t="shared" si="181"/>
        <v>0</v>
      </c>
      <c r="M2080" s="16">
        <f t="shared" si="182"/>
        <v>162.93016</v>
      </c>
      <c r="N2080" s="17">
        <f t="shared" si="179"/>
        <v>1.84</v>
      </c>
      <c r="O2080" s="17">
        <f t="shared" si="183"/>
        <v>1472</v>
      </c>
      <c r="P2080" s="18">
        <f t="shared" si="184"/>
        <v>130344.12800000001</v>
      </c>
      <c r="R2080" s="19"/>
      <c r="S2080" s="20"/>
      <c r="T2080" s="20"/>
      <c r="U2080" s="20"/>
      <c r="V2080" s="20"/>
      <c r="W2080" s="20"/>
      <c r="X2080" s="20"/>
      <c r="Y2080" s="20"/>
      <c r="Z2080" s="20"/>
      <c r="AA2080" s="20"/>
    </row>
    <row r="2081" spans="1:27" ht="12.75">
      <c r="A2081" s="20"/>
      <c r="B2081" s="10">
        <v>46152</v>
      </c>
      <c r="C2081" s="11">
        <f>VLOOKUP(B:B,'Курс валют'!A:D,4,0)</f>
        <v>88.549000000000007</v>
      </c>
      <c r="D2081" s="57" t="s">
        <v>604</v>
      </c>
      <c r="E2081" s="55" t="s">
        <v>103</v>
      </c>
      <c r="F2081" s="58">
        <v>800</v>
      </c>
      <c r="G2081" s="13">
        <v>805</v>
      </c>
      <c r="H2081" s="56">
        <v>0</v>
      </c>
      <c r="I2081" s="13">
        <f t="shared" si="178"/>
        <v>5</v>
      </c>
      <c r="J2081" s="14">
        <f t="shared" si="180"/>
        <v>0.625</v>
      </c>
      <c r="K2081" s="56">
        <v>1.84</v>
      </c>
      <c r="L2081" s="15">
        <f t="shared" si="181"/>
        <v>0</v>
      </c>
      <c r="M2081" s="16">
        <f t="shared" si="182"/>
        <v>162.93016</v>
      </c>
      <c r="N2081" s="17">
        <f t="shared" si="179"/>
        <v>1.84</v>
      </c>
      <c r="O2081" s="17">
        <f t="shared" si="183"/>
        <v>1472</v>
      </c>
      <c r="P2081" s="18">
        <f t="shared" si="184"/>
        <v>130344.12800000001</v>
      </c>
      <c r="R2081" s="19"/>
      <c r="S2081" s="20"/>
      <c r="T2081" s="20"/>
      <c r="U2081" s="20"/>
      <c r="V2081" s="20"/>
      <c r="W2081" s="20"/>
      <c r="X2081" s="20"/>
      <c r="Y2081" s="20"/>
      <c r="Z2081" s="20"/>
      <c r="AA2081" s="20"/>
    </row>
    <row r="2082" spans="1:27" ht="12.75">
      <c r="A2082" s="20"/>
      <c r="B2082" s="10">
        <v>46152</v>
      </c>
      <c r="C2082" s="11">
        <f>VLOOKUP(B:B,'Курс валют'!A:D,4,0)</f>
        <v>88.549000000000007</v>
      </c>
      <c r="D2082" s="57" t="s">
        <v>605</v>
      </c>
      <c r="E2082" s="55" t="s">
        <v>103</v>
      </c>
      <c r="F2082" s="58">
        <v>800</v>
      </c>
      <c r="G2082" s="13">
        <v>805</v>
      </c>
      <c r="H2082" s="56">
        <v>0</v>
      </c>
      <c r="I2082" s="13">
        <f t="shared" si="178"/>
        <v>5</v>
      </c>
      <c r="J2082" s="14">
        <f t="shared" si="180"/>
        <v>0.625</v>
      </c>
      <c r="K2082" s="56">
        <v>1.84</v>
      </c>
      <c r="L2082" s="15">
        <f t="shared" si="181"/>
        <v>0</v>
      </c>
      <c r="M2082" s="16">
        <f t="shared" si="182"/>
        <v>162.93016</v>
      </c>
      <c r="N2082" s="17">
        <f t="shared" si="179"/>
        <v>1.84</v>
      </c>
      <c r="O2082" s="17">
        <f t="shared" si="183"/>
        <v>1472</v>
      </c>
      <c r="P2082" s="18">
        <f t="shared" si="184"/>
        <v>130344.12800000001</v>
      </c>
      <c r="R2082" s="20"/>
      <c r="S2082" s="20"/>
      <c r="T2082" s="20"/>
      <c r="U2082" s="20"/>
      <c r="V2082" s="20"/>
      <c r="W2082" s="20"/>
      <c r="X2082" s="20"/>
      <c r="Y2082" s="20"/>
      <c r="Z2082" s="20"/>
      <c r="AA2082" s="20"/>
    </row>
    <row r="2083" spans="1:27" ht="12.75">
      <c r="A2083" s="20"/>
      <c r="B2083" s="10">
        <v>46152</v>
      </c>
      <c r="C2083" s="11">
        <f>VLOOKUP(B:B,'Курс валют'!A:D,4,0)</f>
        <v>88.549000000000007</v>
      </c>
      <c r="D2083" s="57" t="s">
        <v>606</v>
      </c>
      <c r="E2083" s="55" t="s">
        <v>103</v>
      </c>
      <c r="F2083" s="58">
        <v>800</v>
      </c>
      <c r="G2083" s="13">
        <v>805</v>
      </c>
      <c r="H2083" s="56">
        <v>0</v>
      </c>
      <c r="I2083" s="13">
        <f t="shared" si="178"/>
        <v>5</v>
      </c>
      <c r="J2083" s="14">
        <f t="shared" si="180"/>
        <v>0.625</v>
      </c>
      <c r="K2083" s="56">
        <v>1.84</v>
      </c>
      <c r="L2083" s="15">
        <f t="shared" si="181"/>
        <v>0</v>
      </c>
      <c r="M2083" s="16">
        <f t="shared" si="182"/>
        <v>162.93016</v>
      </c>
      <c r="N2083" s="17">
        <f t="shared" si="179"/>
        <v>1.84</v>
      </c>
      <c r="O2083" s="17">
        <f t="shared" si="183"/>
        <v>1472</v>
      </c>
      <c r="P2083" s="18">
        <f t="shared" si="184"/>
        <v>130344.12800000001</v>
      </c>
      <c r="R2083" s="20"/>
      <c r="S2083" s="20"/>
      <c r="T2083" s="20"/>
      <c r="U2083" s="20"/>
      <c r="V2083" s="20"/>
      <c r="W2083" s="20"/>
      <c r="X2083" s="20"/>
      <c r="Y2083" s="20"/>
      <c r="Z2083" s="20"/>
      <c r="AA2083" s="20"/>
    </row>
    <row r="2084" spans="1:27" ht="12.75">
      <c r="A2084" s="20"/>
      <c r="B2084" s="10">
        <v>46152</v>
      </c>
      <c r="C2084" s="11">
        <f>VLOOKUP(B:B,'Курс валют'!A:D,4,0)</f>
        <v>88.549000000000007</v>
      </c>
      <c r="D2084" s="57" t="s">
        <v>607</v>
      </c>
      <c r="E2084" s="55" t="s">
        <v>103</v>
      </c>
      <c r="F2084" s="58">
        <v>800</v>
      </c>
      <c r="G2084" s="13">
        <v>805</v>
      </c>
      <c r="H2084" s="56">
        <v>0</v>
      </c>
      <c r="I2084" s="13">
        <f t="shared" si="178"/>
        <v>5</v>
      </c>
      <c r="J2084" s="14">
        <f t="shared" si="180"/>
        <v>0.625</v>
      </c>
      <c r="K2084" s="56">
        <v>1.84</v>
      </c>
      <c r="L2084" s="15">
        <f t="shared" si="181"/>
        <v>0</v>
      </c>
      <c r="M2084" s="16">
        <f t="shared" si="182"/>
        <v>162.93016</v>
      </c>
      <c r="N2084" s="17">
        <f t="shared" si="179"/>
        <v>1.84</v>
      </c>
      <c r="O2084" s="17">
        <f t="shared" si="183"/>
        <v>1472</v>
      </c>
      <c r="P2084" s="18">
        <f t="shared" si="184"/>
        <v>130344.12800000001</v>
      </c>
      <c r="R2084" s="20"/>
      <c r="S2084" s="20"/>
      <c r="T2084" s="20"/>
      <c r="U2084" s="20"/>
      <c r="V2084" s="20"/>
      <c r="W2084" s="20"/>
      <c r="X2084" s="20"/>
      <c r="Y2084" s="20"/>
      <c r="Z2084" s="20"/>
      <c r="AA2084" s="20"/>
    </row>
    <row r="2085" spans="1:27" ht="12.75">
      <c r="A2085" s="20"/>
      <c r="B2085" s="10">
        <v>46153</v>
      </c>
      <c r="C2085" s="11">
        <f>VLOOKUP(B:B,'Курс валют'!A:D,4,0)</f>
        <v>88.549000000000007</v>
      </c>
      <c r="D2085" s="57" t="s">
        <v>608</v>
      </c>
      <c r="E2085" s="50" t="s">
        <v>54</v>
      </c>
      <c r="F2085" s="58">
        <v>800</v>
      </c>
      <c r="G2085" s="13">
        <v>811.2</v>
      </c>
      <c r="H2085" s="56">
        <v>0</v>
      </c>
      <c r="I2085" s="13">
        <f t="shared" si="178"/>
        <v>11.200000000000045</v>
      </c>
      <c r="J2085" s="14">
        <f t="shared" si="180"/>
        <v>1.4000000000000057</v>
      </c>
      <c r="K2085" s="56">
        <v>2.41</v>
      </c>
      <c r="L2085" s="15">
        <f t="shared" si="181"/>
        <v>0</v>
      </c>
      <c r="M2085" s="16">
        <f t="shared" si="182"/>
        <v>213.40309000000002</v>
      </c>
      <c r="N2085" s="17">
        <f t="shared" si="179"/>
        <v>2.41</v>
      </c>
      <c r="O2085" s="17">
        <f t="shared" si="183"/>
        <v>1928</v>
      </c>
      <c r="P2085" s="18">
        <f t="shared" si="184"/>
        <v>170722.47200000001</v>
      </c>
      <c r="R2085" s="20"/>
      <c r="S2085" s="20"/>
      <c r="T2085" s="20"/>
      <c r="U2085" s="20"/>
      <c r="V2085" s="20"/>
      <c r="W2085" s="20"/>
      <c r="X2085" s="20"/>
      <c r="Y2085" s="20"/>
      <c r="Z2085" s="20"/>
      <c r="AA2085" s="20"/>
    </row>
    <row r="2086" spans="1:27" ht="12.75">
      <c r="A2086" s="20"/>
      <c r="B2086" s="10">
        <v>46153</v>
      </c>
      <c r="C2086" s="11">
        <f>VLOOKUP(B:B,'Курс валют'!A:D,4,0)</f>
        <v>88.549000000000007</v>
      </c>
      <c r="D2086" s="57" t="s">
        <v>609</v>
      </c>
      <c r="E2086" s="50" t="s">
        <v>54</v>
      </c>
      <c r="F2086" s="58">
        <v>800</v>
      </c>
      <c r="G2086" s="13">
        <v>811.2</v>
      </c>
      <c r="H2086" s="56">
        <v>0</v>
      </c>
      <c r="I2086" s="13">
        <f t="shared" si="178"/>
        <v>11.200000000000045</v>
      </c>
      <c r="J2086" s="14">
        <f t="shared" si="180"/>
        <v>1.4000000000000057</v>
      </c>
      <c r="K2086" s="56">
        <v>2.4</v>
      </c>
      <c r="L2086" s="15">
        <f t="shared" si="181"/>
        <v>0</v>
      </c>
      <c r="M2086" s="16">
        <f t="shared" si="182"/>
        <v>212.51760000000002</v>
      </c>
      <c r="N2086" s="17">
        <f t="shared" si="179"/>
        <v>2.4</v>
      </c>
      <c r="O2086" s="17">
        <f t="shared" si="183"/>
        <v>1920</v>
      </c>
      <c r="P2086" s="18">
        <f t="shared" si="184"/>
        <v>170014.08000000002</v>
      </c>
      <c r="R2086" s="20"/>
      <c r="S2086" s="20"/>
      <c r="T2086" s="20"/>
      <c r="U2086" s="20"/>
      <c r="V2086" s="20"/>
      <c r="W2086" s="20"/>
      <c r="X2086" s="20"/>
      <c r="Y2086" s="20"/>
      <c r="Z2086" s="20"/>
      <c r="AA2086" s="20"/>
    </row>
    <row r="2087" spans="1:27" ht="12.75">
      <c r="A2087" s="20"/>
      <c r="B2087" s="10">
        <v>46153</v>
      </c>
      <c r="C2087" s="11">
        <f>VLOOKUP(B:B,'Курс валют'!A:D,4,0)</f>
        <v>88.549000000000007</v>
      </c>
      <c r="D2087" s="57" t="s">
        <v>610</v>
      </c>
      <c r="E2087" s="50" t="s">
        <v>54</v>
      </c>
      <c r="F2087" s="58">
        <v>800</v>
      </c>
      <c r="G2087" s="13">
        <v>811.2</v>
      </c>
      <c r="H2087" s="56">
        <v>0</v>
      </c>
      <c r="I2087" s="13">
        <f t="shared" si="178"/>
        <v>11.200000000000045</v>
      </c>
      <c r="J2087" s="14">
        <f t="shared" si="180"/>
        <v>1.4000000000000057</v>
      </c>
      <c r="K2087" s="56">
        <v>2.4300000000000002</v>
      </c>
      <c r="L2087" s="15">
        <f t="shared" si="181"/>
        <v>0</v>
      </c>
      <c r="M2087" s="16">
        <f t="shared" si="182"/>
        <v>215.17407000000003</v>
      </c>
      <c r="N2087" s="17">
        <f t="shared" si="179"/>
        <v>2.4300000000000002</v>
      </c>
      <c r="O2087" s="17">
        <f t="shared" si="183"/>
        <v>1944.0000000000002</v>
      </c>
      <c r="P2087" s="18">
        <f t="shared" si="184"/>
        <v>172139.25600000002</v>
      </c>
      <c r="R2087" s="20"/>
      <c r="S2087" s="20"/>
      <c r="T2087" s="20"/>
      <c r="U2087" s="20"/>
      <c r="V2087" s="20"/>
      <c r="W2087" s="20"/>
      <c r="X2087" s="20"/>
      <c r="Y2087" s="20"/>
      <c r="Z2087" s="20"/>
      <c r="AA2087" s="20"/>
    </row>
    <row r="2088" spans="1:27" ht="12.75">
      <c r="A2088" s="20"/>
      <c r="B2088" s="10">
        <v>46153</v>
      </c>
      <c r="C2088" s="11">
        <f>VLOOKUP(B:B,'Курс валют'!A:D,4,0)</f>
        <v>88.549000000000007</v>
      </c>
      <c r="D2088" s="57" t="s">
        <v>611</v>
      </c>
      <c r="E2088" s="50" t="s">
        <v>54</v>
      </c>
      <c r="F2088" s="58">
        <v>800</v>
      </c>
      <c r="G2088" s="13">
        <v>811.2</v>
      </c>
      <c r="H2088" s="56">
        <v>0</v>
      </c>
      <c r="I2088" s="13">
        <f t="shared" si="178"/>
        <v>11.200000000000045</v>
      </c>
      <c r="J2088" s="14">
        <f t="shared" si="180"/>
        <v>1.4000000000000057</v>
      </c>
      <c r="K2088" s="56">
        <v>2.46</v>
      </c>
      <c r="L2088" s="15">
        <f t="shared" si="181"/>
        <v>0</v>
      </c>
      <c r="M2088" s="16">
        <f t="shared" si="182"/>
        <v>217.83054000000001</v>
      </c>
      <c r="N2088" s="17">
        <f t="shared" si="179"/>
        <v>2.46</v>
      </c>
      <c r="O2088" s="17">
        <f t="shared" si="183"/>
        <v>1968</v>
      </c>
      <c r="P2088" s="18">
        <f t="shared" si="184"/>
        <v>174264.432</v>
      </c>
      <c r="R2088" s="20"/>
      <c r="S2088" s="20"/>
      <c r="T2088" s="20"/>
      <c r="U2088" s="20"/>
      <c r="V2088" s="20"/>
      <c r="W2088" s="20"/>
      <c r="X2088" s="20"/>
      <c r="Y2088" s="20"/>
      <c r="Z2088" s="20"/>
      <c r="AA2088" s="20"/>
    </row>
    <row r="2089" spans="1:27" ht="12.75">
      <c r="A2089" s="20"/>
      <c r="B2089" s="10">
        <v>46154</v>
      </c>
      <c r="C2089" s="11">
        <f>VLOOKUP(B:B,'Курс валют'!A:D,4,0)</f>
        <v>88.549000000000007</v>
      </c>
      <c r="D2089" s="57" t="s">
        <v>612</v>
      </c>
      <c r="E2089" s="50" t="s">
        <v>58</v>
      </c>
      <c r="F2089" s="58">
        <v>1100</v>
      </c>
      <c r="G2089" s="13">
        <v>1108.01</v>
      </c>
      <c r="H2089" s="56">
        <v>0</v>
      </c>
      <c r="I2089" s="13">
        <f t="shared" si="178"/>
        <v>8.0099999999999909</v>
      </c>
      <c r="J2089" s="14">
        <f t="shared" si="180"/>
        <v>0.72818181818181726</v>
      </c>
      <c r="K2089" s="56">
        <v>2.42</v>
      </c>
      <c r="L2089" s="15">
        <f t="shared" si="181"/>
        <v>0</v>
      </c>
      <c r="M2089" s="16">
        <f t="shared" si="182"/>
        <v>214.28858000000002</v>
      </c>
      <c r="N2089" s="17">
        <f t="shared" si="179"/>
        <v>2.42</v>
      </c>
      <c r="O2089" s="17">
        <f t="shared" si="183"/>
        <v>2662</v>
      </c>
      <c r="P2089" s="18">
        <f t="shared" si="184"/>
        <v>235717.43800000002</v>
      </c>
      <c r="R2089" s="19"/>
      <c r="S2089" s="20"/>
      <c r="T2089" s="20"/>
      <c r="U2089" s="20"/>
      <c r="V2089" s="20"/>
      <c r="W2089" s="20"/>
      <c r="X2089" s="20"/>
      <c r="Y2089" s="20"/>
      <c r="Z2089" s="20"/>
      <c r="AA2089" s="20"/>
    </row>
    <row r="2090" spans="1:27" ht="12.75">
      <c r="A2090" s="20"/>
      <c r="B2090" s="10">
        <v>46154</v>
      </c>
      <c r="C2090" s="11">
        <f>VLOOKUP(B:B,'Курс валют'!A:D,4,0)</f>
        <v>88.549000000000007</v>
      </c>
      <c r="D2090" s="57" t="s">
        <v>613</v>
      </c>
      <c r="E2090" s="50" t="s">
        <v>58</v>
      </c>
      <c r="F2090" s="58">
        <v>1100</v>
      </c>
      <c r="G2090" s="13">
        <v>1108.01</v>
      </c>
      <c r="H2090" s="56">
        <v>0</v>
      </c>
      <c r="I2090" s="13">
        <f t="shared" si="178"/>
        <v>8.0099999999999909</v>
      </c>
      <c r="J2090" s="14">
        <f t="shared" si="180"/>
        <v>0.72818181818181726</v>
      </c>
      <c r="K2090" s="56">
        <v>2.41</v>
      </c>
      <c r="L2090" s="15">
        <f t="shared" si="181"/>
        <v>0</v>
      </c>
      <c r="M2090" s="16">
        <f t="shared" si="182"/>
        <v>213.40308999999999</v>
      </c>
      <c r="N2090" s="17">
        <f t="shared" si="179"/>
        <v>2.41</v>
      </c>
      <c r="O2090" s="17">
        <f t="shared" si="183"/>
        <v>2651</v>
      </c>
      <c r="P2090" s="18">
        <f t="shared" si="184"/>
        <v>234743.399</v>
      </c>
      <c r="R2090" s="19"/>
      <c r="S2090" s="20"/>
      <c r="T2090" s="20"/>
      <c r="U2090" s="20"/>
      <c r="V2090" s="20"/>
      <c r="W2090" s="20"/>
      <c r="X2090" s="20"/>
      <c r="Y2090" s="20"/>
      <c r="Z2090" s="20"/>
      <c r="AA2090" s="20"/>
    </row>
    <row r="2091" spans="1:27" ht="12.75">
      <c r="A2091" s="20"/>
      <c r="B2091" s="10">
        <v>46154</v>
      </c>
      <c r="C2091" s="11">
        <f>VLOOKUP(B:B,'Курс валют'!A:D,4,0)</f>
        <v>88.549000000000007</v>
      </c>
      <c r="D2091" s="57" t="s">
        <v>614</v>
      </c>
      <c r="E2091" s="50" t="s">
        <v>58</v>
      </c>
      <c r="F2091" s="58">
        <v>1100</v>
      </c>
      <c r="G2091" s="13">
        <v>1108.01</v>
      </c>
      <c r="H2091" s="56">
        <v>0</v>
      </c>
      <c r="I2091" s="13">
        <f t="shared" si="178"/>
        <v>8.0099999999999909</v>
      </c>
      <c r="J2091" s="14">
        <f t="shared" si="180"/>
        <v>0.72818181818181726</v>
      </c>
      <c r="K2091" s="56">
        <v>2.41</v>
      </c>
      <c r="L2091" s="15">
        <f t="shared" si="181"/>
        <v>0</v>
      </c>
      <c r="M2091" s="16">
        <f t="shared" si="182"/>
        <v>213.40308999999999</v>
      </c>
      <c r="N2091" s="17">
        <f t="shared" si="179"/>
        <v>2.41</v>
      </c>
      <c r="O2091" s="17">
        <f t="shared" si="183"/>
        <v>2651</v>
      </c>
      <c r="P2091" s="18">
        <f t="shared" si="184"/>
        <v>234743.399</v>
      </c>
      <c r="R2091" s="20"/>
      <c r="S2091" s="20"/>
      <c r="T2091" s="20"/>
      <c r="U2091" s="20"/>
      <c r="V2091" s="20"/>
      <c r="W2091" s="20"/>
      <c r="X2091" s="20"/>
      <c r="Y2091" s="20"/>
      <c r="Z2091" s="20"/>
      <c r="AA2091" s="20"/>
    </row>
    <row r="2092" spans="1:27" ht="12.75">
      <c r="A2092" s="20"/>
      <c r="B2092" s="10">
        <v>46154</v>
      </c>
      <c r="C2092" s="11">
        <f>VLOOKUP(B:B,'Курс валют'!A:D,4,0)</f>
        <v>88.549000000000007</v>
      </c>
      <c r="D2092" s="57" t="s">
        <v>615</v>
      </c>
      <c r="E2092" s="50" t="s">
        <v>58</v>
      </c>
      <c r="F2092" s="58">
        <v>1100</v>
      </c>
      <c r="G2092" s="13">
        <v>1108.01</v>
      </c>
      <c r="H2092" s="56">
        <v>0</v>
      </c>
      <c r="I2092" s="13">
        <f t="shared" si="178"/>
        <v>8.0099999999999909</v>
      </c>
      <c r="J2092" s="14">
        <f t="shared" si="180"/>
        <v>0.72818181818181726</v>
      </c>
      <c r="K2092" s="56">
        <v>2.41</v>
      </c>
      <c r="L2092" s="15">
        <f t="shared" si="181"/>
        <v>0</v>
      </c>
      <c r="M2092" s="16">
        <f t="shared" si="182"/>
        <v>213.40308999999999</v>
      </c>
      <c r="N2092" s="17">
        <f t="shared" si="179"/>
        <v>2.41</v>
      </c>
      <c r="O2092" s="17">
        <f t="shared" si="183"/>
        <v>2651</v>
      </c>
      <c r="P2092" s="18">
        <f t="shared" si="184"/>
        <v>234743.399</v>
      </c>
      <c r="R2092" s="20"/>
      <c r="S2092" s="20"/>
      <c r="T2092" s="20"/>
      <c r="U2092" s="20"/>
      <c r="V2092" s="20"/>
      <c r="W2092" s="20"/>
      <c r="X2092" s="20"/>
      <c r="Y2092" s="20"/>
      <c r="Z2092" s="20"/>
      <c r="AA2092" s="20"/>
    </row>
    <row r="2093" spans="1:27" ht="12.75">
      <c r="A2093" s="20"/>
      <c r="B2093" s="10">
        <v>46154</v>
      </c>
      <c r="C2093" s="11">
        <f>VLOOKUP(B:B,'Курс валют'!A:D,4,0)</f>
        <v>88.549000000000007</v>
      </c>
      <c r="D2093" s="57" t="s">
        <v>616</v>
      </c>
      <c r="E2093" s="50" t="s">
        <v>58</v>
      </c>
      <c r="F2093" s="58">
        <v>1100</v>
      </c>
      <c r="G2093" s="13">
        <v>1108.01</v>
      </c>
      <c r="H2093" s="56">
        <v>0</v>
      </c>
      <c r="I2093" s="13">
        <f t="shared" si="178"/>
        <v>8.0099999999999909</v>
      </c>
      <c r="J2093" s="14">
        <f t="shared" si="180"/>
        <v>0.72818181818181726</v>
      </c>
      <c r="K2093" s="56">
        <v>2.41</v>
      </c>
      <c r="L2093" s="15">
        <f t="shared" si="181"/>
        <v>0</v>
      </c>
      <c r="M2093" s="16">
        <f t="shared" si="182"/>
        <v>213.40308999999999</v>
      </c>
      <c r="N2093" s="17">
        <f t="shared" si="179"/>
        <v>2.41</v>
      </c>
      <c r="O2093" s="17">
        <f t="shared" si="183"/>
        <v>2651</v>
      </c>
      <c r="P2093" s="18">
        <f t="shared" si="184"/>
        <v>234743.399</v>
      </c>
      <c r="R2093" s="20"/>
      <c r="S2093" s="20"/>
      <c r="T2093" s="20"/>
      <c r="U2093" s="20"/>
      <c r="V2093" s="20"/>
      <c r="W2093" s="20"/>
      <c r="X2093" s="20"/>
      <c r="Y2093" s="20"/>
      <c r="Z2093" s="20"/>
      <c r="AA2093" s="20"/>
    </row>
    <row r="2094" spans="1:27" ht="12.75">
      <c r="A2094" s="20"/>
      <c r="B2094" s="10">
        <v>46154</v>
      </c>
      <c r="C2094" s="11">
        <f>VLOOKUP(B:B,'Курс валют'!A:D,4,0)</f>
        <v>88.549000000000007</v>
      </c>
      <c r="D2094" s="57" t="s">
        <v>617</v>
      </c>
      <c r="E2094" s="50" t="s">
        <v>58</v>
      </c>
      <c r="F2094" s="58">
        <v>1100</v>
      </c>
      <c r="G2094" s="13">
        <v>1108.01</v>
      </c>
      <c r="H2094" s="56">
        <v>0</v>
      </c>
      <c r="I2094" s="13">
        <f t="shared" si="178"/>
        <v>8.0099999999999909</v>
      </c>
      <c r="J2094" s="14">
        <f t="shared" si="180"/>
        <v>0.72818181818181726</v>
      </c>
      <c r="K2094" s="56">
        <v>2.41</v>
      </c>
      <c r="L2094" s="15">
        <f t="shared" si="181"/>
        <v>0</v>
      </c>
      <c r="M2094" s="16">
        <f t="shared" si="182"/>
        <v>213.40308999999999</v>
      </c>
      <c r="N2094" s="17">
        <f t="shared" si="179"/>
        <v>2.41</v>
      </c>
      <c r="O2094" s="17">
        <f t="shared" si="183"/>
        <v>2651</v>
      </c>
      <c r="P2094" s="18">
        <f t="shared" si="184"/>
        <v>234743.399</v>
      </c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</row>
    <row r="2095" spans="1:27" ht="12.75">
      <c r="A2095" s="20"/>
      <c r="B2095" s="10">
        <v>46154</v>
      </c>
      <c r="C2095" s="11">
        <f>VLOOKUP(B:B,'Курс валют'!A:D,4,0)</f>
        <v>88.549000000000007</v>
      </c>
      <c r="D2095" s="57" t="s">
        <v>618</v>
      </c>
      <c r="E2095" s="50" t="s">
        <v>58</v>
      </c>
      <c r="F2095" s="58">
        <v>1100</v>
      </c>
      <c r="G2095" s="13">
        <v>1108.01</v>
      </c>
      <c r="H2095" s="56">
        <v>0</v>
      </c>
      <c r="I2095" s="13">
        <f t="shared" si="178"/>
        <v>8.0099999999999909</v>
      </c>
      <c r="J2095" s="14">
        <f t="shared" si="180"/>
        <v>0.72818181818181726</v>
      </c>
      <c r="K2095" s="56">
        <v>2.41</v>
      </c>
      <c r="L2095" s="15">
        <f t="shared" si="181"/>
        <v>0</v>
      </c>
      <c r="M2095" s="16">
        <f t="shared" si="182"/>
        <v>213.40308999999999</v>
      </c>
      <c r="N2095" s="17">
        <f t="shared" si="179"/>
        <v>2.41</v>
      </c>
      <c r="O2095" s="17">
        <f t="shared" si="183"/>
        <v>2651</v>
      </c>
      <c r="P2095" s="18">
        <f t="shared" si="184"/>
        <v>234743.399</v>
      </c>
      <c r="R2095" s="20"/>
      <c r="S2095" s="20"/>
      <c r="T2095" s="20"/>
      <c r="U2095" s="20"/>
      <c r="V2095" s="20"/>
      <c r="W2095" s="20"/>
      <c r="X2095" s="20"/>
      <c r="Y2095" s="20"/>
      <c r="Z2095" s="20"/>
      <c r="AA2095" s="20"/>
    </row>
    <row r="2096" spans="1:27" ht="12.75">
      <c r="A2096" s="20"/>
      <c r="B2096" s="10">
        <v>46154</v>
      </c>
      <c r="C2096" s="11">
        <f>VLOOKUP(B:B,'Курс валют'!A:D,4,0)</f>
        <v>88.549000000000007</v>
      </c>
      <c r="D2096" s="57" t="s">
        <v>619</v>
      </c>
      <c r="E2096" s="50" t="s">
        <v>58</v>
      </c>
      <c r="F2096" s="58">
        <v>1100</v>
      </c>
      <c r="G2096" s="13">
        <v>1108.01</v>
      </c>
      <c r="H2096" s="56">
        <v>0</v>
      </c>
      <c r="I2096" s="13">
        <f t="shared" si="178"/>
        <v>8.0099999999999909</v>
      </c>
      <c r="J2096" s="14">
        <f t="shared" si="180"/>
        <v>0.72818181818181726</v>
      </c>
      <c r="K2096" s="56">
        <v>2.42</v>
      </c>
      <c r="L2096" s="15">
        <f t="shared" si="181"/>
        <v>0</v>
      </c>
      <c r="M2096" s="16">
        <f t="shared" si="182"/>
        <v>214.28858000000002</v>
      </c>
      <c r="N2096" s="17">
        <f t="shared" si="179"/>
        <v>2.42</v>
      </c>
      <c r="O2096" s="17">
        <f t="shared" si="183"/>
        <v>2662</v>
      </c>
      <c r="P2096" s="18">
        <f t="shared" si="184"/>
        <v>235717.43800000002</v>
      </c>
      <c r="R2096" s="20"/>
      <c r="S2096" s="20"/>
      <c r="T2096" s="20"/>
      <c r="U2096" s="20"/>
      <c r="V2096" s="20"/>
      <c r="W2096" s="20"/>
      <c r="X2096" s="20"/>
      <c r="Y2096" s="20"/>
      <c r="Z2096" s="20"/>
      <c r="AA2096" s="20"/>
    </row>
    <row r="2097" spans="1:27" ht="12.75">
      <c r="A2097" s="20"/>
      <c r="B2097" s="10">
        <v>46155</v>
      </c>
      <c r="C2097" s="11">
        <f>VLOOKUP(B:B,'Курс валют'!A:D,4,0)</f>
        <v>87.379099999999994</v>
      </c>
      <c r="D2097" s="57" t="s">
        <v>620</v>
      </c>
      <c r="E2097" s="50" t="s">
        <v>58</v>
      </c>
      <c r="F2097" s="58">
        <v>1100</v>
      </c>
      <c r="G2097" s="13">
        <v>1108.01</v>
      </c>
      <c r="H2097" s="56">
        <v>0</v>
      </c>
      <c r="I2097" s="13">
        <f t="shared" si="178"/>
        <v>8.0099999999999909</v>
      </c>
      <c r="J2097" s="14">
        <f t="shared" si="180"/>
        <v>0.72818181818181726</v>
      </c>
      <c r="K2097" s="56">
        <v>2.42</v>
      </c>
      <c r="L2097" s="15">
        <f t="shared" si="181"/>
        <v>0</v>
      </c>
      <c r="M2097" s="16">
        <f t="shared" si="182"/>
        <v>211.45742199999998</v>
      </c>
      <c r="N2097" s="17">
        <f t="shared" si="179"/>
        <v>2.42</v>
      </c>
      <c r="O2097" s="17">
        <f t="shared" si="183"/>
        <v>2662</v>
      </c>
      <c r="P2097" s="18">
        <f t="shared" si="184"/>
        <v>232603.16419999997</v>
      </c>
      <c r="R2097" s="20"/>
      <c r="S2097" s="20"/>
      <c r="T2097" s="20"/>
      <c r="U2097" s="20"/>
      <c r="V2097" s="20"/>
      <c r="W2097" s="20"/>
      <c r="X2097" s="20"/>
      <c r="Y2097" s="20"/>
      <c r="Z2097" s="20"/>
      <c r="AA2097" s="20"/>
    </row>
    <row r="2098" spans="1:27" ht="12.75">
      <c r="A2098" s="20"/>
      <c r="B2098" s="10">
        <v>46155</v>
      </c>
      <c r="C2098" s="11">
        <f>VLOOKUP(B:B,'Курс валют'!A:D,4,0)</f>
        <v>87.379099999999994</v>
      </c>
      <c r="D2098" s="57" t="s">
        <v>621</v>
      </c>
      <c r="E2098" s="50" t="s">
        <v>58</v>
      </c>
      <c r="F2098" s="58">
        <v>1100</v>
      </c>
      <c r="G2098" s="13">
        <v>1108.01</v>
      </c>
      <c r="H2098" s="56">
        <v>0</v>
      </c>
      <c r="I2098" s="13">
        <f t="shared" si="178"/>
        <v>8.0099999999999909</v>
      </c>
      <c r="J2098" s="14">
        <f t="shared" si="180"/>
        <v>0.72818181818181726</v>
      </c>
      <c r="K2098" s="56">
        <v>2.42</v>
      </c>
      <c r="L2098" s="15">
        <f t="shared" si="181"/>
        <v>0</v>
      </c>
      <c r="M2098" s="16">
        <f t="shared" si="182"/>
        <v>211.45742199999998</v>
      </c>
      <c r="N2098" s="17">
        <f t="shared" si="179"/>
        <v>2.42</v>
      </c>
      <c r="O2098" s="17">
        <f t="shared" si="183"/>
        <v>2662</v>
      </c>
      <c r="P2098" s="18">
        <f t="shared" si="184"/>
        <v>232603.16419999997</v>
      </c>
      <c r="R2098" s="20"/>
      <c r="S2098" s="20"/>
      <c r="T2098" s="20"/>
      <c r="U2098" s="20"/>
      <c r="V2098" s="20"/>
      <c r="W2098" s="20"/>
      <c r="X2098" s="20"/>
      <c r="Y2098" s="20"/>
      <c r="Z2098" s="20"/>
      <c r="AA2098" s="20"/>
    </row>
    <row r="2099" spans="1:27" ht="12.75">
      <c r="A2099" s="20"/>
      <c r="B2099" s="10">
        <v>46155</v>
      </c>
      <c r="C2099" s="11">
        <f>VLOOKUP(B:B,'Курс валют'!A:D,4,0)</f>
        <v>87.379099999999994</v>
      </c>
      <c r="D2099" s="57" t="s">
        <v>622</v>
      </c>
      <c r="E2099" s="50" t="s">
        <v>58</v>
      </c>
      <c r="F2099" s="58">
        <v>1100</v>
      </c>
      <c r="G2099" s="13">
        <v>1108.01</v>
      </c>
      <c r="H2099" s="56">
        <v>0</v>
      </c>
      <c r="I2099" s="13">
        <f t="shared" si="178"/>
        <v>8.0099999999999909</v>
      </c>
      <c r="J2099" s="14">
        <f t="shared" si="180"/>
        <v>0.72818181818181726</v>
      </c>
      <c r="K2099" s="56">
        <v>2.42</v>
      </c>
      <c r="L2099" s="15">
        <f t="shared" si="181"/>
        <v>0</v>
      </c>
      <c r="M2099" s="16">
        <f t="shared" si="182"/>
        <v>211.45742199999998</v>
      </c>
      <c r="N2099" s="17">
        <f t="shared" si="179"/>
        <v>2.42</v>
      </c>
      <c r="O2099" s="17">
        <f t="shared" si="183"/>
        <v>2662</v>
      </c>
      <c r="P2099" s="18">
        <f t="shared" si="184"/>
        <v>232603.16419999997</v>
      </c>
      <c r="R2099" s="20"/>
      <c r="S2099" s="20"/>
      <c r="T2099" s="20"/>
      <c r="U2099" s="20"/>
      <c r="V2099" s="20"/>
      <c r="W2099" s="20"/>
      <c r="X2099" s="20"/>
      <c r="Y2099" s="20"/>
      <c r="Z2099" s="20"/>
      <c r="AA2099" s="20"/>
    </row>
    <row r="2100" spans="1:27" ht="12.75">
      <c r="A2100" s="20"/>
      <c r="B2100" s="10">
        <v>46155</v>
      </c>
      <c r="C2100" s="11">
        <f>VLOOKUP(B:B,'Курс валют'!A:D,4,0)</f>
        <v>87.379099999999994</v>
      </c>
      <c r="D2100" s="57" t="s">
        <v>623</v>
      </c>
      <c r="E2100" s="50" t="s">
        <v>58</v>
      </c>
      <c r="F2100" s="58">
        <v>1100</v>
      </c>
      <c r="G2100" s="13">
        <v>1108.01</v>
      </c>
      <c r="H2100" s="56">
        <v>0</v>
      </c>
      <c r="I2100" s="13">
        <f t="shared" si="178"/>
        <v>8.0099999999999909</v>
      </c>
      <c r="J2100" s="14">
        <f t="shared" si="180"/>
        <v>0.72818181818181726</v>
      </c>
      <c r="K2100" s="56">
        <v>2.42</v>
      </c>
      <c r="L2100" s="15">
        <f t="shared" si="181"/>
        <v>0</v>
      </c>
      <c r="M2100" s="16">
        <f t="shared" si="182"/>
        <v>211.45742199999998</v>
      </c>
      <c r="N2100" s="17">
        <f t="shared" si="179"/>
        <v>2.42</v>
      </c>
      <c r="O2100" s="17">
        <f t="shared" si="183"/>
        <v>2662</v>
      </c>
      <c r="P2100" s="18">
        <f t="shared" si="184"/>
        <v>232603.16419999997</v>
      </c>
      <c r="R2100" s="20"/>
      <c r="S2100" s="20"/>
      <c r="T2100" s="20"/>
      <c r="U2100" s="20"/>
      <c r="V2100" s="20"/>
      <c r="W2100" s="20"/>
      <c r="X2100" s="20"/>
      <c r="Y2100" s="20"/>
      <c r="Z2100" s="20"/>
      <c r="AA2100" s="20"/>
    </row>
    <row r="2101" spans="1:27" ht="12.75">
      <c r="A2101" s="20"/>
      <c r="B2101" s="10">
        <v>46155</v>
      </c>
      <c r="C2101" s="11">
        <f>VLOOKUP(B:B,'Курс валют'!A:D,4,0)</f>
        <v>87.379099999999994</v>
      </c>
      <c r="D2101" s="57" t="s">
        <v>624</v>
      </c>
      <c r="E2101" s="50" t="s">
        <v>58</v>
      </c>
      <c r="F2101" s="58">
        <v>1100</v>
      </c>
      <c r="G2101" s="13">
        <v>1108.01</v>
      </c>
      <c r="H2101" s="56">
        <v>0</v>
      </c>
      <c r="I2101" s="13">
        <f t="shared" si="178"/>
        <v>8.0099999999999909</v>
      </c>
      <c r="J2101" s="14">
        <f t="shared" si="180"/>
        <v>0.72818181818181726</v>
      </c>
      <c r="K2101" s="56">
        <v>2.4300000000000002</v>
      </c>
      <c r="L2101" s="15">
        <f t="shared" si="181"/>
        <v>0</v>
      </c>
      <c r="M2101" s="16">
        <f t="shared" si="182"/>
        <v>212.33121299999999</v>
      </c>
      <c r="N2101" s="17">
        <f t="shared" si="179"/>
        <v>2.4300000000000002</v>
      </c>
      <c r="O2101" s="17">
        <f t="shared" si="183"/>
        <v>2673</v>
      </c>
      <c r="P2101" s="18">
        <f t="shared" si="184"/>
        <v>233564.33429999999</v>
      </c>
      <c r="R2101" s="19"/>
      <c r="S2101" s="20"/>
      <c r="T2101" s="20"/>
      <c r="U2101" s="20"/>
      <c r="V2101" s="20"/>
      <c r="W2101" s="20"/>
      <c r="X2101" s="20"/>
      <c r="Y2101" s="20"/>
      <c r="Z2101" s="20"/>
      <c r="AA2101" s="20"/>
    </row>
    <row r="2102" spans="1:27" ht="12.75">
      <c r="A2102" s="20"/>
      <c r="B2102" s="10">
        <v>46155</v>
      </c>
      <c r="C2102" s="11">
        <f>VLOOKUP(B:B,'Курс валют'!A:D,4,0)</f>
        <v>87.379099999999994</v>
      </c>
      <c r="D2102" s="57" t="s">
        <v>625</v>
      </c>
      <c r="E2102" s="50" t="s">
        <v>58</v>
      </c>
      <c r="F2102" s="58">
        <v>1100</v>
      </c>
      <c r="G2102" s="13">
        <v>1108.01</v>
      </c>
      <c r="H2102" s="56">
        <v>0</v>
      </c>
      <c r="I2102" s="13">
        <f t="shared" si="178"/>
        <v>8.0099999999999909</v>
      </c>
      <c r="J2102" s="14">
        <f t="shared" si="180"/>
        <v>0.72818181818181726</v>
      </c>
      <c r="K2102" s="56">
        <v>2.42</v>
      </c>
      <c r="L2102" s="15">
        <f t="shared" si="181"/>
        <v>0</v>
      </c>
      <c r="M2102" s="16">
        <f t="shared" si="182"/>
        <v>211.45742199999998</v>
      </c>
      <c r="N2102" s="17">
        <f t="shared" si="179"/>
        <v>2.42</v>
      </c>
      <c r="O2102" s="17">
        <f t="shared" si="183"/>
        <v>2662</v>
      </c>
      <c r="P2102" s="18">
        <f t="shared" si="184"/>
        <v>232603.16419999997</v>
      </c>
      <c r="R2102" s="20"/>
      <c r="S2102" s="20"/>
      <c r="T2102" s="20"/>
      <c r="U2102" s="20"/>
      <c r="V2102" s="20"/>
      <c r="W2102" s="20"/>
      <c r="X2102" s="20"/>
      <c r="Y2102" s="20"/>
      <c r="Z2102" s="20"/>
      <c r="AA2102" s="20"/>
    </row>
    <row r="2103" spans="1:27" ht="12.75">
      <c r="A2103" s="20"/>
      <c r="B2103" s="10">
        <v>46155</v>
      </c>
      <c r="C2103" s="11">
        <f>VLOOKUP(B:B,'Курс валют'!A:D,4,0)</f>
        <v>87.379099999999994</v>
      </c>
      <c r="D2103" s="57" t="s">
        <v>626</v>
      </c>
      <c r="E2103" s="50" t="s">
        <v>52</v>
      </c>
      <c r="F2103" s="58">
        <v>1000</v>
      </c>
      <c r="G2103" s="13">
        <v>1014.6</v>
      </c>
      <c r="H2103" s="56">
        <v>0</v>
      </c>
      <c r="I2103" s="13">
        <f t="shared" si="178"/>
        <v>14.600000000000023</v>
      </c>
      <c r="J2103" s="14">
        <f t="shared" si="180"/>
        <v>1.4600000000000022</v>
      </c>
      <c r="K2103" s="56">
        <v>2.82</v>
      </c>
      <c r="L2103" s="15">
        <f t="shared" si="181"/>
        <v>0</v>
      </c>
      <c r="M2103" s="16">
        <f t="shared" si="182"/>
        <v>246.40906199999998</v>
      </c>
      <c r="N2103" s="17">
        <f t="shared" si="179"/>
        <v>2.82</v>
      </c>
      <c r="O2103" s="17">
        <f t="shared" si="183"/>
        <v>2820</v>
      </c>
      <c r="P2103" s="18">
        <f t="shared" si="184"/>
        <v>246409.06199999998</v>
      </c>
      <c r="R2103" s="20"/>
      <c r="S2103" s="20"/>
      <c r="T2103" s="20"/>
      <c r="U2103" s="20"/>
      <c r="V2103" s="20"/>
      <c r="W2103" s="20"/>
      <c r="X2103" s="20"/>
      <c r="Y2103" s="20"/>
      <c r="Z2103" s="20"/>
      <c r="AA2103" s="20"/>
    </row>
    <row r="2104" spans="1:27" ht="12.75">
      <c r="A2104" s="20"/>
      <c r="B2104" s="10">
        <v>46155</v>
      </c>
      <c r="C2104" s="11">
        <f>VLOOKUP(B:B,'Курс валют'!A:D,4,0)</f>
        <v>87.379099999999994</v>
      </c>
      <c r="D2104" s="57" t="s">
        <v>627</v>
      </c>
      <c r="E2104" s="50" t="s">
        <v>52</v>
      </c>
      <c r="F2104" s="58">
        <v>200</v>
      </c>
      <c r="G2104" s="13">
        <v>202.92</v>
      </c>
      <c r="H2104" s="56">
        <v>0</v>
      </c>
      <c r="I2104" s="13">
        <f t="shared" si="178"/>
        <v>2.9199999999999875</v>
      </c>
      <c r="J2104" s="14">
        <f t="shared" si="180"/>
        <v>1.4599999999999937</v>
      </c>
      <c r="K2104" s="56">
        <v>2.74</v>
      </c>
      <c r="L2104" s="15">
        <f t="shared" si="181"/>
        <v>0</v>
      </c>
      <c r="M2104" s="16">
        <f t="shared" si="182"/>
        <v>239.41873399999997</v>
      </c>
      <c r="N2104" s="17">
        <f t="shared" si="179"/>
        <v>2.74</v>
      </c>
      <c r="O2104" s="17">
        <f t="shared" si="183"/>
        <v>548</v>
      </c>
      <c r="P2104" s="18">
        <f t="shared" si="184"/>
        <v>47883.746799999994</v>
      </c>
      <c r="R2104" s="20"/>
      <c r="S2104" s="20"/>
      <c r="T2104" s="20"/>
      <c r="U2104" s="20"/>
      <c r="V2104" s="20"/>
      <c r="W2104" s="20"/>
      <c r="X2104" s="20"/>
      <c r="Y2104" s="20"/>
      <c r="Z2104" s="20"/>
      <c r="AA2104" s="20"/>
    </row>
    <row r="2105" spans="1:27" ht="12.75">
      <c r="A2105" s="20"/>
      <c r="B2105" s="10">
        <v>46155</v>
      </c>
      <c r="C2105" s="11">
        <f>VLOOKUP(B:B,'Курс валют'!A:D,4,0)</f>
        <v>87.379099999999994</v>
      </c>
      <c r="D2105" s="57" t="s">
        <v>627</v>
      </c>
      <c r="E2105" s="50" t="s">
        <v>89</v>
      </c>
      <c r="F2105" s="58">
        <v>800</v>
      </c>
      <c r="G2105" s="13">
        <v>811.68</v>
      </c>
      <c r="H2105" s="56">
        <v>0</v>
      </c>
      <c r="I2105" s="13">
        <f t="shared" si="178"/>
        <v>11.67999999999995</v>
      </c>
      <c r="J2105" s="14">
        <f t="shared" si="180"/>
        <v>1.4599999999999937</v>
      </c>
      <c r="K2105" s="56">
        <v>2.82</v>
      </c>
      <c r="L2105" s="15">
        <f t="shared" si="181"/>
        <v>0</v>
      </c>
      <c r="M2105" s="16">
        <f t="shared" si="182"/>
        <v>246.40906199999998</v>
      </c>
      <c r="N2105" s="17">
        <f t="shared" si="179"/>
        <v>2.82</v>
      </c>
      <c r="O2105" s="17">
        <f t="shared" si="183"/>
        <v>2256</v>
      </c>
      <c r="P2105" s="18">
        <f t="shared" si="184"/>
        <v>197127.24959999998</v>
      </c>
      <c r="R2105" s="20"/>
      <c r="S2105" s="20"/>
      <c r="T2105" s="20"/>
      <c r="U2105" s="20"/>
      <c r="V2105" s="20"/>
      <c r="W2105" s="20"/>
      <c r="X2105" s="20"/>
      <c r="Y2105" s="20"/>
      <c r="Z2105" s="20"/>
      <c r="AA2105" s="20"/>
    </row>
    <row r="2106" spans="1:27" ht="12.75">
      <c r="A2106" s="20"/>
      <c r="B2106" s="10">
        <v>46155</v>
      </c>
      <c r="C2106" s="11">
        <f>VLOOKUP(B:B,'Курс валют'!A:D,4,0)</f>
        <v>87.379099999999994</v>
      </c>
      <c r="D2106" s="57" t="s">
        <v>628</v>
      </c>
      <c r="E2106" s="50" t="s">
        <v>58</v>
      </c>
      <c r="F2106" s="58">
        <v>1100</v>
      </c>
      <c r="G2106" s="13">
        <v>1108.01</v>
      </c>
      <c r="H2106" s="56">
        <v>0</v>
      </c>
      <c r="I2106" s="13">
        <f t="shared" si="178"/>
        <v>8.0099999999999909</v>
      </c>
      <c r="J2106" s="14">
        <f t="shared" si="180"/>
        <v>0.72818181818181726</v>
      </c>
      <c r="K2106" s="56">
        <v>2.42</v>
      </c>
      <c r="L2106" s="15">
        <f t="shared" si="181"/>
        <v>0</v>
      </c>
      <c r="M2106" s="16">
        <f t="shared" si="182"/>
        <v>211.45742199999998</v>
      </c>
      <c r="N2106" s="17">
        <f t="shared" si="179"/>
        <v>2.42</v>
      </c>
      <c r="O2106" s="17">
        <f t="shared" si="183"/>
        <v>2662</v>
      </c>
      <c r="P2106" s="18">
        <f t="shared" si="184"/>
        <v>232603.16419999997</v>
      </c>
      <c r="R2106" s="20"/>
      <c r="S2106" s="20"/>
      <c r="T2106" s="20"/>
      <c r="U2106" s="20"/>
      <c r="V2106" s="20"/>
      <c r="W2106" s="20"/>
      <c r="X2106" s="20"/>
      <c r="Y2106" s="20"/>
      <c r="Z2106" s="20"/>
      <c r="AA2106" s="20"/>
    </row>
    <row r="2107" spans="1:27" ht="12.75">
      <c r="A2107" s="20"/>
      <c r="B2107" s="10">
        <v>46155</v>
      </c>
      <c r="C2107" s="11">
        <f>VLOOKUP(B:B,'Курс валют'!A:D,4,0)</f>
        <v>87.379099999999994</v>
      </c>
      <c r="D2107" s="57" t="s">
        <v>629</v>
      </c>
      <c r="E2107" s="50" t="s">
        <v>58</v>
      </c>
      <c r="F2107" s="58">
        <v>1100</v>
      </c>
      <c r="G2107" s="13">
        <v>1108.01</v>
      </c>
      <c r="H2107" s="56">
        <v>0</v>
      </c>
      <c r="I2107" s="13">
        <f t="shared" si="178"/>
        <v>8.0099999999999909</v>
      </c>
      <c r="J2107" s="14">
        <f t="shared" si="180"/>
        <v>0.72818181818181726</v>
      </c>
      <c r="K2107" s="56">
        <v>2.4300000000000002</v>
      </c>
      <c r="L2107" s="15">
        <f t="shared" si="181"/>
        <v>0</v>
      </c>
      <c r="M2107" s="16">
        <f t="shared" si="182"/>
        <v>212.33121299999999</v>
      </c>
      <c r="N2107" s="17">
        <f t="shared" si="179"/>
        <v>2.4300000000000002</v>
      </c>
      <c r="O2107" s="17">
        <f t="shared" si="183"/>
        <v>2673</v>
      </c>
      <c r="P2107" s="18">
        <f t="shared" si="184"/>
        <v>233564.33429999999</v>
      </c>
      <c r="R2107" s="20"/>
      <c r="S2107" s="20"/>
      <c r="T2107" s="20"/>
      <c r="U2107" s="20"/>
      <c r="V2107" s="20"/>
      <c r="W2107" s="20"/>
      <c r="X2107" s="20"/>
      <c r="Y2107" s="20"/>
      <c r="Z2107" s="20"/>
      <c r="AA2107" s="20"/>
    </row>
    <row r="2108" spans="1:27" ht="12.75">
      <c r="A2108" s="20"/>
      <c r="B2108" s="10">
        <v>46156</v>
      </c>
      <c r="C2108" s="11">
        <f>VLOOKUP(B:B,'Курс валют'!A:D,4,0)</f>
        <v>85.901700000000005</v>
      </c>
      <c r="D2108" s="57" t="s">
        <v>630</v>
      </c>
      <c r="E2108" s="50" t="s">
        <v>15</v>
      </c>
      <c r="F2108" s="58">
        <v>1100</v>
      </c>
      <c r="G2108" s="13">
        <v>1108.5</v>
      </c>
      <c r="H2108" s="56">
        <v>0</v>
      </c>
      <c r="I2108" s="13">
        <f t="shared" si="178"/>
        <v>8.5</v>
      </c>
      <c r="J2108" s="14">
        <f t="shared" si="180"/>
        <v>0.77272727272727271</v>
      </c>
      <c r="K2108" s="56">
        <v>2.37</v>
      </c>
      <c r="L2108" s="15">
        <f t="shared" si="181"/>
        <v>0</v>
      </c>
      <c r="M2108" s="16">
        <f t="shared" si="182"/>
        <v>203.587029</v>
      </c>
      <c r="N2108" s="17">
        <f t="shared" si="179"/>
        <v>2.37</v>
      </c>
      <c r="O2108" s="17">
        <f t="shared" si="183"/>
        <v>2607</v>
      </c>
      <c r="P2108" s="18">
        <f t="shared" si="184"/>
        <v>223945.73190000001</v>
      </c>
      <c r="R2108" s="20"/>
      <c r="S2108" s="20"/>
      <c r="T2108" s="20"/>
      <c r="U2108" s="20"/>
      <c r="V2108" s="20"/>
      <c r="W2108" s="20"/>
      <c r="X2108" s="20"/>
      <c r="Y2108" s="20"/>
      <c r="Z2108" s="20"/>
      <c r="AA2108" s="20"/>
    </row>
    <row r="2109" spans="1:27" ht="12.75">
      <c r="A2109" s="20"/>
      <c r="B2109" s="10">
        <v>46156</v>
      </c>
      <c r="C2109" s="11">
        <f>VLOOKUP(B:B,'Курс валют'!A:D,4,0)</f>
        <v>85.901700000000005</v>
      </c>
      <c r="D2109" s="57" t="s">
        <v>631</v>
      </c>
      <c r="E2109" s="50" t="s">
        <v>15</v>
      </c>
      <c r="F2109" s="58">
        <v>1100</v>
      </c>
      <c r="G2109" s="13">
        <v>1108.5</v>
      </c>
      <c r="H2109" s="56">
        <v>0</v>
      </c>
      <c r="I2109" s="13">
        <f t="shared" si="178"/>
        <v>8.5</v>
      </c>
      <c r="J2109" s="14">
        <f t="shared" si="180"/>
        <v>0.77272727272727271</v>
      </c>
      <c r="K2109" s="56">
        <v>2.37</v>
      </c>
      <c r="L2109" s="15">
        <f t="shared" si="181"/>
        <v>0</v>
      </c>
      <c r="M2109" s="16">
        <f t="shared" si="182"/>
        <v>203.587029</v>
      </c>
      <c r="N2109" s="17">
        <f t="shared" si="179"/>
        <v>2.37</v>
      </c>
      <c r="O2109" s="17">
        <f t="shared" si="183"/>
        <v>2607</v>
      </c>
      <c r="P2109" s="18">
        <f t="shared" si="184"/>
        <v>223945.73190000001</v>
      </c>
      <c r="R2109" s="20"/>
      <c r="S2109" s="20"/>
      <c r="T2109" s="20"/>
      <c r="U2109" s="20"/>
      <c r="V2109" s="20"/>
      <c r="W2109" s="20"/>
      <c r="X2109" s="20"/>
      <c r="Y2109" s="20"/>
      <c r="Z2109" s="20"/>
      <c r="AA2109" s="20"/>
    </row>
    <row r="2110" spans="1:27" ht="12.75">
      <c r="A2110" s="20"/>
      <c r="B2110" s="10">
        <v>46156</v>
      </c>
      <c r="C2110" s="11">
        <f>VLOOKUP(B:B,'Курс валют'!A:D,4,0)</f>
        <v>85.901700000000005</v>
      </c>
      <c r="D2110" s="57" t="s">
        <v>632</v>
      </c>
      <c r="E2110" s="50" t="s">
        <v>15</v>
      </c>
      <c r="F2110" s="58">
        <v>1100</v>
      </c>
      <c r="G2110" s="13">
        <v>1108.5</v>
      </c>
      <c r="H2110" s="56">
        <v>0</v>
      </c>
      <c r="I2110" s="13">
        <f t="shared" si="178"/>
        <v>8.5</v>
      </c>
      <c r="J2110" s="14">
        <f t="shared" si="180"/>
        <v>0.77272727272727271</v>
      </c>
      <c r="K2110" s="56">
        <v>2.37</v>
      </c>
      <c r="L2110" s="15">
        <f t="shared" si="181"/>
        <v>0</v>
      </c>
      <c r="M2110" s="16">
        <f t="shared" si="182"/>
        <v>203.587029</v>
      </c>
      <c r="N2110" s="17">
        <f t="shared" si="179"/>
        <v>2.37</v>
      </c>
      <c r="O2110" s="17">
        <f t="shared" si="183"/>
        <v>2607</v>
      </c>
      <c r="P2110" s="18">
        <f t="shared" si="184"/>
        <v>223945.73190000001</v>
      </c>
      <c r="R2110" s="19"/>
      <c r="S2110" s="20"/>
      <c r="T2110" s="20"/>
      <c r="U2110" s="20"/>
      <c r="V2110" s="20"/>
      <c r="W2110" s="20"/>
      <c r="X2110" s="20"/>
      <c r="Y2110" s="20"/>
      <c r="Z2110" s="20"/>
      <c r="AA2110" s="20"/>
    </row>
    <row r="2111" spans="1:27" ht="12.75">
      <c r="B2111" s="10">
        <v>46156</v>
      </c>
      <c r="C2111" s="11">
        <f>VLOOKUP(B:B,'Курс валют'!A:D,4,0)</f>
        <v>85.901700000000005</v>
      </c>
      <c r="D2111" s="60" t="s">
        <v>633</v>
      </c>
      <c r="E2111" s="50" t="s">
        <v>57</v>
      </c>
      <c r="F2111" s="58">
        <v>1000</v>
      </c>
      <c r="G2111" s="13">
        <v>1000</v>
      </c>
      <c r="H2111" s="56">
        <v>0</v>
      </c>
      <c r="I2111" s="13">
        <f t="shared" si="178"/>
        <v>0</v>
      </c>
      <c r="J2111" s="14">
        <f t="shared" si="180"/>
        <v>0</v>
      </c>
      <c r="K2111" s="56">
        <v>2.6</v>
      </c>
      <c r="L2111" s="15">
        <f t="shared" si="181"/>
        <v>0</v>
      </c>
      <c r="M2111" s="16">
        <f t="shared" si="182"/>
        <v>223.34442000000001</v>
      </c>
      <c r="N2111" s="17">
        <f t="shared" si="179"/>
        <v>2.6</v>
      </c>
      <c r="O2111" s="17">
        <f t="shared" si="183"/>
        <v>2600</v>
      </c>
      <c r="P2111" s="18">
        <f t="shared" si="184"/>
        <v>223344.42</v>
      </c>
      <c r="R2111" s="66" t="s">
        <v>634</v>
      </c>
    </row>
    <row r="2112" spans="1:27" ht="12.75">
      <c r="B2112" s="10">
        <v>46156</v>
      </c>
      <c r="C2112" s="11">
        <f>VLOOKUP(B:B,'Курс валют'!A:D,4,0)</f>
        <v>85.901700000000005</v>
      </c>
      <c r="D2112" s="60" t="s">
        <v>635</v>
      </c>
      <c r="E2112" s="50" t="s">
        <v>54</v>
      </c>
      <c r="F2112" s="58">
        <v>800</v>
      </c>
      <c r="G2112" s="13">
        <v>800</v>
      </c>
      <c r="H2112" s="56">
        <v>0</v>
      </c>
      <c r="I2112" s="13">
        <f t="shared" si="178"/>
        <v>0</v>
      </c>
      <c r="J2112" s="14">
        <f t="shared" si="180"/>
        <v>0</v>
      </c>
      <c r="K2112" s="56">
        <v>2.9</v>
      </c>
      <c r="L2112" s="15">
        <f t="shared" si="181"/>
        <v>0</v>
      </c>
      <c r="M2112" s="16">
        <f t="shared" si="182"/>
        <v>249.11493000000002</v>
      </c>
      <c r="N2112" s="17">
        <f t="shared" si="179"/>
        <v>2.9</v>
      </c>
      <c r="O2112" s="17">
        <f t="shared" si="183"/>
        <v>2320</v>
      </c>
      <c r="P2112" s="18">
        <f t="shared" si="184"/>
        <v>199291.94400000002</v>
      </c>
      <c r="R2112" s="66" t="s">
        <v>636</v>
      </c>
    </row>
    <row r="2113" spans="2:18" ht="12.75">
      <c r="B2113" s="10">
        <v>46156</v>
      </c>
      <c r="C2113" s="11">
        <f>VLOOKUP(B:B,'Курс валют'!A:D,4,0)</f>
        <v>85.901700000000005</v>
      </c>
      <c r="D2113" s="60" t="s">
        <v>637</v>
      </c>
      <c r="E2113" s="50" t="s">
        <v>54</v>
      </c>
      <c r="F2113" s="58">
        <v>400</v>
      </c>
      <c r="G2113" s="13">
        <v>400</v>
      </c>
      <c r="H2113" s="56">
        <v>0</v>
      </c>
      <c r="I2113" s="13">
        <f t="shared" si="178"/>
        <v>0</v>
      </c>
      <c r="J2113" s="14">
        <f t="shared" si="180"/>
        <v>0</v>
      </c>
      <c r="K2113" s="56">
        <v>2.54</v>
      </c>
      <c r="L2113" s="15">
        <f t="shared" si="181"/>
        <v>0</v>
      </c>
      <c r="M2113" s="16">
        <f t="shared" si="182"/>
        <v>218.19031800000002</v>
      </c>
      <c r="N2113" s="17">
        <f t="shared" si="179"/>
        <v>2.54</v>
      </c>
      <c r="O2113" s="17">
        <f t="shared" si="183"/>
        <v>1016</v>
      </c>
      <c r="P2113" s="18">
        <f t="shared" si="184"/>
        <v>87276.127200000003</v>
      </c>
      <c r="R2113" s="66" t="s">
        <v>636</v>
      </c>
    </row>
    <row r="2114" spans="2:18" ht="12.75">
      <c r="B2114" s="10">
        <v>46156</v>
      </c>
      <c r="C2114" s="11">
        <f>VLOOKUP(B:B,'Курс валют'!A:D,4,0)</f>
        <v>85.901700000000005</v>
      </c>
      <c r="D2114" s="60" t="s">
        <v>638</v>
      </c>
      <c r="E2114" s="50" t="s">
        <v>68</v>
      </c>
      <c r="F2114" s="58">
        <v>200</v>
      </c>
      <c r="G2114" s="13">
        <v>200</v>
      </c>
      <c r="H2114" s="56">
        <v>0</v>
      </c>
      <c r="I2114" s="13">
        <f t="shared" si="178"/>
        <v>0</v>
      </c>
      <c r="J2114" s="14">
        <f t="shared" si="180"/>
        <v>0</v>
      </c>
      <c r="K2114" s="56">
        <v>1.98</v>
      </c>
      <c r="L2114" s="15">
        <f t="shared" si="181"/>
        <v>0</v>
      </c>
      <c r="M2114" s="16">
        <f t="shared" si="182"/>
        <v>170.08536599999999</v>
      </c>
      <c r="N2114" s="17">
        <f t="shared" si="179"/>
        <v>1.98</v>
      </c>
      <c r="O2114" s="17">
        <f t="shared" si="183"/>
        <v>396</v>
      </c>
      <c r="P2114" s="18">
        <f t="shared" si="184"/>
        <v>34017.073199999999</v>
      </c>
      <c r="R2114" s="66" t="s">
        <v>639</v>
      </c>
    </row>
    <row r="2115" spans="2:18" ht="12.75">
      <c r="B2115" s="10">
        <v>46156</v>
      </c>
      <c r="C2115" s="11">
        <f>VLOOKUP(B:B,'Курс валют'!A:D,4,0)</f>
        <v>85.901700000000005</v>
      </c>
      <c r="D2115" s="60" t="s">
        <v>640</v>
      </c>
      <c r="E2115" s="50" t="s">
        <v>68</v>
      </c>
      <c r="F2115" s="58">
        <v>800</v>
      </c>
      <c r="G2115" s="13">
        <v>800</v>
      </c>
      <c r="H2115" s="56">
        <v>0</v>
      </c>
      <c r="I2115" s="13">
        <f t="shared" si="178"/>
        <v>0</v>
      </c>
      <c r="J2115" s="14">
        <f t="shared" si="180"/>
        <v>0</v>
      </c>
      <c r="K2115" s="56">
        <v>1.98</v>
      </c>
      <c r="L2115" s="15">
        <f t="shared" si="181"/>
        <v>0</v>
      </c>
      <c r="M2115" s="16">
        <f t="shared" si="182"/>
        <v>170.08536599999999</v>
      </c>
      <c r="N2115" s="17">
        <f t="shared" si="179"/>
        <v>1.98</v>
      </c>
      <c r="O2115" s="17">
        <f t="shared" si="183"/>
        <v>1584</v>
      </c>
      <c r="P2115" s="18">
        <f t="shared" si="184"/>
        <v>136068.2928</v>
      </c>
      <c r="R2115" s="66" t="s">
        <v>639</v>
      </c>
    </row>
    <row r="2116" spans="2:18" ht="12.75">
      <c r="B2116" s="10">
        <v>46156</v>
      </c>
      <c r="C2116" s="11">
        <f>VLOOKUP(B:B,'Курс валют'!A:D,4,0)</f>
        <v>85.901700000000005</v>
      </c>
      <c r="D2116" s="60" t="s">
        <v>641</v>
      </c>
      <c r="E2116" s="50" t="s">
        <v>54</v>
      </c>
      <c r="F2116" s="58">
        <v>185</v>
      </c>
      <c r="G2116" s="13">
        <v>185</v>
      </c>
      <c r="H2116" s="56">
        <v>0</v>
      </c>
      <c r="I2116" s="13">
        <f t="shared" si="178"/>
        <v>0</v>
      </c>
      <c r="J2116" s="14">
        <f t="shared" si="180"/>
        <v>0</v>
      </c>
      <c r="K2116" s="56">
        <v>2.54</v>
      </c>
      <c r="L2116" s="15">
        <f t="shared" si="181"/>
        <v>0</v>
      </c>
      <c r="M2116" s="16">
        <f t="shared" si="182"/>
        <v>218.19031800000002</v>
      </c>
      <c r="N2116" s="17">
        <f t="shared" si="179"/>
        <v>2.54</v>
      </c>
      <c r="O2116" s="17">
        <f t="shared" si="183"/>
        <v>469.90000000000003</v>
      </c>
      <c r="P2116" s="18">
        <f t="shared" si="184"/>
        <v>40365.208830000003</v>
      </c>
      <c r="R2116" s="66" t="s">
        <v>642</v>
      </c>
    </row>
    <row r="2117" spans="2:18" ht="12.75">
      <c r="B2117" s="10">
        <v>46156</v>
      </c>
      <c r="C2117" s="11">
        <f>VLOOKUP(B:B,'Курс валют'!A:D,4,0)</f>
        <v>85.901700000000005</v>
      </c>
      <c r="D2117" s="60" t="s">
        <v>643</v>
      </c>
      <c r="E2117" s="50" t="s">
        <v>54</v>
      </c>
      <c r="F2117" s="58">
        <v>200</v>
      </c>
      <c r="G2117" s="13">
        <v>200</v>
      </c>
      <c r="H2117" s="56">
        <v>0</v>
      </c>
      <c r="I2117" s="13">
        <f t="shared" si="178"/>
        <v>0</v>
      </c>
      <c r="J2117" s="14">
        <f t="shared" si="180"/>
        <v>0</v>
      </c>
      <c r="K2117" s="56">
        <v>2.9</v>
      </c>
      <c r="L2117" s="15">
        <f t="shared" si="181"/>
        <v>0</v>
      </c>
      <c r="M2117" s="16">
        <f t="shared" si="182"/>
        <v>249.11493000000002</v>
      </c>
      <c r="N2117" s="17">
        <f t="shared" si="179"/>
        <v>2.9</v>
      </c>
      <c r="O2117" s="17">
        <f t="shared" si="183"/>
        <v>580</v>
      </c>
      <c r="P2117" s="18">
        <f t="shared" si="184"/>
        <v>49822.986000000004</v>
      </c>
      <c r="R2117" s="66" t="s">
        <v>642</v>
      </c>
    </row>
    <row r="2118" spans="2:18" ht="12.75">
      <c r="B2118" s="10">
        <v>46156</v>
      </c>
      <c r="C2118" s="11">
        <f>VLOOKUP(B:B,'Курс валют'!A:D,4,0)</f>
        <v>85.901700000000005</v>
      </c>
      <c r="D2118" s="57" t="s">
        <v>644</v>
      </c>
      <c r="E2118" s="50" t="s">
        <v>15</v>
      </c>
      <c r="F2118" s="58">
        <v>1100</v>
      </c>
      <c r="G2118" s="13">
        <v>1108.5</v>
      </c>
      <c r="H2118" s="56">
        <v>0</v>
      </c>
      <c r="I2118" s="13">
        <f t="shared" si="178"/>
        <v>8.5</v>
      </c>
      <c r="J2118" s="14">
        <f t="shared" si="180"/>
        <v>0.77272727272727271</v>
      </c>
      <c r="K2118" s="56">
        <v>2.37</v>
      </c>
      <c r="L2118" s="15">
        <f t="shared" si="181"/>
        <v>0</v>
      </c>
      <c r="M2118" s="16">
        <f t="shared" si="182"/>
        <v>203.587029</v>
      </c>
      <c r="N2118" s="17">
        <f t="shared" si="179"/>
        <v>2.37</v>
      </c>
      <c r="O2118" s="17">
        <f t="shared" si="183"/>
        <v>2607</v>
      </c>
      <c r="P2118" s="18">
        <f t="shared" si="184"/>
        <v>223945.73190000001</v>
      </c>
    </row>
    <row r="2119" spans="2:18" ht="12.75">
      <c r="B2119" s="10">
        <v>46156</v>
      </c>
      <c r="C2119" s="11">
        <f>VLOOKUP(B:B,'Курс валют'!A:D,4,0)</f>
        <v>85.901700000000005</v>
      </c>
      <c r="D2119" s="57" t="s">
        <v>645</v>
      </c>
      <c r="E2119" s="50" t="s">
        <v>15</v>
      </c>
      <c r="F2119" s="58">
        <v>1100</v>
      </c>
      <c r="G2119" s="13">
        <v>1108.5</v>
      </c>
      <c r="H2119" s="56">
        <v>0</v>
      </c>
      <c r="I2119" s="13">
        <f t="shared" si="178"/>
        <v>8.5</v>
      </c>
      <c r="J2119" s="14">
        <f t="shared" si="180"/>
        <v>0.77272727272727271</v>
      </c>
      <c r="K2119" s="56">
        <v>2.37</v>
      </c>
      <c r="L2119" s="15">
        <f t="shared" si="181"/>
        <v>0</v>
      </c>
      <c r="M2119" s="16">
        <f t="shared" si="182"/>
        <v>203.587029</v>
      </c>
      <c r="N2119" s="17">
        <f t="shared" si="179"/>
        <v>2.37</v>
      </c>
      <c r="O2119" s="17">
        <f t="shared" si="183"/>
        <v>2607</v>
      </c>
      <c r="P2119" s="18">
        <f t="shared" si="184"/>
        <v>223945.73190000001</v>
      </c>
    </row>
    <row r="2120" spans="2:18" ht="12.75">
      <c r="B2120" s="10">
        <v>46156</v>
      </c>
      <c r="C2120" s="11">
        <f>VLOOKUP(B:B,'Курс валют'!A:D,4,0)</f>
        <v>85.901700000000005</v>
      </c>
      <c r="D2120" s="57" t="s">
        <v>646</v>
      </c>
      <c r="E2120" s="50" t="s">
        <v>15</v>
      </c>
      <c r="F2120" s="58">
        <v>1100</v>
      </c>
      <c r="G2120" s="13">
        <v>1108.5</v>
      </c>
      <c r="H2120" s="56">
        <v>0</v>
      </c>
      <c r="I2120" s="13">
        <f t="shared" si="178"/>
        <v>8.5</v>
      </c>
      <c r="J2120" s="14">
        <f t="shared" si="180"/>
        <v>0.77272727272727271</v>
      </c>
      <c r="K2120" s="56">
        <v>2.37</v>
      </c>
      <c r="L2120" s="15">
        <f t="shared" si="181"/>
        <v>0</v>
      </c>
      <c r="M2120" s="16">
        <f t="shared" si="182"/>
        <v>203.587029</v>
      </c>
      <c r="N2120" s="17">
        <f t="shared" si="179"/>
        <v>2.37</v>
      </c>
      <c r="O2120" s="17">
        <f t="shared" si="183"/>
        <v>2607</v>
      </c>
      <c r="P2120" s="18">
        <f t="shared" si="184"/>
        <v>223945.73190000001</v>
      </c>
    </row>
    <row r="2121" spans="2:18" ht="12.75">
      <c r="B2121" s="10">
        <v>46156</v>
      </c>
      <c r="C2121" s="11">
        <f>VLOOKUP(B:B,'Курс валют'!A:D,4,0)</f>
        <v>85.901700000000005</v>
      </c>
      <c r="D2121" s="57" t="s">
        <v>647</v>
      </c>
      <c r="E2121" s="50" t="s">
        <v>15</v>
      </c>
      <c r="F2121" s="58">
        <v>1100</v>
      </c>
      <c r="G2121" s="13">
        <v>1108.5</v>
      </c>
      <c r="H2121" s="56">
        <v>0</v>
      </c>
      <c r="I2121" s="13">
        <f t="shared" si="178"/>
        <v>8.5</v>
      </c>
      <c r="J2121" s="14">
        <f t="shared" si="180"/>
        <v>0.77272727272727271</v>
      </c>
      <c r="K2121" s="56">
        <v>2.37</v>
      </c>
      <c r="L2121" s="15">
        <f t="shared" si="181"/>
        <v>0</v>
      </c>
      <c r="M2121" s="16">
        <f t="shared" si="182"/>
        <v>203.587029</v>
      </c>
      <c r="N2121" s="17">
        <f t="shared" si="179"/>
        <v>2.37</v>
      </c>
      <c r="O2121" s="17">
        <f t="shared" si="183"/>
        <v>2607</v>
      </c>
      <c r="P2121" s="18">
        <f t="shared" si="184"/>
        <v>223945.73190000001</v>
      </c>
    </row>
    <row r="2122" spans="2:18" ht="12.75">
      <c r="B2122" s="10">
        <v>46156</v>
      </c>
      <c r="C2122" s="11">
        <f>VLOOKUP(B:B,'Курс валют'!A:D,4,0)</f>
        <v>85.901700000000005</v>
      </c>
      <c r="D2122" s="57" t="s">
        <v>648</v>
      </c>
      <c r="E2122" s="50" t="s">
        <v>15</v>
      </c>
      <c r="F2122" s="58">
        <v>1100</v>
      </c>
      <c r="G2122" s="13">
        <v>1108.5</v>
      </c>
      <c r="H2122" s="56">
        <v>0</v>
      </c>
      <c r="I2122" s="13">
        <f t="shared" si="178"/>
        <v>8.5</v>
      </c>
      <c r="J2122" s="14">
        <f t="shared" si="180"/>
        <v>0.77272727272727271</v>
      </c>
      <c r="K2122" s="56">
        <v>2.37</v>
      </c>
      <c r="L2122" s="15">
        <f t="shared" si="181"/>
        <v>0</v>
      </c>
      <c r="M2122" s="16">
        <f t="shared" si="182"/>
        <v>203.587029</v>
      </c>
      <c r="N2122" s="17">
        <f t="shared" si="179"/>
        <v>2.37</v>
      </c>
      <c r="O2122" s="17">
        <f t="shared" si="183"/>
        <v>2607</v>
      </c>
      <c r="P2122" s="18">
        <f t="shared" si="184"/>
        <v>223945.73190000001</v>
      </c>
    </row>
    <row r="2123" spans="2:18" ht="12.75">
      <c r="B2123" s="10">
        <v>46156</v>
      </c>
      <c r="C2123" s="11">
        <f>VLOOKUP(B:B,'Курс валют'!A:D,4,0)</f>
        <v>85.901700000000005</v>
      </c>
      <c r="D2123" s="57" t="s">
        <v>649</v>
      </c>
      <c r="E2123" s="50" t="s">
        <v>15</v>
      </c>
      <c r="F2123" s="58">
        <v>1100</v>
      </c>
      <c r="G2123" s="13">
        <v>1108.5</v>
      </c>
      <c r="H2123" s="56">
        <v>0</v>
      </c>
      <c r="I2123" s="13">
        <f t="shared" si="178"/>
        <v>8.5</v>
      </c>
      <c r="J2123" s="14">
        <f t="shared" si="180"/>
        <v>0.77272727272727271</v>
      </c>
      <c r="K2123" s="56">
        <v>2.37</v>
      </c>
      <c r="L2123" s="15">
        <f t="shared" si="181"/>
        <v>0</v>
      </c>
      <c r="M2123" s="16">
        <f t="shared" si="182"/>
        <v>203.587029</v>
      </c>
      <c r="N2123" s="17">
        <f t="shared" si="179"/>
        <v>2.37</v>
      </c>
      <c r="O2123" s="17">
        <f t="shared" si="183"/>
        <v>2607</v>
      </c>
      <c r="P2123" s="18">
        <f t="shared" si="184"/>
        <v>223945.73190000001</v>
      </c>
    </row>
    <row r="2124" spans="2:18" ht="12.75">
      <c r="B2124" s="10">
        <v>46156</v>
      </c>
      <c r="C2124" s="11">
        <f>VLOOKUP(B:B,'Курс валют'!A:D,4,0)</f>
        <v>85.901700000000005</v>
      </c>
      <c r="D2124" s="57" t="s">
        <v>650</v>
      </c>
      <c r="E2124" s="50" t="s">
        <v>15</v>
      </c>
      <c r="F2124" s="58">
        <v>1100</v>
      </c>
      <c r="G2124" s="13">
        <v>1108.5</v>
      </c>
      <c r="H2124" s="56">
        <v>0</v>
      </c>
      <c r="I2124" s="13">
        <f t="shared" si="178"/>
        <v>8.5</v>
      </c>
      <c r="J2124" s="14">
        <f t="shared" si="180"/>
        <v>0.77272727272727271</v>
      </c>
      <c r="K2124" s="56">
        <v>2.37</v>
      </c>
      <c r="L2124" s="15">
        <f t="shared" si="181"/>
        <v>0</v>
      </c>
      <c r="M2124" s="16">
        <f t="shared" si="182"/>
        <v>203.587029</v>
      </c>
      <c r="N2124" s="17">
        <f t="shared" si="179"/>
        <v>2.37</v>
      </c>
      <c r="O2124" s="17">
        <f t="shared" si="183"/>
        <v>2607</v>
      </c>
      <c r="P2124" s="18">
        <f t="shared" si="184"/>
        <v>223945.73190000001</v>
      </c>
    </row>
    <row r="2125" spans="2:18" ht="12.75">
      <c r="B2125" s="10">
        <v>46157</v>
      </c>
      <c r="C2125" s="11">
        <f>VLOOKUP(B:B,'Курс валют'!A:D,4,0)</f>
        <v>86.289900000000003</v>
      </c>
      <c r="D2125" s="57" t="s">
        <v>651</v>
      </c>
      <c r="E2125" s="50" t="s">
        <v>15</v>
      </c>
      <c r="F2125" s="58">
        <v>1100</v>
      </c>
      <c r="G2125" s="13">
        <v>1108.5</v>
      </c>
      <c r="H2125" s="56">
        <v>0</v>
      </c>
      <c r="I2125" s="13">
        <f t="shared" si="178"/>
        <v>8.5</v>
      </c>
      <c r="J2125" s="14">
        <f t="shared" si="180"/>
        <v>0.77272727272727271</v>
      </c>
      <c r="K2125" s="56">
        <v>2.37</v>
      </c>
      <c r="L2125" s="15">
        <f t="shared" si="181"/>
        <v>0</v>
      </c>
      <c r="M2125" s="16">
        <f t="shared" si="182"/>
        <v>204.50706300000002</v>
      </c>
      <c r="N2125" s="17">
        <f t="shared" si="179"/>
        <v>2.37</v>
      </c>
      <c r="O2125" s="17">
        <f t="shared" si="183"/>
        <v>2607</v>
      </c>
      <c r="P2125" s="18">
        <f t="shared" si="184"/>
        <v>224957.76930000001</v>
      </c>
    </row>
    <row r="2126" spans="2:18" ht="12.75">
      <c r="B2126" s="10">
        <v>46157</v>
      </c>
      <c r="C2126" s="11">
        <f>VLOOKUP(B:B,'Курс валют'!A:D,4,0)</f>
        <v>86.289900000000003</v>
      </c>
      <c r="D2126" s="57" t="s">
        <v>652</v>
      </c>
      <c r="E2126" s="50" t="s">
        <v>101</v>
      </c>
      <c r="F2126" s="58">
        <v>1000</v>
      </c>
      <c r="G2126" s="13">
        <v>1009.2</v>
      </c>
      <c r="H2126" s="56">
        <v>0</v>
      </c>
      <c r="I2126" s="13">
        <f t="shared" si="178"/>
        <v>9.2000000000000455</v>
      </c>
      <c r="J2126" s="14">
        <f t="shared" si="180"/>
        <v>0.92000000000000448</v>
      </c>
      <c r="K2126" s="56">
        <v>2.58</v>
      </c>
      <c r="L2126" s="15">
        <f t="shared" si="181"/>
        <v>0</v>
      </c>
      <c r="M2126" s="16">
        <f t="shared" si="182"/>
        <v>222.62794200000002</v>
      </c>
      <c r="N2126" s="17">
        <f t="shared" si="179"/>
        <v>2.58</v>
      </c>
      <c r="O2126" s="17">
        <f t="shared" si="183"/>
        <v>2580</v>
      </c>
      <c r="P2126" s="18">
        <f t="shared" si="184"/>
        <v>222627.94200000001</v>
      </c>
    </row>
    <row r="2127" spans="2:18" ht="12.75">
      <c r="B2127" s="10">
        <v>46157</v>
      </c>
      <c r="C2127" s="11">
        <f>VLOOKUP(B:B,'Курс валют'!A:D,4,0)</f>
        <v>86.289900000000003</v>
      </c>
      <c r="D2127" s="57" t="s">
        <v>653</v>
      </c>
      <c r="E2127" s="50" t="s">
        <v>101</v>
      </c>
      <c r="F2127" s="58">
        <v>1000</v>
      </c>
      <c r="G2127" s="13">
        <v>1009.2</v>
      </c>
      <c r="H2127" s="56">
        <v>0</v>
      </c>
      <c r="I2127" s="13">
        <f t="shared" si="178"/>
        <v>9.2000000000000455</v>
      </c>
      <c r="J2127" s="14">
        <f t="shared" si="180"/>
        <v>0.92000000000000448</v>
      </c>
      <c r="K2127" s="56">
        <v>2.5499999999999998</v>
      </c>
      <c r="L2127" s="15">
        <f t="shared" si="181"/>
        <v>0</v>
      </c>
      <c r="M2127" s="16">
        <f t="shared" si="182"/>
        <v>220.03924499999999</v>
      </c>
      <c r="N2127" s="17">
        <f t="shared" si="179"/>
        <v>2.5499999999999998</v>
      </c>
      <c r="O2127" s="17">
        <f t="shared" si="183"/>
        <v>2550</v>
      </c>
      <c r="P2127" s="18">
        <f t="shared" si="184"/>
        <v>220039.245</v>
      </c>
    </row>
    <row r="2128" spans="2:18" ht="12.75">
      <c r="B2128" s="10">
        <v>46157</v>
      </c>
      <c r="C2128" s="11">
        <f>VLOOKUP(B:B,'Курс валют'!A:D,4,0)</f>
        <v>86.289900000000003</v>
      </c>
      <c r="D2128" s="57" t="s">
        <v>654</v>
      </c>
      <c r="E2128" s="50" t="s">
        <v>15</v>
      </c>
      <c r="F2128" s="58">
        <v>1100</v>
      </c>
      <c r="G2128" s="13">
        <v>1108.5</v>
      </c>
      <c r="H2128" s="56">
        <v>0</v>
      </c>
      <c r="I2128" s="13">
        <f t="shared" si="178"/>
        <v>8.5</v>
      </c>
      <c r="J2128" s="14">
        <f t="shared" si="180"/>
        <v>0.77272727272727271</v>
      </c>
      <c r="K2128" s="56">
        <v>2.37</v>
      </c>
      <c r="L2128" s="15">
        <f t="shared" si="181"/>
        <v>0</v>
      </c>
      <c r="M2128" s="16">
        <f t="shared" si="182"/>
        <v>204.50706300000002</v>
      </c>
      <c r="N2128" s="17">
        <f t="shared" si="179"/>
        <v>2.37</v>
      </c>
      <c r="O2128" s="17">
        <f t="shared" si="183"/>
        <v>2607</v>
      </c>
      <c r="P2128" s="18">
        <f t="shared" si="184"/>
        <v>224957.76930000001</v>
      </c>
    </row>
    <row r="2129" spans="2:16" ht="12.75">
      <c r="B2129" s="10">
        <v>46157</v>
      </c>
      <c r="C2129" s="11">
        <f>VLOOKUP(B:B,'Курс валют'!A:D,4,0)</f>
        <v>86.289900000000003</v>
      </c>
      <c r="D2129" s="57" t="s">
        <v>655</v>
      </c>
      <c r="E2129" s="50" t="s">
        <v>15</v>
      </c>
      <c r="F2129" s="58">
        <v>1100</v>
      </c>
      <c r="G2129" s="13">
        <v>1108.5</v>
      </c>
      <c r="H2129" s="56">
        <v>0</v>
      </c>
      <c r="I2129" s="13">
        <f t="shared" si="178"/>
        <v>8.5</v>
      </c>
      <c r="J2129" s="14">
        <f t="shared" si="180"/>
        <v>0.77272727272727271</v>
      </c>
      <c r="K2129" s="56">
        <v>2.37</v>
      </c>
      <c r="L2129" s="15">
        <f t="shared" si="181"/>
        <v>0</v>
      </c>
      <c r="M2129" s="16">
        <f t="shared" si="182"/>
        <v>204.50706300000002</v>
      </c>
      <c r="N2129" s="17">
        <f t="shared" si="179"/>
        <v>2.37</v>
      </c>
      <c r="O2129" s="17">
        <f t="shared" si="183"/>
        <v>2607</v>
      </c>
      <c r="P2129" s="18">
        <f t="shared" si="184"/>
        <v>224957.76930000001</v>
      </c>
    </row>
    <row r="2130" spans="2:16" ht="12.75">
      <c r="B2130" s="10">
        <v>46157</v>
      </c>
      <c r="C2130" s="11">
        <f>VLOOKUP(B:B,'Курс валют'!A:D,4,0)</f>
        <v>86.289900000000003</v>
      </c>
      <c r="D2130" s="57" t="s">
        <v>656</v>
      </c>
      <c r="E2130" s="50" t="s">
        <v>15</v>
      </c>
      <c r="F2130" s="58">
        <v>1100</v>
      </c>
      <c r="G2130" s="13">
        <v>1108.5</v>
      </c>
      <c r="H2130" s="56">
        <v>0</v>
      </c>
      <c r="I2130" s="13">
        <f t="shared" si="178"/>
        <v>8.5</v>
      </c>
      <c r="J2130" s="14">
        <f t="shared" si="180"/>
        <v>0.77272727272727271</v>
      </c>
      <c r="K2130" s="56">
        <v>2.37</v>
      </c>
      <c r="L2130" s="15">
        <f t="shared" si="181"/>
        <v>0</v>
      </c>
      <c r="M2130" s="16">
        <f t="shared" si="182"/>
        <v>204.50706300000002</v>
      </c>
      <c r="N2130" s="17">
        <f t="shared" si="179"/>
        <v>2.37</v>
      </c>
      <c r="O2130" s="17">
        <f t="shared" si="183"/>
        <v>2607</v>
      </c>
      <c r="P2130" s="18">
        <f t="shared" si="184"/>
        <v>224957.76930000001</v>
      </c>
    </row>
    <row r="2131" spans="2:16" ht="12.75">
      <c r="B2131" s="10">
        <v>46157</v>
      </c>
      <c r="C2131" s="11">
        <f>VLOOKUP(B:B,'Курс валют'!A:D,4,0)</f>
        <v>86.289900000000003</v>
      </c>
      <c r="D2131" s="57" t="s">
        <v>657</v>
      </c>
      <c r="E2131" s="50" t="s">
        <v>101</v>
      </c>
      <c r="F2131" s="58">
        <v>1000</v>
      </c>
      <c r="G2131" s="13">
        <v>1009.2</v>
      </c>
      <c r="H2131" s="56">
        <v>0</v>
      </c>
      <c r="I2131" s="13">
        <f t="shared" si="178"/>
        <v>9.2000000000000455</v>
      </c>
      <c r="J2131" s="14">
        <f t="shared" si="180"/>
        <v>0.92000000000000448</v>
      </c>
      <c r="K2131" s="56">
        <v>2.5499999999999998</v>
      </c>
      <c r="L2131" s="15">
        <f t="shared" si="181"/>
        <v>0</v>
      </c>
      <c r="M2131" s="16">
        <f t="shared" si="182"/>
        <v>220.03924499999999</v>
      </c>
      <c r="N2131" s="17">
        <f t="shared" si="179"/>
        <v>2.5499999999999998</v>
      </c>
      <c r="O2131" s="17">
        <f t="shared" si="183"/>
        <v>2550</v>
      </c>
      <c r="P2131" s="18">
        <f t="shared" si="184"/>
        <v>220039.245</v>
      </c>
    </row>
    <row r="2132" spans="2:16" ht="12.75">
      <c r="B2132" s="10">
        <v>46157</v>
      </c>
      <c r="C2132" s="11">
        <f>VLOOKUP(B:B,'Курс валют'!A:D,4,0)</f>
        <v>86.289900000000003</v>
      </c>
      <c r="D2132" s="57" t="s">
        <v>658</v>
      </c>
      <c r="E2132" s="50" t="s">
        <v>101</v>
      </c>
      <c r="F2132" s="58">
        <v>1000</v>
      </c>
      <c r="G2132" s="13">
        <v>1009.2</v>
      </c>
      <c r="H2132" s="56">
        <v>0</v>
      </c>
      <c r="I2132" s="13">
        <f t="shared" si="178"/>
        <v>9.2000000000000455</v>
      </c>
      <c r="J2132" s="14">
        <f t="shared" si="180"/>
        <v>0.92000000000000448</v>
      </c>
      <c r="K2132" s="56">
        <v>2.5499999999999998</v>
      </c>
      <c r="L2132" s="15">
        <f t="shared" si="181"/>
        <v>0</v>
      </c>
      <c r="M2132" s="16">
        <f t="shared" si="182"/>
        <v>220.03924499999999</v>
      </c>
      <c r="N2132" s="17">
        <f t="shared" si="179"/>
        <v>2.5499999999999998</v>
      </c>
      <c r="O2132" s="17">
        <f t="shared" si="183"/>
        <v>2550</v>
      </c>
      <c r="P2132" s="18">
        <f t="shared" si="184"/>
        <v>220039.245</v>
      </c>
    </row>
    <row r="2133" spans="2:16" ht="12.75">
      <c r="B2133" s="10">
        <v>46157</v>
      </c>
      <c r="C2133" s="11">
        <f>VLOOKUP(B:B,'Курс валют'!A:D,4,0)</f>
        <v>86.289900000000003</v>
      </c>
      <c r="D2133" s="57" t="s">
        <v>659</v>
      </c>
      <c r="E2133" s="50" t="s">
        <v>15</v>
      </c>
      <c r="F2133" s="58">
        <v>1100</v>
      </c>
      <c r="G2133" s="13">
        <v>1108.5</v>
      </c>
      <c r="H2133" s="56">
        <v>0</v>
      </c>
      <c r="I2133" s="13">
        <f t="shared" si="178"/>
        <v>8.5</v>
      </c>
      <c r="J2133" s="14">
        <f t="shared" si="180"/>
        <v>0.77272727272727271</v>
      </c>
      <c r="K2133" s="56">
        <v>2.37</v>
      </c>
      <c r="L2133" s="15">
        <f t="shared" si="181"/>
        <v>0</v>
      </c>
      <c r="M2133" s="16">
        <f t="shared" si="182"/>
        <v>204.50706300000002</v>
      </c>
      <c r="N2133" s="17">
        <f t="shared" si="179"/>
        <v>2.37</v>
      </c>
      <c r="O2133" s="17">
        <f t="shared" si="183"/>
        <v>2607</v>
      </c>
      <c r="P2133" s="18">
        <f t="shared" si="184"/>
        <v>224957.76930000001</v>
      </c>
    </row>
    <row r="2134" spans="2:16" ht="12.75">
      <c r="B2134" s="10">
        <v>46157</v>
      </c>
      <c r="C2134" s="11">
        <f>VLOOKUP(B:B,'Курс валют'!A:D,4,0)</f>
        <v>86.289900000000003</v>
      </c>
      <c r="D2134" s="57" t="s">
        <v>660</v>
      </c>
      <c r="E2134" s="50" t="s">
        <v>15</v>
      </c>
      <c r="F2134" s="58">
        <v>1100</v>
      </c>
      <c r="G2134" s="13">
        <v>1108.5</v>
      </c>
      <c r="H2134" s="56">
        <v>0</v>
      </c>
      <c r="I2134" s="13">
        <f t="shared" si="178"/>
        <v>8.5</v>
      </c>
      <c r="J2134" s="14">
        <f t="shared" si="180"/>
        <v>0.77272727272727271</v>
      </c>
      <c r="K2134" s="56">
        <v>2.37</v>
      </c>
      <c r="L2134" s="15">
        <f t="shared" si="181"/>
        <v>0</v>
      </c>
      <c r="M2134" s="16">
        <f t="shared" si="182"/>
        <v>204.50706300000002</v>
      </c>
      <c r="N2134" s="17">
        <f t="shared" si="179"/>
        <v>2.37</v>
      </c>
      <c r="O2134" s="17">
        <f t="shared" si="183"/>
        <v>2607</v>
      </c>
      <c r="P2134" s="18">
        <f t="shared" si="184"/>
        <v>224957.76930000001</v>
      </c>
    </row>
    <row r="2135" spans="2:16" ht="12.75">
      <c r="B2135" s="10">
        <v>46157</v>
      </c>
      <c r="C2135" s="11">
        <f>VLOOKUP(B:B,'Курс валют'!A:D,4,0)</f>
        <v>86.289900000000003</v>
      </c>
      <c r="D2135" s="57" t="s">
        <v>661</v>
      </c>
      <c r="E2135" s="50" t="s">
        <v>15</v>
      </c>
      <c r="F2135" s="58">
        <v>1100</v>
      </c>
      <c r="G2135" s="13">
        <v>1108.5</v>
      </c>
      <c r="H2135" s="56">
        <v>0</v>
      </c>
      <c r="I2135" s="13">
        <f t="shared" si="178"/>
        <v>8.5</v>
      </c>
      <c r="J2135" s="14">
        <f t="shared" si="180"/>
        <v>0.77272727272727271</v>
      </c>
      <c r="K2135" s="56">
        <v>2.37</v>
      </c>
      <c r="L2135" s="15">
        <f t="shared" si="181"/>
        <v>0</v>
      </c>
      <c r="M2135" s="16">
        <f t="shared" si="182"/>
        <v>204.50706300000002</v>
      </c>
      <c r="N2135" s="17">
        <f t="shared" si="179"/>
        <v>2.37</v>
      </c>
      <c r="O2135" s="17">
        <f t="shared" si="183"/>
        <v>2607</v>
      </c>
      <c r="P2135" s="18">
        <f t="shared" si="184"/>
        <v>224957.76930000001</v>
      </c>
    </row>
    <row r="2136" spans="2:16" ht="12.75">
      <c r="B2136" s="10">
        <v>46157</v>
      </c>
      <c r="C2136" s="11">
        <f>VLOOKUP(B:B,'Курс валют'!A:D,4,0)</f>
        <v>86.289900000000003</v>
      </c>
      <c r="D2136" s="57" t="s">
        <v>662</v>
      </c>
      <c r="E2136" s="50" t="s">
        <v>15</v>
      </c>
      <c r="F2136" s="58">
        <v>1100</v>
      </c>
      <c r="G2136" s="13">
        <v>1108.5</v>
      </c>
      <c r="H2136" s="56">
        <v>0</v>
      </c>
      <c r="I2136" s="13">
        <f t="shared" si="178"/>
        <v>8.5</v>
      </c>
      <c r="J2136" s="14">
        <f t="shared" si="180"/>
        <v>0.77272727272727271</v>
      </c>
      <c r="K2136" s="56">
        <v>2.37</v>
      </c>
      <c r="L2136" s="15">
        <f t="shared" si="181"/>
        <v>0</v>
      </c>
      <c r="M2136" s="16">
        <f t="shared" si="182"/>
        <v>204.50706300000002</v>
      </c>
      <c r="N2136" s="17">
        <f t="shared" si="179"/>
        <v>2.37</v>
      </c>
      <c r="O2136" s="17">
        <f t="shared" si="183"/>
        <v>2607</v>
      </c>
      <c r="P2136" s="18">
        <f t="shared" si="184"/>
        <v>224957.76930000001</v>
      </c>
    </row>
    <row r="2137" spans="2:16" ht="12.75">
      <c r="B2137" s="10">
        <v>46157</v>
      </c>
      <c r="C2137" s="11">
        <f>VLOOKUP(B:B,'Курс валют'!A:D,4,0)</f>
        <v>86.289900000000003</v>
      </c>
      <c r="D2137" s="57" t="s">
        <v>663</v>
      </c>
      <c r="E2137" s="50" t="s">
        <v>15</v>
      </c>
      <c r="F2137" s="58">
        <v>1100</v>
      </c>
      <c r="G2137" s="13">
        <v>1108.5</v>
      </c>
      <c r="H2137" s="56">
        <v>0</v>
      </c>
      <c r="I2137" s="13">
        <f t="shared" si="178"/>
        <v>8.5</v>
      </c>
      <c r="J2137" s="14">
        <f t="shared" si="180"/>
        <v>0.77272727272727271</v>
      </c>
      <c r="K2137" s="56">
        <v>2.37</v>
      </c>
      <c r="L2137" s="15">
        <f t="shared" si="181"/>
        <v>0</v>
      </c>
      <c r="M2137" s="16">
        <f t="shared" si="182"/>
        <v>204.50706300000002</v>
      </c>
      <c r="N2137" s="17">
        <f t="shared" si="179"/>
        <v>2.37</v>
      </c>
      <c r="O2137" s="17">
        <f t="shared" si="183"/>
        <v>2607</v>
      </c>
      <c r="P2137" s="18">
        <f t="shared" si="184"/>
        <v>224957.76930000001</v>
      </c>
    </row>
    <row r="2138" spans="2:16" ht="12.75">
      <c r="B2138" s="10">
        <v>46157</v>
      </c>
      <c r="C2138" s="11">
        <f>VLOOKUP(B:B,'Курс валют'!A:D,4,0)</f>
        <v>86.289900000000003</v>
      </c>
      <c r="D2138" s="57" t="s">
        <v>664</v>
      </c>
      <c r="E2138" s="50" t="s">
        <v>15</v>
      </c>
      <c r="F2138" s="58">
        <v>1100</v>
      </c>
      <c r="G2138" s="13">
        <v>1108.5</v>
      </c>
      <c r="H2138" s="56">
        <v>0</v>
      </c>
      <c r="I2138" s="13">
        <f t="shared" si="178"/>
        <v>8.5</v>
      </c>
      <c r="J2138" s="14">
        <f t="shared" si="180"/>
        <v>0.77272727272727271</v>
      </c>
      <c r="K2138" s="56">
        <v>2.37</v>
      </c>
      <c r="L2138" s="15">
        <f t="shared" si="181"/>
        <v>0</v>
      </c>
      <c r="M2138" s="16">
        <f t="shared" si="182"/>
        <v>204.50706300000002</v>
      </c>
      <c r="N2138" s="17">
        <f t="shared" si="179"/>
        <v>2.37</v>
      </c>
      <c r="O2138" s="17">
        <f t="shared" si="183"/>
        <v>2607</v>
      </c>
      <c r="P2138" s="18">
        <f t="shared" si="184"/>
        <v>224957.76930000001</v>
      </c>
    </row>
    <row r="2139" spans="2:16" ht="12.75">
      <c r="B2139" s="10">
        <v>46158</v>
      </c>
      <c r="C2139" s="11">
        <f>VLOOKUP(B:B,'Курс валют'!A:D,4,0)</f>
        <v>85.183000000000007</v>
      </c>
      <c r="D2139" s="57" t="s">
        <v>665</v>
      </c>
      <c r="E2139" s="50" t="s">
        <v>58</v>
      </c>
      <c r="F2139" s="58">
        <v>1100</v>
      </c>
      <c r="G2139" s="13">
        <v>1108.01</v>
      </c>
      <c r="H2139" s="56">
        <v>0</v>
      </c>
      <c r="I2139" s="13">
        <f t="shared" si="178"/>
        <v>8.0099999999999909</v>
      </c>
      <c r="J2139" s="14">
        <f t="shared" si="180"/>
        <v>0.72818181818181726</v>
      </c>
      <c r="K2139" s="56">
        <v>2.4300000000000002</v>
      </c>
      <c r="L2139" s="15">
        <f t="shared" si="181"/>
        <v>0</v>
      </c>
      <c r="M2139" s="16">
        <f t="shared" si="182"/>
        <v>206.99469000000002</v>
      </c>
      <c r="N2139" s="17">
        <f t="shared" si="179"/>
        <v>2.4300000000000002</v>
      </c>
      <c r="O2139" s="17">
        <f t="shared" si="183"/>
        <v>2673</v>
      </c>
      <c r="P2139" s="18">
        <f t="shared" si="184"/>
        <v>227694.15900000001</v>
      </c>
    </row>
    <row r="2140" spans="2:16" ht="12.75">
      <c r="B2140" s="10">
        <v>46158</v>
      </c>
      <c r="C2140" s="11">
        <f>VLOOKUP(B:B,'Курс валют'!A:D,4,0)</f>
        <v>85.183000000000007</v>
      </c>
      <c r="D2140" s="57" t="s">
        <v>666</v>
      </c>
      <c r="E2140" s="50" t="s">
        <v>58</v>
      </c>
      <c r="F2140" s="58">
        <v>1100</v>
      </c>
      <c r="G2140" s="13">
        <v>1108.01</v>
      </c>
      <c r="H2140" s="56">
        <v>0</v>
      </c>
      <c r="I2140" s="13">
        <f t="shared" si="178"/>
        <v>8.0099999999999909</v>
      </c>
      <c r="J2140" s="14">
        <f t="shared" si="180"/>
        <v>0.72818181818181726</v>
      </c>
      <c r="K2140" s="56">
        <v>2.4300000000000002</v>
      </c>
      <c r="L2140" s="15">
        <f t="shared" si="181"/>
        <v>0</v>
      </c>
      <c r="M2140" s="16">
        <f t="shared" si="182"/>
        <v>206.99469000000002</v>
      </c>
      <c r="N2140" s="17">
        <f t="shared" si="179"/>
        <v>2.4300000000000002</v>
      </c>
      <c r="O2140" s="17">
        <f t="shared" si="183"/>
        <v>2673</v>
      </c>
      <c r="P2140" s="18">
        <f t="shared" si="184"/>
        <v>227694.15900000001</v>
      </c>
    </row>
    <row r="2141" spans="2:16" ht="12.75">
      <c r="B2141" s="10">
        <v>46158</v>
      </c>
      <c r="C2141" s="11">
        <f>VLOOKUP(B:B,'Курс валют'!A:D,4,0)</f>
        <v>85.183000000000007</v>
      </c>
      <c r="D2141" s="57" t="s">
        <v>667</v>
      </c>
      <c r="E2141" s="50" t="s">
        <v>58</v>
      </c>
      <c r="F2141" s="58">
        <v>1100</v>
      </c>
      <c r="G2141" s="13">
        <v>1108.01</v>
      </c>
      <c r="H2141" s="56">
        <v>0</v>
      </c>
      <c r="I2141" s="13">
        <f t="shared" si="178"/>
        <v>8.0099999999999909</v>
      </c>
      <c r="J2141" s="14">
        <f t="shared" si="180"/>
        <v>0.72818181818181726</v>
      </c>
      <c r="K2141" s="56">
        <v>2.4300000000000002</v>
      </c>
      <c r="L2141" s="15">
        <f t="shared" si="181"/>
        <v>0</v>
      </c>
      <c r="M2141" s="16">
        <f t="shared" si="182"/>
        <v>206.99469000000002</v>
      </c>
      <c r="N2141" s="17">
        <f t="shared" si="179"/>
        <v>2.4300000000000002</v>
      </c>
      <c r="O2141" s="17">
        <f t="shared" si="183"/>
        <v>2673</v>
      </c>
      <c r="P2141" s="18">
        <f t="shared" si="184"/>
        <v>227694.15900000001</v>
      </c>
    </row>
    <row r="2142" spans="2:16" ht="12.75">
      <c r="B2142" s="10">
        <v>46158</v>
      </c>
      <c r="C2142" s="11">
        <f>VLOOKUP(B:B,'Курс валют'!A:D,4,0)</f>
        <v>85.183000000000007</v>
      </c>
      <c r="D2142" s="57" t="s">
        <v>668</v>
      </c>
      <c r="E2142" s="50" t="s">
        <v>58</v>
      </c>
      <c r="F2142" s="58">
        <v>1100</v>
      </c>
      <c r="G2142" s="13">
        <v>1108.01</v>
      </c>
      <c r="H2142" s="56">
        <v>0</v>
      </c>
      <c r="I2142" s="13">
        <f t="shared" si="178"/>
        <v>8.0099999999999909</v>
      </c>
      <c r="J2142" s="14">
        <f t="shared" si="180"/>
        <v>0.72818181818181726</v>
      </c>
      <c r="K2142" s="56">
        <v>2.4700000000000002</v>
      </c>
      <c r="L2142" s="15">
        <f t="shared" si="181"/>
        <v>0</v>
      </c>
      <c r="M2142" s="16">
        <f t="shared" si="182"/>
        <v>210.40201000000002</v>
      </c>
      <c r="N2142" s="17">
        <f t="shared" si="179"/>
        <v>2.4700000000000002</v>
      </c>
      <c r="O2142" s="17">
        <f t="shared" si="183"/>
        <v>2717</v>
      </c>
      <c r="P2142" s="18">
        <f t="shared" si="184"/>
        <v>231442.21100000001</v>
      </c>
    </row>
    <row r="2143" spans="2:16" ht="12.75">
      <c r="B2143" s="10">
        <v>46158</v>
      </c>
      <c r="C2143" s="11">
        <f>VLOOKUP(B:B,'Курс валют'!A:D,4,0)</f>
        <v>85.183000000000007</v>
      </c>
      <c r="D2143" s="57" t="s">
        <v>669</v>
      </c>
      <c r="E2143" s="50" t="s">
        <v>58</v>
      </c>
      <c r="F2143" s="58">
        <v>1100</v>
      </c>
      <c r="G2143" s="13">
        <v>1108.01</v>
      </c>
      <c r="H2143" s="56">
        <v>0</v>
      </c>
      <c r="I2143" s="13">
        <f t="shared" si="178"/>
        <v>8.0099999999999909</v>
      </c>
      <c r="J2143" s="14">
        <f t="shared" si="180"/>
        <v>0.72818181818181726</v>
      </c>
      <c r="K2143" s="56">
        <v>2.4700000000000002</v>
      </c>
      <c r="L2143" s="15">
        <f t="shared" si="181"/>
        <v>0</v>
      </c>
      <c r="M2143" s="16">
        <f t="shared" si="182"/>
        <v>210.40201000000002</v>
      </c>
      <c r="N2143" s="17">
        <f t="shared" si="179"/>
        <v>2.4700000000000002</v>
      </c>
      <c r="O2143" s="17">
        <f t="shared" si="183"/>
        <v>2717</v>
      </c>
      <c r="P2143" s="18">
        <f t="shared" si="184"/>
        <v>231442.21100000001</v>
      </c>
    </row>
    <row r="2144" spans="2:16" ht="12.75">
      <c r="B2144" s="10">
        <v>46158</v>
      </c>
      <c r="C2144" s="11">
        <f>VLOOKUP(B:B,'Курс валют'!A:D,4,0)</f>
        <v>85.183000000000007</v>
      </c>
      <c r="D2144" s="57" t="s">
        <v>670</v>
      </c>
      <c r="E2144" s="50" t="s">
        <v>58</v>
      </c>
      <c r="F2144" s="58">
        <v>1100</v>
      </c>
      <c r="G2144" s="13">
        <v>1108.01</v>
      </c>
      <c r="H2144" s="56">
        <v>0</v>
      </c>
      <c r="I2144" s="13">
        <f t="shared" si="178"/>
        <v>8.0099999999999909</v>
      </c>
      <c r="J2144" s="14">
        <f t="shared" si="180"/>
        <v>0.72818181818181726</v>
      </c>
      <c r="K2144" s="56">
        <v>2.4700000000000002</v>
      </c>
      <c r="L2144" s="15">
        <f t="shared" si="181"/>
        <v>0</v>
      </c>
      <c r="M2144" s="16">
        <f t="shared" si="182"/>
        <v>210.40201000000002</v>
      </c>
      <c r="N2144" s="17">
        <f t="shared" si="179"/>
        <v>2.4700000000000002</v>
      </c>
      <c r="O2144" s="17">
        <f t="shared" si="183"/>
        <v>2717</v>
      </c>
      <c r="P2144" s="18">
        <f t="shared" si="184"/>
        <v>231442.21100000001</v>
      </c>
    </row>
    <row r="2145" spans="2:18" ht="12.75">
      <c r="B2145" s="10">
        <v>46158</v>
      </c>
      <c r="C2145" s="11">
        <f>VLOOKUP(B:B,'Курс валют'!A:D,4,0)</f>
        <v>85.183000000000007</v>
      </c>
      <c r="D2145" s="57" t="s">
        <v>671</v>
      </c>
      <c r="E2145" s="50" t="s">
        <v>58</v>
      </c>
      <c r="F2145" s="58">
        <v>1100</v>
      </c>
      <c r="G2145" s="13">
        <v>1108.01</v>
      </c>
      <c r="H2145" s="56">
        <v>0</v>
      </c>
      <c r="I2145" s="13">
        <f t="shared" si="178"/>
        <v>8.0099999999999909</v>
      </c>
      <c r="J2145" s="14">
        <f t="shared" si="180"/>
        <v>0.72818181818181726</v>
      </c>
      <c r="K2145" s="56">
        <v>2.4700000000000002</v>
      </c>
      <c r="L2145" s="15">
        <f t="shared" si="181"/>
        <v>0</v>
      </c>
      <c r="M2145" s="16">
        <f t="shared" si="182"/>
        <v>210.40201000000002</v>
      </c>
      <c r="N2145" s="17">
        <f t="shared" si="179"/>
        <v>2.4700000000000002</v>
      </c>
      <c r="O2145" s="17">
        <f t="shared" si="183"/>
        <v>2717</v>
      </c>
      <c r="P2145" s="18">
        <f t="shared" si="184"/>
        <v>231442.21100000001</v>
      </c>
    </row>
    <row r="2146" spans="2:18" ht="12.75">
      <c r="B2146" s="10">
        <v>46158</v>
      </c>
      <c r="C2146" s="11">
        <f>VLOOKUP(B:B,'Курс валют'!A:D,4,0)</f>
        <v>85.183000000000007</v>
      </c>
      <c r="D2146" s="57" t="s">
        <v>672</v>
      </c>
      <c r="E2146" s="50" t="s">
        <v>58</v>
      </c>
      <c r="F2146" s="58">
        <v>1100</v>
      </c>
      <c r="G2146" s="13">
        <v>1108.01</v>
      </c>
      <c r="H2146" s="56">
        <v>0</v>
      </c>
      <c r="I2146" s="13">
        <f t="shared" si="178"/>
        <v>8.0099999999999909</v>
      </c>
      <c r="J2146" s="14">
        <f t="shared" si="180"/>
        <v>0.72818181818181726</v>
      </c>
      <c r="K2146" s="56">
        <v>2.4700000000000002</v>
      </c>
      <c r="L2146" s="15">
        <f t="shared" si="181"/>
        <v>0</v>
      </c>
      <c r="M2146" s="16">
        <f t="shared" si="182"/>
        <v>210.40201000000002</v>
      </c>
      <c r="N2146" s="17">
        <f t="shared" si="179"/>
        <v>2.4700000000000002</v>
      </c>
      <c r="O2146" s="17">
        <f t="shared" si="183"/>
        <v>2717</v>
      </c>
      <c r="P2146" s="18">
        <f t="shared" si="184"/>
        <v>231442.21100000001</v>
      </c>
    </row>
    <row r="2147" spans="2:18" ht="12.75">
      <c r="B2147" s="10">
        <v>46158</v>
      </c>
      <c r="C2147" s="11">
        <f>VLOOKUP(B:B,'Курс валют'!A:D,4,0)</f>
        <v>85.183000000000007</v>
      </c>
      <c r="D2147" s="57" t="s">
        <v>673</v>
      </c>
      <c r="E2147" s="50" t="s">
        <v>51</v>
      </c>
      <c r="F2147" s="58">
        <v>800</v>
      </c>
      <c r="G2147" s="13">
        <v>805.14</v>
      </c>
      <c r="H2147" s="56">
        <v>0</v>
      </c>
      <c r="I2147" s="13">
        <f t="shared" si="178"/>
        <v>5.1399999999999864</v>
      </c>
      <c r="J2147" s="14">
        <f t="shared" si="180"/>
        <v>0.64249999999999829</v>
      </c>
      <c r="K2147" s="56">
        <v>1.88</v>
      </c>
      <c r="L2147" s="15">
        <f t="shared" si="181"/>
        <v>0</v>
      </c>
      <c r="M2147" s="16">
        <f t="shared" si="182"/>
        <v>160.14404000000002</v>
      </c>
      <c r="N2147" s="17">
        <f t="shared" si="179"/>
        <v>1.88</v>
      </c>
      <c r="O2147" s="17">
        <f t="shared" si="183"/>
        <v>1504</v>
      </c>
      <c r="P2147" s="18">
        <f t="shared" si="184"/>
        <v>128115.232</v>
      </c>
    </row>
    <row r="2148" spans="2:18" ht="12.75">
      <c r="B2148" s="10">
        <v>46158</v>
      </c>
      <c r="C2148" s="11">
        <f>VLOOKUP(B:B,'Курс валют'!A:D,4,0)</f>
        <v>85.183000000000007</v>
      </c>
      <c r="D2148" s="57" t="s">
        <v>674</v>
      </c>
      <c r="E2148" s="50" t="s">
        <v>51</v>
      </c>
      <c r="F2148" s="58">
        <v>800</v>
      </c>
      <c r="G2148" s="13">
        <v>805.14</v>
      </c>
      <c r="H2148" s="56">
        <v>0</v>
      </c>
      <c r="I2148" s="13">
        <f t="shared" si="178"/>
        <v>5.1399999999999864</v>
      </c>
      <c r="J2148" s="14">
        <f t="shared" si="180"/>
        <v>0.64249999999999829</v>
      </c>
      <c r="K2148" s="56">
        <v>1.8</v>
      </c>
      <c r="L2148" s="15">
        <f t="shared" si="181"/>
        <v>0</v>
      </c>
      <c r="M2148" s="16">
        <f t="shared" si="182"/>
        <v>153.32939999999999</v>
      </c>
      <c r="N2148" s="17">
        <f t="shared" si="179"/>
        <v>1.8</v>
      </c>
      <c r="O2148" s="17">
        <f t="shared" si="183"/>
        <v>1440</v>
      </c>
      <c r="P2148" s="18">
        <f t="shared" si="184"/>
        <v>122663.52</v>
      </c>
    </row>
    <row r="2149" spans="2:18" ht="12.75">
      <c r="B2149" s="10">
        <v>46158</v>
      </c>
      <c r="C2149" s="11">
        <f>VLOOKUP(B:B,'Курс валют'!A:D,4,0)</f>
        <v>85.183000000000007</v>
      </c>
      <c r="D2149" s="57" t="s">
        <v>675</v>
      </c>
      <c r="E2149" s="50" t="s">
        <v>51</v>
      </c>
      <c r="F2149" s="58">
        <v>800</v>
      </c>
      <c r="G2149" s="13">
        <v>805.14</v>
      </c>
      <c r="H2149" s="56">
        <v>0</v>
      </c>
      <c r="I2149" s="13">
        <f t="shared" si="178"/>
        <v>5.1399999999999864</v>
      </c>
      <c r="J2149" s="14">
        <f t="shared" si="180"/>
        <v>0.64249999999999829</v>
      </c>
      <c r="K2149" s="56">
        <v>1.8</v>
      </c>
      <c r="L2149" s="15">
        <f t="shared" si="181"/>
        <v>0</v>
      </c>
      <c r="M2149" s="16">
        <f t="shared" si="182"/>
        <v>153.32939999999999</v>
      </c>
      <c r="N2149" s="17">
        <f t="shared" si="179"/>
        <v>1.8</v>
      </c>
      <c r="O2149" s="17">
        <f t="shared" si="183"/>
        <v>1440</v>
      </c>
      <c r="P2149" s="18">
        <f t="shared" si="184"/>
        <v>122663.52</v>
      </c>
    </row>
    <row r="2150" spans="2:18" ht="12.75">
      <c r="B2150" s="10">
        <v>46158</v>
      </c>
      <c r="C2150" s="11">
        <f>VLOOKUP(B:B,'Курс валют'!A:D,4,0)</f>
        <v>85.183000000000007</v>
      </c>
      <c r="D2150" s="57" t="s">
        <v>676</v>
      </c>
      <c r="E2150" s="50" t="s">
        <v>51</v>
      </c>
      <c r="F2150" s="58">
        <v>800</v>
      </c>
      <c r="G2150" s="13">
        <v>805.14</v>
      </c>
      <c r="H2150" s="56">
        <v>0</v>
      </c>
      <c r="I2150" s="13">
        <f t="shared" si="178"/>
        <v>5.1399999999999864</v>
      </c>
      <c r="J2150" s="14">
        <f t="shared" si="180"/>
        <v>0.64249999999999829</v>
      </c>
      <c r="K2150" s="56">
        <v>1.8</v>
      </c>
      <c r="L2150" s="15">
        <f t="shared" si="181"/>
        <v>0</v>
      </c>
      <c r="M2150" s="16">
        <f t="shared" si="182"/>
        <v>153.32939999999999</v>
      </c>
      <c r="N2150" s="17">
        <f t="shared" si="179"/>
        <v>1.8</v>
      </c>
      <c r="O2150" s="17">
        <f t="shared" si="183"/>
        <v>1440</v>
      </c>
      <c r="P2150" s="18">
        <f t="shared" si="184"/>
        <v>122663.52</v>
      </c>
    </row>
    <row r="2151" spans="2:18" ht="12.75">
      <c r="B2151" s="10">
        <v>46158</v>
      </c>
      <c r="C2151" s="11">
        <f>VLOOKUP(B:B,'Курс валют'!A:D,4,0)</f>
        <v>85.183000000000007</v>
      </c>
      <c r="D2151" s="57" t="s">
        <v>677</v>
      </c>
      <c r="E2151" s="50" t="s">
        <v>51</v>
      </c>
      <c r="F2151" s="58">
        <v>800</v>
      </c>
      <c r="G2151" s="13">
        <v>805.14</v>
      </c>
      <c r="H2151" s="56">
        <v>0</v>
      </c>
      <c r="I2151" s="13">
        <f t="shared" si="178"/>
        <v>5.1399999999999864</v>
      </c>
      <c r="J2151" s="14">
        <f t="shared" si="180"/>
        <v>0.64249999999999829</v>
      </c>
      <c r="K2151" s="56">
        <v>1.82</v>
      </c>
      <c r="L2151" s="15">
        <f t="shared" si="181"/>
        <v>0</v>
      </c>
      <c r="M2151" s="16">
        <f t="shared" si="182"/>
        <v>155.03306000000001</v>
      </c>
      <c r="N2151" s="17">
        <f t="shared" si="179"/>
        <v>1.82</v>
      </c>
      <c r="O2151" s="17">
        <f t="shared" si="183"/>
        <v>1456</v>
      </c>
      <c r="P2151" s="18">
        <f t="shared" si="184"/>
        <v>124026.448</v>
      </c>
    </row>
    <row r="2152" spans="2:18" ht="12.75">
      <c r="B2152" s="10">
        <v>46159</v>
      </c>
      <c r="C2152" s="11">
        <f>VLOOKUP(B:B,'Курс валют'!A:D,4,0)</f>
        <v>85.183000000000007</v>
      </c>
      <c r="D2152" s="57" t="s">
        <v>678</v>
      </c>
      <c r="E2152" s="50" t="s">
        <v>58</v>
      </c>
      <c r="F2152" s="58">
        <v>1100</v>
      </c>
      <c r="G2152" s="13">
        <v>1108.01</v>
      </c>
      <c r="H2152" s="56">
        <v>0</v>
      </c>
      <c r="I2152" s="13">
        <f t="shared" si="178"/>
        <v>8.0099999999999909</v>
      </c>
      <c r="J2152" s="14">
        <f t="shared" si="180"/>
        <v>0.72818181818181726</v>
      </c>
      <c r="K2152" s="56">
        <v>2.48</v>
      </c>
      <c r="L2152" s="15">
        <f t="shared" si="181"/>
        <v>0</v>
      </c>
      <c r="M2152" s="16">
        <f t="shared" si="182"/>
        <v>211.25384000000003</v>
      </c>
      <c r="N2152" s="17">
        <f t="shared" si="179"/>
        <v>2.48</v>
      </c>
      <c r="O2152" s="17">
        <f t="shared" si="183"/>
        <v>2728</v>
      </c>
      <c r="P2152" s="18">
        <f t="shared" si="184"/>
        <v>232379.22400000002</v>
      </c>
    </row>
    <row r="2153" spans="2:18" ht="12.75">
      <c r="B2153" s="10">
        <v>46159</v>
      </c>
      <c r="C2153" s="11">
        <f>VLOOKUP(B:B,'Курс валют'!A:D,4,0)</f>
        <v>85.183000000000007</v>
      </c>
      <c r="D2153" s="57" t="s">
        <v>679</v>
      </c>
      <c r="E2153" s="50" t="s">
        <v>58</v>
      </c>
      <c r="F2153" s="58">
        <v>1100</v>
      </c>
      <c r="G2153" s="13">
        <v>1108.01</v>
      </c>
      <c r="H2153" s="56">
        <v>0</v>
      </c>
      <c r="I2153" s="13">
        <f t="shared" si="178"/>
        <v>8.0099999999999909</v>
      </c>
      <c r="J2153" s="14">
        <f t="shared" si="180"/>
        <v>0.72818181818181726</v>
      </c>
      <c r="K2153" s="56">
        <v>2.48</v>
      </c>
      <c r="L2153" s="15">
        <f t="shared" si="181"/>
        <v>0</v>
      </c>
      <c r="M2153" s="16">
        <f t="shared" si="182"/>
        <v>211.25384000000003</v>
      </c>
      <c r="N2153" s="17">
        <f t="shared" si="179"/>
        <v>2.48</v>
      </c>
      <c r="O2153" s="17">
        <f t="shared" si="183"/>
        <v>2728</v>
      </c>
      <c r="P2153" s="18">
        <f t="shared" si="184"/>
        <v>232379.22400000002</v>
      </c>
    </row>
    <row r="2154" spans="2:18" ht="12.75">
      <c r="B2154" s="10">
        <v>46159</v>
      </c>
      <c r="C2154" s="11">
        <f>VLOOKUP(B:B,'Курс валют'!A:D,4,0)</f>
        <v>85.183000000000007</v>
      </c>
      <c r="D2154" s="57" t="s">
        <v>680</v>
      </c>
      <c r="E2154" s="50" t="s">
        <v>58</v>
      </c>
      <c r="F2154" s="58">
        <v>1100</v>
      </c>
      <c r="G2154" s="13">
        <v>1108.01</v>
      </c>
      <c r="H2154" s="56">
        <v>0</v>
      </c>
      <c r="I2154" s="13">
        <f t="shared" si="178"/>
        <v>8.0099999999999909</v>
      </c>
      <c r="J2154" s="14">
        <f t="shared" si="180"/>
        <v>0.72818181818181726</v>
      </c>
      <c r="K2154" s="56">
        <v>2.4700000000000002</v>
      </c>
      <c r="L2154" s="15">
        <f t="shared" si="181"/>
        <v>0</v>
      </c>
      <c r="M2154" s="16">
        <f t="shared" si="182"/>
        <v>210.40201000000002</v>
      </c>
      <c r="N2154" s="17">
        <f t="shared" si="179"/>
        <v>2.4700000000000002</v>
      </c>
      <c r="O2154" s="17">
        <f t="shared" si="183"/>
        <v>2717</v>
      </c>
      <c r="P2154" s="18">
        <f t="shared" si="184"/>
        <v>231442.21100000001</v>
      </c>
    </row>
    <row r="2155" spans="2:18" ht="12.75">
      <c r="B2155" s="10">
        <v>46159</v>
      </c>
      <c r="C2155" s="11">
        <f>VLOOKUP(B:B,'Курс валют'!A:D,4,0)</f>
        <v>85.183000000000007</v>
      </c>
      <c r="D2155" s="57" t="s">
        <v>681</v>
      </c>
      <c r="E2155" s="50" t="s">
        <v>58</v>
      </c>
      <c r="F2155" s="58">
        <v>1100</v>
      </c>
      <c r="G2155" s="13">
        <v>1108.01</v>
      </c>
      <c r="H2155" s="56">
        <v>0</v>
      </c>
      <c r="I2155" s="13">
        <f t="shared" si="178"/>
        <v>8.0099999999999909</v>
      </c>
      <c r="J2155" s="14">
        <f t="shared" si="180"/>
        <v>0.72818181818181726</v>
      </c>
      <c r="K2155" s="56">
        <v>2.4900000000000002</v>
      </c>
      <c r="L2155" s="15">
        <f t="shared" si="181"/>
        <v>0</v>
      </c>
      <c r="M2155" s="16">
        <f t="shared" si="182"/>
        <v>212.10567000000006</v>
      </c>
      <c r="N2155" s="17">
        <f t="shared" si="179"/>
        <v>2.4900000000000002</v>
      </c>
      <c r="O2155" s="17">
        <f t="shared" si="183"/>
        <v>2739.0000000000005</v>
      </c>
      <c r="P2155" s="18">
        <f t="shared" si="184"/>
        <v>233316.23700000005</v>
      </c>
    </row>
    <row r="2156" spans="2:18" ht="12.75">
      <c r="B2156" s="10">
        <v>46159</v>
      </c>
      <c r="C2156" s="11">
        <f>VLOOKUP(B:B,'Курс валют'!A:D,4,0)</f>
        <v>85.183000000000007</v>
      </c>
      <c r="D2156" s="57" t="s">
        <v>682</v>
      </c>
      <c r="E2156" s="50" t="s">
        <v>58</v>
      </c>
      <c r="F2156" s="58">
        <v>1100</v>
      </c>
      <c r="G2156" s="13">
        <v>1108.01</v>
      </c>
      <c r="H2156" s="56">
        <v>0</v>
      </c>
      <c r="I2156" s="13">
        <f t="shared" si="178"/>
        <v>8.0099999999999909</v>
      </c>
      <c r="J2156" s="14">
        <f t="shared" si="180"/>
        <v>0.72818181818181726</v>
      </c>
      <c r="K2156" s="56">
        <v>2.4900000000000002</v>
      </c>
      <c r="L2156" s="15">
        <f t="shared" si="181"/>
        <v>0</v>
      </c>
      <c r="M2156" s="16">
        <f t="shared" si="182"/>
        <v>212.10567000000006</v>
      </c>
      <c r="N2156" s="17">
        <f t="shared" si="179"/>
        <v>2.4900000000000002</v>
      </c>
      <c r="O2156" s="17">
        <f t="shared" si="183"/>
        <v>2739.0000000000005</v>
      </c>
      <c r="P2156" s="18">
        <f t="shared" si="184"/>
        <v>233316.23700000005</v>
      </c>
    </row>
    <row r="2157" spans="2:18" ht="12.75">
      <c r="B2157" s="10">
        <v>46159</v>
      </c>
      <c r="C2157" s="11">
        <f>VLOOKUP(B:B,'Курс валют'!A:D,4,0)</f>
        <v>85.183000000000007</v>
      </c>
      <c r="D2157" s="57" t="s">
        <v>683</v>
      </c>
      <c r="E2157" s="50" t="s">
        <v>58</v>
      </c>
      <c r="F2157" s="58">
        <v>1100</v>
      </c>
      <c r="G2157" s="13">
        <v>1108.01</v>
      </c>
      <c r="H2157" s="56">
        <v>0</v>
      </c>
      <c r="I2157" s="13">
        <f t="shared" si="178"/>
        <v>8.0099999999999909</v>
      </c>
      <c r="J2157" s="14">
        <f t="shared" si="180"/>
        <v>0.72818181818181726</v>
      </c>
      <c r="K2157" s="56">
        <v>2.4900000000000002</v>
      </c>
      <c r="L2157" s="15">
        <f t="shared" si="181"/>
        <v>0</v>
      </c>
      <c r="M2157" s="16">
        <f t="shared" si="182"/>
        <v>212.10567000000006</v>
      </c>
      <c r="N2157" s="17">
        <f t="shared" si="179"/>
        <v>2.4900000000000002</v>
      </c>
      <c r="O2157" s="17">
        <f t="shared" si="183"/>
        <v>2739.0000000000005</v>
      </c>
      <c r="P2157" s="18">
        <f t="shared" si="184"/>
        <v>233316.23700000005</v>
      </c>
    </row>
    <row r="2158" spans="2:18" ht="12.75">
      <c r="B2158" s="10">
        <v>46159</v>
      </c>
      <c r="C2158" s="11">
        <f>VLOOKUP(B:B,'Курс валют'!A:D,4,0)</f>
        <v>85.183000000000007</v>
      </c>
      <c r="D2158" s="57" t="s">
        <v>684</v>
      </c>
      <c r="E2158" s="50" t="s">
        <v>58</v>
      </c>
      <c r="F2158" s="58">
        <v>1100</v>
      </c>
      <c r="G2158" s="13">
        <v>1108.01</v>
      </c>
      <c r="H2158" s="56">
        <v>0</v>
      </c>
      <c r="I2158" s="13">
        <f t="shared" si="178"/>
        <v>8.0099999999999909</v>
      </c>
      <c r="J2158" s="14">
        <f t="shared" si="180"/>
        <v>0.72818181818181726</v>
      </c>
      <c r="K2158" s="56">
        <v>2.48</v>
      </c>
      <c r="L2158" s="15">
        <f t="shared" si="181"/>
        <v>0</v>
      </c>
      <c r="M2158" s="16">
        <f t="shared" si="182"/>
        <v>211.25384000000003</v>
      </c>
      <c r="N2158" s="17">
        <f t="shared" si="179"/>
        <v>2.48</v>
      </c>
      <c r="O2158" s="17">
        <f t="shared" si="183"/>
        <v>2728</v>
      </c>
      <c r="P2158" s="18">
        <f t="shared" si="184"/>
        <v>232379.22400000002</v>
      </c>
    </row>
    <row r="2159" spans="2:18" ht="12.75">
      <c r="B2159" s="10">
        <v>46159</v>
      </c>
      <c r="C2159" s="11">
        <f>VLOOKUP(B:B,'Курс валют'!A:D,4,0)</f>
        <v>85.183000000000007</v>
      </c>
      <c r="D2159" s="57" t="s">
        <v>685</v>
      </c>
      <c r="E2159" s="50" t="s">
        <v>58</v>
      </c>
      <c r="F2159" s="58">
        <v>1100</v>
      </c>
      <c r="G2159" s="13">
        <v>1108.01</v>
      </c>
      <c r="H2159" s="56">
        <v>0</v>
      </c>
      <c r="I2159" s="13">
        <f t="shared" si="178"/>
        <v>8.0099999999999909</v>
      </c>
      <c r="J2159" s="14">
        <f t="shared" si="180"/>
        <v>0.72818181818181726</v>
      </c>
      <c r="K2159" s="56">
        <v>2.48</v>
      </c>
      <c r="L2159" s="15">
        <f t="shared" si="181"/>
        <v>0</v>
      </c>
      <c r="M2159" s="16">
        <f t="shared" si="182"/>
        <v>211.25384000000003</v>
      </c>
      <c r="N2159" s="17">
        <f t="shared" si="179"/>
        <v>2.48</v>
      </c>
      <c r="O2159" s="17">
        <f t="shared" si="183"/>
        <v>2728</v>
      </c>
      <c r="P2159" s="18">
        <f t="shared" si="184"/>
        <v>232379.22400000002</v>
      </c>
    </row>
    <row r="2160" spans="2:18" ht="12.75">
      <c r="B2160" s="10">
        <v>46159</v>
      </c>
      <c r="C2160" s="11">
        <f>VLOOKUP(B:B,'Курс валют'!A:D,4,0)</f>
        <v>85.183000000000007</v>
      </c>
      <c r="D2160" s="57" t="s">
        <v>686</v>
      </c>
      <c r="E2160" s="50" t="s">
        <v>204</v>
      </c>
      <c r="F2160" s="58">
        <v>440</v>
      </c>
      <c r="G2160" s="13">
        <v>440</v>
      </c>
      <c r="H2160" s="56">
        <v>0</v>
      </c>
      <c r="I2160" s="13">
        <f t="shared" si="178"/>
        <v>0</v>
      </c>
      <c r="J2160" s="14">
        <f t="shared" si="180"/>
        <v>0</v>
      </c>
      <c r="K2160" s="56">
        <v>2.42</v>
      </c>
      <c r="L2160" s="15">
        <f t="shared" si="181"/>
        <v>0</v>
      </c>
      <c r="M2160" s="16">
        <f t="shared" si="182"/>
        <v>206.14285999999998</v>
      </c>
      <c r="N2160" s="17">
        <f t="shared" si="179"/>
        <v>2.42</v>
      </c>
      <c r="O2160" s="17">
        <f t="shared" si="183"/>
        <v>1064.8</v>
      </c>
      <c r="P2160" s="18">
        <f t="shared" si="184"/>
        <v>90702.858399999997</v>
      </c>
      <c r="R2160" s="33" t="s">
        <v>687</v>
      </c>
    </row>
    <row r="2161" spans="2:18" ht="12.75">
      <c r="B2161" s="10">
        <v>46159</v>
      </c>
      <c r="C2161" s="11">
        <f>VLOOKUP(B:B,'Курс валют'!A:D,4,0)</f>
        <v>85.183000000000007</v>
      </c>
      <c r="D2161" s="57" t="s">
        <v>688</v>
      </c>
      <c r="E2161" s="50" t="s">
        <v>207</v>
      </c>
      <c r="F2161" s="58">
        <v>200</v>
      </c>
      <c r="G2161" s="13">
        <v>200</v>
      </c>
      <c r="H2161" s="56">
        <v>0</v>
      </c>
      <c r="I2161" s="13">
        <f t="shared" si="178"/>
        <v>0</v>
      </c>
      <c r="J2161" s="14">
        <f t="shared" si="180"/>
        <v>0</v>
      </c>
      <c r="K2161" s="56">
        <v>2.84</v>
      </c>
      <c r="L2161" s="15">
        <f t="shared" si="181"/>
        <v>0</v>
      </c>
      <c r="M2161" s="16">
        <f t="shared" si="182"/>
        <v>241.91972000000001</v>
      </c>
      <c r="N2161" s="17">
        <f t="shared" si="179"/>
        <v>2.84</v>
      </c>
      <c r="O2161" s="17">
        <f t="shared" si="183"/>
        <v>568</v>
      </c>
      <c r="P2161" s="18">
        <f t="shared" si="184"/>
        <v>48383.944000000003</v>
      </c>
      <c r="R2161" s="33" t="s">
        <v>689</v>
      </c>
    </row>
    <row r="2162" spans="2:18" ht="12.75">
      <c r="B2162" s="10">
        <v>46161</v>
      </c>
      <c r="C2162" s="11">
        <f>VLOOKUP(B:B,'Курс валют'!A:D,4,0)</f>
        <v>84.074200000000005</v>
      </c>
      <c r="D2162" s="57" t="s">
        <v>690</v>
      </c>
      <c r="E2162" s="50" t="s">
        <v>58</v>
      </c>
      <c r="F2162" s="58">
        <v>1100</v>
      </c>
      <c r="G2162" s="13">
        <v>1108.01</v>
      </c>
      <c r="H2162" s="56">
        <v>0</v>
      </c>
      <c r="I2162" s="13">
        <f t="shared" si="178"/>
        <v>8.0099999999999909</v>
      </c>
      <c r="J2162" s="14">
        <f t="shared" si="180"/>
        <v>0.72818181818181726</v>
      </c>
      <c r="K2162" s="56">
        <v>2.4900000000000002</v>
      </c>
      <c r="L2162" s="15">
        <f t="shared" si="181"/>
        <v>0</v>
      </c>
      <c r="M2162" s="16">
        <f t="shared" si="182"/>
        <v>209.34475800000004</v>
      </c>
      <c r="N2162" s="17">
        <f t="shared" si="179"/>
        <v>2.4900000000000002</v>
      </c>
      <c r="O2162" s="17">
        <f t="shared" si="183"/>
        <v>2739.0000000000005</v>
      </c>
      <c r="P2162" s="18">
        <f t="shared" si="184"/>
        <v>230279.23380000005</v>
      </c>
    </row>
    <row r="2163" spans="2:18" ht="12.75">
      <c r="B2163" s="10">
        <v>46161</v>
      </c>
      <c r="C2163" s="11">
        <f>VLOOKUP(B:B,'Курс валют'!A:D,4,0)</f>
        <v>84.074200000000005</v>
      </c>
      <c r="D2163" s="57" t="s">
        <v>691</v>
      </c>
      <c r="E2163" s="50" t="s">
        <v>58</v>
      </c>
      <c r="F2163" s="58">
        <v>1100</v>
      </c>
      <c r="G2163" s="13">
        <v>1108.01</v>
      </c>
      <c r="H2163" s="56">
        <v>0</v>
      </c>
      <c r="I2163" s="13">
        <f t="shared" si="178"/>
        <v>8.0099999999999909</v>
      </c>
      <c r="J2163" s="14">
        <f t="shared" si="180"/>
        <v>0.72818181818181726</v>
      </c>
      <c r="K2163" s="56">
        <v>2.4900000000000002</v>
      </c>
      <c r="L2163" s="15">
        <f t="shared" si="181"/>
        <v>0</v>
      </c>
      <c r="M2163" s="16">
        <f t="shared" si="182"/>
        <v>209.34475800000004</v>
      </c>
      <c r="N2163" s="17">
        <f t="shared" si="179"/>
        <v>2.4900000000000002</v>
      </c>
      <c r="O2163" s="17">
        <f t="shared" si="183"/>
        <v>2739.0000000000005</v>
      </c>
      <c r="P2163" s="18">
        <f t="shared" si="184"/>
        <v>230279.23380000005</v>
      </c>
    </row>
    <row r="2164" spans="2:18" ht="12.75">
      <c r="B2164" s="10">
        <v>46161</v>
      </c>
      <c r="C2164" s="11">
        <f>VLOOKUP(B:B,'Курс валют'!A:D,4,0)</f>
        <v>84.074200000000005</v>
      </c>
      <c r="D2164" s="57" t="s">
        <v>692</v>
      </c>
      <c r="E2164" s="50" t="s">
        <v>58</v>
      </c>
      <c r="F2164" s="58">
        <v>1100</v>
      </c>
      <c r="G2164" s="13">
        <v>1108.01</v>
      </c>
      <c r="H2164" s="56">
        <v>0</v>
      </c>
      <c r="I2164" s="13">
        <f t="shared" si="178"/>
        <v>8.0099999999999909</v>
      </c>
      <c r="J2164" s="14">
        <f t="shared" si="180"/>
        <v>0.72818181818181726</v>
      </c>
      <c r="K2164" s="56">
        <v>2.4900000000000002</v>
      </c>
      <c r="L2164" s="15">
        <f t="shared" si="181"/>
        <v>0</v>
      </c>
      <c r="M2164" s="16">
        <f t="shared" si="182"/>
        <v>209.34475800000004</v>
      </c>
      <c r="N2164" s="17">
        <f t="shared" si="179"/>
        <v>2.4900000000000002</v>
      </c>
      <c r="O2164" s="17">
        <f t="shared" si="183"/>
        <v>2739.0000000000005</v>
      </c>
      <c r="P2164" s="18">
        <f t="shared" si="184"/>
        <v>230279.23380000005</v>
      </c>
    </row>
    <row r="2165" spans="2:18" ht="12.75">
      <c r="B2165" s="10">
        <v>46161</v>
      </c>
      <c r="C2165" s="11">
        <f>VLOOKUP(B:B,'Курс валют'!A:D,4,0)</f>
        <v>84.074200000000005</v>
      </c>
      <c r="D2165" s="57" t="s">
        <v>693</v>
      </c>
      <c r="E2165" s="50" t="s">
        <v>58</v>
      </c>
      <c r="F2165" s="58">
        <v>1100</v>
      </c>
      <c r="G2165" s="13">
        <v>1108.01</v>
      </c>
      <c r="H2165" s="56">
        <v>0</v>
      </c>
      <c r="I2165" s="13">
        <f t="shared" si="178"/>
        <v>8.0099999999999909</v>
      </c>
      <c r="J2165" s="14">
        <f t="shared" si="180"/>
        <v>0.72818181818181726</v>
      </c>
      <c r="K2165" s="56">
        <v>2.4900000000000002</v>
      </c>
      <c r="L2165" s="15">
        <f t="shared" si="181"/>
        <v>0</v>
      </c>
      <c r="M2165" s="16">
        <f t="shared" si="182"/>
        <v>209.34475800000004</v>
      </c>
      <c r="N2165" s="17">
        <f t="shared" si="179"/>
        <v>2.4900000000000002</v>
      </c>
      <c r="O2165" s="17">
        <f t="shared" si="183"/>
        <v>2739.0000000000005</v>
      </c>
      <c r="P2165" s="18">
        <f t="shared" si="184"/>
        <v>230279.23380000005</v>
      </c>
    </row>
    <row r="2166" spans="2:18" ht="12.75">
      <c r="B2166" s="10">
        <v>46161</v>
      </c>
      <c r="C2166" s="11">
        <f>VLOOKUP(B:B,'Курс валют'!A:D,4,0)</f>
        <v>84.074200000000005</v>
      </c>
      <c r="D2166" s="57" t="s">
        <v>694</v>
      </c>
      <c r="E2166" s="50" t="s">
        <v>58</v>
      </c>
      <c r="F2166" s="58">
        <v>1100</v>
      </c>
      <c r="G2166" s="13">
        <v>1108.01</v>
      </c>
      <c r="H2166" s="56">
        <v>0</v>
      </c>
      <c r="I2166" s="13">
        <f t="shared" si="178"/>
        <v>8.0099999999999909</v>
      </c>
      <c r="J2166" s="14">
        <f t="shared" si="180"/>
        <v>0.72818181818181726</v>
      </c>
      <c r="K2166" s="56">
        <v>2.4900000000000002</v>
      </c>
      <c r="L2166" s="15">
        <f t="shared" si="181"/>
        <v>0</v>
      </c>
      <c r="M2166" s="16">
        <f t="shared" si="182"/>
        <v>209.34475800000004</v>
      </c>
      <c r="N2166" s="17">
        <f t="shared" si="179"/>
        <v>2.4900000000000002</v>
      </c>
      <c r="O2166" s="17">
        <f t="shared" si="183"/>
        <v>2739.0000000000005</v>
      </c>
      <c r="P2166" s="18">
        <f t="shared" si="184"/>
        <v>230279.23380000005</v>
      </c>
    </row>
    <row r="2167" spans="2:18" ht="12.75">
      <c r="B2167" s="10">
        <v>46161</v>
      </c>
      <c r="C2167" s="11">
        <f>VLOOKUP(B:B,'Курс валют'!A:D,4,0)</f>
        <v>84.074200000000005</v>
      </c>
      <c r="D2167" s="57" t="s">
        <v>695</v>
      </c>
      <c r="E2167" s="50" t="s">
        <v>58</v>
      </c>
      <c r="F2167" s="58">
        <v>1100</v>
      </c>
      <c r="G2167" s="13">
        <v>1108.01</v>
      </c>
      <c r="H2167" s="56">
        <v>0</v>
      </c>
      <c r="I2167" s="13">
        <f t="shared" si="178"/>
        <v>8.0099999999999909</v>
      </c>
      <c r="J2167" s="14">
        <f t="shared" si="180"/>
        <v>0.72818181818181726</v>
      </c>
      <c r="K2167" s="56">
        <v>2.4900000000000002</v>
      </c>
      <c r="L2167" s="15">
        <f t="shared" si="181"/>
        <v>0</v>
      </c>
      <c r="M2167" s="16">
        <f t="shared" si="182"/>
        <v>209.34475800000004</v>
      </c>
      <c r="N2167" s="17">
        <f t="shared" si="179"/>
        <v>2.4900000000000002</v>
      </c>
      <c r="O2167" s="17">
        <f t="shared" si="183"/>
        <v>2739.0000000000005</v>
      </c>
      <c r="P2167" s="18">
        <f t="shared" si="184"/>
        <v>230279.23380000005</v>
      </c>
    </row>
    <row r="2168" spans="2:18" ht="12.75">
      <c r="B2168" s="10">
        <v>46162</v>
      </c>
      <c r="C2168" s="11">
        <f>VLOOKUP(B:B,'Курс валют'!A:D,4,0)</f>
        <v>82.787099999999995</v>
      </c>
      <c r="D2168" s="57" t="s">
        <v>696</v>
      </c>
      <c r="E2168" s="50" t="s">
        <v>58</v>
      </c>
      <c r="F2168" s="58">
        <v>1100</v>
      </c>
      <c r="G2168" s="13">
        <v>1108.01</v>
      </c>
      <c r="H2168" s="56">
        <v>0</v>
      </c>
      <c r="I2168" s="13">
        <f t="shared" si="178"/>
        <v>8.0099999999999909</v>
      </c>
      <c r="J2168" s="14">
        <f t="shared" si="180"/>
        <v>0.72818181818181726</v>
      </c>
      <c r="K2168" s="56">
        <v>2.4900000000000002</v>
      </c>
      <c r="L2168" s="15">
        <f t="shared" si="181"/>
        <v>0</v>
      </c>
      <c r="M2168" s="16">
        <f t="shared" si="182"/>
        <v>206.13987900000001</v>
      </c>
      <c r="N2168" s="17">
        <f t="shared" si="179"/>
        <v>2.4900000000000002</v>
      </c>
      <c r="O2168" s="17">
        <f t="shared" si="183"/>
        <v>2739.0000000000005</v>
      </c>
      <c r="P2168" s="18">
        <f t="shared" si="184"/>
        <v>226753.86690000002</v>
      </c>
    </row>
    <row r="2169" spans="2:18" ht="12.75">
      <c r="B2169" s="10">
        <v>46162</v>
      </c>
      <c r="C2169" s="11">
        <f>VLOOKUP(B:B,'Курс валют'!A:D,4,0)</f>
        <v>82.787099999999995</v>
      </c>
      <c r="D2169" s="57" t="s">
        <v>697</v>
      </c>
      <c r="E2169" s="50" t="s">
        <v>58</v>
      </c>
      <c r="F2169" s="58">
        <v>1100</v>
      </c>
      <c r="G2169" s="13">
        <v>1108.01</v>
      </c>
      <c r="H2169" s="56">
        <v>0</v>
      </c>
      <c r="I2169" s="13">
        <f t="shared" si="178"/>
        <v>8.0099999999999909</v>
      </c>
      <c r="J2169" s="14">
        <f t="shared" si="180"/>
        <v>0.72818181818181726</v>
      </c>
      <c r="K2169" s="56">
        <v>2.4900000000000002</v>
      </c>
      <c r="L2169" s="15">
        <f t="shared" si="181"/>
        <v>0</v>
      </c>
      <c r="M2169" s="16">
        <f t="shared" si="182"/>
        <v>206.13987900000001</v>
      </c>
      <c r="N2169" s="17">
        <f t="shared" si="179"/>
        <v>2.4900000000000002</v>
      </c>
      <c r="O2169" s="17">
        <f t="shared" si="183"/>
        <v>2739.0000000000005</v>
      </c>
      <c r="P2169" s="18">
        <f t="shared" si="184"/>
        <v>226753.86690000002</v>
      </c>
    </row>
    <row r="2170" spans="2:18" ht="12.75">
      <c r="B2170" s="10">
        <v>46162</v>
      </c>
      <c r="C2170" s="11">
        <f>VLOOKUP(B:B,'Курс валют'!A:D,4,0)</f>
        <v>82.787099999999995</v>
      </c>
      <c r="D2170" s="57" t="s">
        <v>698</v>
      </c>
      <c r="E2170" s="50" t="s">
        <v>58</v>
      </c>
      <c r="F2170" s="58">
        <v>1100</v>
      </c>
      <c r="G2170" s="13">
        <v>1108.01</v>
      </c>
      <c r="H2170" s="56">
        <v>0</v>
      </c>
      <c r="I2170" s="13">
        <f t="shared" si="178"/>
        <v>8.0099999999999909</v>
      </c>
      <c r="J2170" s="14">
        <f t="shared" si="180"/>
        <v>0.72818181818181726</v>
      </c>
      <c r="K2170" s="56">
        <v>2.4900000000000002</v>
      </c>
      <c r="L2170" s="15">
        <f t="shared" si="181"/>
        <v>0</v>
      </c>
      <c r="M2170" s="16">
        <f t="shared" si="182"/>
        <v>206.13987900000001</v>
      </c>
      <c r="N2170" s="17">
        <f t="shared" si="179"/>
        <v>2.4900000000000002</v>
      </c>
      <c r="O2170" s="17">
        <f t="shared" si="183"/>
        <v>2739.0000000000005</v>
      </c>
      <c r="P2170" s="18">
        <f t="shared" si="184"/>
        <v>226753.86690000002</v>
      </c>
    </row>
    <row r="2171" spans="2:18" ht="12.75">
      <c r="B2171" s="10">
        <v>46162</v>
      </c>
      <c r="C2171" s="11">
        <f>VLOOKUP(B:B,'Курс валют'!A:D,4,0)</f>
        <v>82.787099999999995</v>
      </c>
      <c r="D2171" s="57" t="s">
        <v>699</v>
      </c>
      <c r="E2171" s="50" t="s">
        <v>58</v>
      </c>
      <c r="F2171" s="58">
        <v>1100</v>
      </c>
      <c r="G2171" s="13">
        <v>1108.01</v>
      </c>
      <c r="H2171" s="56">
        <v>0</v>
      </c>
      <c r="I2171" s="13">
        <f t="shared" si="178"/>
        <v>8.0099999999999909</v>
      </c>
      <c r="J2171" s="14">
        <f t="shared" si="180"/>
        <v>0.72818181818181726</v>
      </c>
      <c r="K2171" s="56">
        <v>2.4900000000000002</v>
      </c>
      <c r="L2171" s="15">
        <f t="shared" si="181"/>
        <v>0</v>
      </c>
      <c r="M2171" s="16">
        <f t="shared" si="182"/>
        <v>206.13987900000001</v>
      </c>
      <c r="N2171" s="17">
        <f t="shared" si="179"/>
        <v>2.4900000000000002</v>
      </c>
      <c r="O2171" s="17">
        <f t="shared" si="183"/>
        <v>2739.0000000000005</v>
      </c>
      <c r="P2171" s="18">
        <f t="shared" si="184"/>
        <v>226753.86690000002</v>
      </c>
    </row>
    <row r="2172" spans="2:18" ht="12.75">
      <c r="B2172" s="10">
        <v>46162</v>
      </c>
      <c r="C2172" s="11">
        <f>VLOOKUP(B:B,'Курс валют'!A:D,4,0)</f>
        <v>82.787099999999995</v>
      </c>
      <c r="D2172" s="57" t="s">
        <v>700</v>
      </c>
      <c r="E2172" s="50" t="s">
        <v>58</v>
      </c>
      <c r="F2172" s="58">
        <v>1100</v>
      </c>
      <c r="G2172" s="13">
        <v>1108.01</v>
      </c>
      <c r="H2172" s="56">
        <v>0</v>
      </c>
      <c r="I2172" s="13">
        <f t="shared" si="178"/>
        <v>8.0099999999999909</v>
      </c>
      <c r="J2172" s="14">
        <f t="shared" si="180"/>
        <v>0.72818181818181726</v>
      </c>
      <c r="K2172" s="56">
        <v>2.4900000000000002</v>
      </c>
      <c r="L2172" s="15">
        <f t="shared" si="181"/>
        <v>0</v>
      </c>
      <c r="M2172" s="16">
        <f t="shared" si="182"/>
        <v>206.13987900000001</v>
      </c>
      <c r="N2172" s="17">
        <f t="shared" si="179"/>
        <v>2.4900000000000002</v>
      </c>
      <c r="O2172" s="17">
        <f t="shared" si="183"/>
        <v>2739.0000000000005</v>
      </c>
      <c r="P2172" s="18">
        <f t="shared" si="184"/>
        <v>226753.86690000002</v>
      </c>
    </row>
    <row r="2173" spans="2:18" ht="12.75">
      <c r="B2173" s="10">
        <v>46162</v>
      </c>
      <c r="C2173" s="11">
        <f>VLOOKUP(B:B,'Курс валют'!A:D,4,0)</f>
        <v>82.787099999999995</v>
      </c>
      <c r="D2173" s="57" t="s">
        <v>701</v>
      </c>
      <c r="E2173" s="50" t="s">
        <v>58</v>
      </c>
      <c r="F2173" s="58">
        <v>1100</v>
      </c>
      <c r="G2173" s="13">
        <v>1108.01</v>
      </c>
      <c r="H2173" s="56">
        <v>0</v>
      </c>
      <c r="I2173" s="13">
        <f t="shared" si="178"/>
        <v>8.0099999999999909</v>
      </c>
      <c r="J2173" s="14">
        <f t="shared" si="180"/>
        <v>0.72818181818181726</v>
      </c>
      <c r="K2173" s="56">
        <v>2.4900000000000002</v>
      </c>
      <c r="L2173" s="15">
        <f t="shared" si="181"/>
        <v>0</v>
      </c>
      <c r="M2173" s="16">
        <f t="shared" si="182"/>
        <v>206.13987900000001</v>
      </c>
      <c r="N2173" s="17">
        <f t="shared" si="179"/>
        <v>2.4900000000000002</v>
      </c>
      <c r="O2173" s="17">
        <f t="shared" si="183"/>
        <v>2739.0000000000005</v>
      </c>
      <c r="P2173" s="18">
        <f t="shared" si="184"/>
        <v>226753.86690000002</v>
      </c>
    </row>
    <row r="2174" spans="2:18" ht="12.75">
      <c r="B2174" s="10">
        <v>46163</v>
      </c>
      <c r="C2174" s="11">
        <f>VLOOKUP(B:B,'Курс валют'!A:D,4,0)</f>
        <v>81.982299999999995</v>
      </c>
      <c r="D2174" s="57" t="s">
        <v>702</v>
      </c>
      <c r="E2174" s="50" t="s">
        <v>15</v>
      </c>
      <c r="F2174" s="58">
        <v>1100</v>
      </c>
      <c r="G2174" s="13">
        <v>1108.5</v>
      </c>
      <c r="H2174" s="56">
        <v>0</v>
      </c>
      <c r="I2174" s="13">
        <f t="shared" si="178"/>
        <v>8.5</v>
      </c>
      <c r="J2174" s="14">
        <f t="shared" si="180"/>
        <v>0.77272727272727271</v>
      </c>
      <c r="K2174" s="56">
        <v>2.38</v>
      </c>
      <c r="L2174" s="15">
        <f t="shared" si="181"/>
        <v>0</v>
      </c>
      <c r="M2174" s="16">
        <f t="shared" si="182"/>
        <v>195.11787399999997</v>
      </c>
      <c r="N2174" s="17">
        <f t="shared" si="179"/>
        <v>2.38</v>
      </c>
      <c r="O2174" s="17">
        <f t="shared" si="183"/>
        <v>2618</v>
      </c>
      <c r="P2174" s="18">
        <f t="shared" si="184"/>
        <v>214629.66139999998</v>
      </c>
    </row>
    <row r="2175" spans="2:18" ht="12.75">
      <c r="B2175" s="10">
        <v>46163</v>
      </c>
      <c r="C2175" s="11">
        <f>VLOOKUP(B:B,'Курс валют'!A:D,4,0)</f>
        <v>81.982299999999995</v>
      </c>
      <c r="D2175" s="57" t="s">
        <v>703</v>
      </c>
      <c r="E2175" s="50" t="s">
        <v>15</v>
      </c>
      <c r="F2175" s="58">
        <v>1100</v>
      </c>
      <c r="G2175" s="13">
        <v>1108.5</v>
      </c>
      <c r="H2175" s="56">
        <v>0</v>
      </c>
      <c r="I2175" s="13">
        <f t="shared" si="178"/>
        <v>8.5</v>
      </c>
      <c r="J2175" s="14">
        <f t="shared" si="180"/>
        <v>0.77272727272727271</v>
      </c>
      <c r="K2175" s="56">
        <v>2.37</v>
      </c>
      <c r="L2175" s="15">
        <f t="shared" si="181"/>
        <v>0</v>
      </c>
      <c r="M2175" s="16">
        <f t="shared" si="182"/>
        <v>194.29805099999999</v>
      </c>
      <c r="N2175" s="17">
        <f t="shared" si="179"/>
        <v>2.37</v>
      </c>
      <c r="O2175" s="17">
        <f t="shared" si="183"/>
        <v>2607</v>
      </c>
      <c r="P2175" s="18">
        <f t="shared" si="184"/>
        <v>213727.85609999998</v>
      </c>
    </row>
    <row r="2176" spans="2:18" ht="12.75">
      <c r="B2176" s="10">
        <v>46163</v>
      </c>
      <c r="C2176" s="11">
        <f>VLOOKUP(B:B,'Курс валют'!A:D,4,0)</f>
        <v>81.982299999999995</v>
      </c>
      <c r="D2176" s="57" t="s">
        <v>704</v>
      </c>
      <c r="E2176" s="50" t="s">
        <v>15</v>
      </c>
      <c r="F2176" s="58">
        <v>1100</v>
      </c>
      <c r="G2176" s="13">
        <v>1108.5</v>
      </c>
      <c r="H2176" s="56">
        <v>0</v>
      </c>
      <c r="I2176" s="13">
        <f t="shared" si="178"/>
        <v>8.5</v>
      </c>
      <c r="J2176" s="14">
        <f t="shared" si="180"/>
        <v>0.77272727272727271</v>
      </c>
      <c r="K2176" s="56">
        <v>2.37</v>
      </c>
      <c r="L2176" s="15">
        <f t="shared" si="181"/>
        <v>0</v>
      </c>
      <c r="M2176" s="16">
        <f t="shared" si="182"/>
        <v>194.29805099999999</v>
      </c>
      <c r="N2176" s="17">
        <f t="shared" si="179"/>
        <v>2.37</v>
      </c>
      <c r="O2176" s="17">
        <f t="shared" si="183"/>
        <v>2607</v>
      </c>
      <c r="P2176" s="18">
        <f t="shared" si="184"/>
        <v>213727.85609999998</v>
      </c>
    </row>
    <row r="2177" spans="2:18" ht="12.75">
      <c r="B2177" s="10">
        <v>46163</v>
      </c>
      <c r="C2177" s="11">
        <f>VLOOKUP(B:B,'Курс валют'!A:D,4,0)</f>
        <v>81.982299999999995</v>
      </c>
      <c r="D2177" s="57" t="s">
        <v>705</v>
      </c>
      <c r="E2177" s="50" t="s">
        <v>15</v>
      </c>
      <c r="F2177" s="58">
        <v>1100</v>
      </c>
      <c r="G2177" s="13">
        <v>1108.5</v>
      </c>
      <c r="H2177" s="56">
        <v>0</v>
      </c>
      <c r="I2177" s="13">
        <f t="shared" si="178"/>
        <v>8.5</v>
      </c>
      <c r="J2177" s="14">
        <f t="shared" si="180"/>
        <v>0.77272727272727271</v>
      </c>
      <c r="K2177" s="56">
        <v>2.38</v>
      </c>
      <c r="L2177" s="15">
        <f t="shared" si="181"/>
        <v>0</v>
      </c>
      <c r="M2177" s="16">
        <f t="shared" si="182"/>
        <v>195.11787399999997</v>
      </c>
      <c r="N2177" s="17">
        <f t="shared" si="179"/>
        <v>2.38</v>
      </c>
      <c r="O2177" s="17">
        <f t="shared" si="183"/>
        <v>2618</v>
      </c>
      <c r="P2177" s="18">
        <f t="shared" si="184"/>
        <v>214629.66139999998</v>
      </c>
    </row>
    <row r="2178" spans="2:18" ht="12.75">
      <c r="B2178" s="10">
        <v>46163</v>
      </c>
      <c r="C2178" s="11">
        <f>VLOOKUP(B:B,'Курс валют'!A:D,4,0)</f>
        <v>81.982299999999995</v>
      </c>
      <c r="D2178" s="57" t="s">
        <v>706</v>
      </c>
      <c r="E2178" s="50" t="s">
        <v>60</v>
      </c>
      <c r="F2178" s="58">
        <v>1800</v>
      </c>
      <c r="G2178" s="13">
        <v>1823.6</v>
      </c>
      <c r="H2178" s="56">
        <v>0</v>
      </c>
      <c r="I2178" s="13">
        <f t="shared" si="178"/>
        <v>23.599999999999909</v>
      </c>
      <c r="J2178" s="14">
        <f t="shared" si="180"/>
        <v>1.3111111111111062</v>
      </c>
      <c r="K2178" s="56">
        <v>2.1</v>
      </c>
      <c r="L2178" s="15">
        <f t="shared" si="181"/>
        <v>0</v>
      </c>
      <c r="M2178" s="16">
        <f t="shared" si="182"/>
        <v>172.16282999999999</v>
      </c>
      <c r="N2178" s="17">
        <f t="shared" si="179"/>
        <v>2.1</v>
      </c>
      <c r="O2178" s="17">
        <f t="shared" si="183"/>
        <v>3780</v>
      </c>
      <c r="P2178" s="18">
        <f t="shared" si="184"/>
        <v>309893.09399999998</v>
      </c>
    </row>
    <row r="2179" spans="2:18" ht="12.75">
      <c r="B2179" s="10">
        <v>46163</v>
      </c>
      <c r="C2179" s="11">
        <f>VLOOKUP(B:B,'Курс валют'!A:D,4,0)</f>
        <v>81.982299999999995</v>
      </c>
      <c r="D2179" s="57" t="s">
        <v>707</v>
      </c>
      <c r="E2179" s="50" t="s">
        <v>60</v>
      </c>
      <c r="F2179" s="58">
        <v>1800</v>
      </c>
      <c r="G2179" s="13">
        <v>1823.6</v>
      </c>
      <c r="H2179" s="56">
        <v>0</v>
      </c>
      <c r="I2179" s="13">
        <f t="shared" si="178"/>
        <v>23.599999999999909</v>
      </c>
      <c r="J2179" s="14">
        <f t="shared" si="180"/>
        <v>1.3111111111111062</v>
      </c>
      <c r="K2179" s="56">
        <v>2.1</v>
      </c>
      <c r="L2179" s="15">
        <f t="shared" si="181"/>
        <v>0</v>
      </c>
      <c r="M2179" s="16">
        <f t="shared" si="182"/>
        <v>172.16282999999999</v>
      </c>
      <c r="N2179" s="17">
        <f t="shared" si="179"/>
        <v>2.1</v>
      </c>
      <c r="O2179" s="17">
        <f t="shared" si="183"/>
        <v>3780</v>
      </c>
      <c r="P2179" s="18">
        <f t="shared" si="184"/>
        <v>309893.09399999998</v>
      </c>
    </row>
    <row r="2180" spans="2:18" ht="12.75">
      <c r="B2180" s="10">
        <v>46163</v>
      </c>
      <c r="C2180" s="11">
        <f>VLOOKUP(B:B,'Курс валют'!A:D,4,0)</f>
        <v>81.982299999999995</v>
      </c>
      <c r="D2180" s="57" t="s">
        <v>708</v>
      </c>
      <c r="E2180" s="50" t="s">
        <v>15</v>
      </c>
      <c r="F2180" s="58">
        <v>1100</v>
      </c>
      <c r="G2180" s="13">
        <v>1108.5</v>
      </c>
      <c r="H2180" s="56">
        <v>0</v>
      </c>
      <c r="I2180" s="13">
        <f t="shared" si="178"/>
        <v>8.5</v>
      </c>
      <c r="J2180" s="14">
        <f t="shared" si="180"/>
        <v>0.77272727272727271</v>
      </c>
      <c r="K2180" s="56">
        <v>2.37</v>
      </c>
      <c r="L2180" s="15">
        <f t="shared" si="181"/>
        <v>0</v>
      </c>
      <c r="M2180" s="16">
        <f t="shared" si="182"/>
        <v>194.29805099999999</v>
      </c>
      <c r="N2180" s="17">
        <f t="shared" si="179"/>
        <v>2.37</v>
      </c>
      <c r="O2180" s="17">
        <f t="shared" si="183"/>
        <v>2607</v>
      </c>
      <c r="P2180" s="18">
        <f t="shared" si="184"/>
        <v>213727.85609999998</v>
      </c>
    </row>
    <row r="2181" spans="2:18" ht="12.75">
      <c r="B2181" s="10">
        <v>46163</v>
      </c>
      <c r="C2181" s="11">
        <f>VLOOKUP(B:B,'Курс валют'!A:D,4,0)</f>
        <v>81.982299999999995</v>
      </c>
      <c r="D2181" s="57" t="s">
        <v>709</v>
      </c>
      <c r="E2181" s="50" t="s">
        <v>15</v>
      </c>
      <c r="F2181" s="58">
        <v>1100</v>
      </c>
      <c r="G2181" s="13">
        <v>1108.5</v>
      </c>
      <c r="H2181" s="56">
        <v>0</v>
      </c>
      <c r="I2181" s="13">
        <f t="shared" si="178"/>
        <v>8.5</v>
      </c>
      <c r="J2181" s="14">
        <f t="shared" si="180"/>
        <v>0.77272727272727271</v>
      </c>
      <c r="K2181" s="56">
        <v>2.38</v>
      </c>
      <c r="L2181" s="15">
        <f t="shared" si="181"/>
        <v>0</v>
      </c>
      <c r="M2181" s="16">
        <f t="shared" si="182"/>
        <v>195.11787399999997</v>
      </c>
      <c r="N2181" s="17">
        <f t="shared" si="179"/>
        <v>2.38</v>
      </c>
      <c r="O2181" s="17">
        <f t="shared" si="183"/>
        <v>2618</v>
      </c>
      <c r="P2181" s="18">
        <f t="shared" si="184"/>
        <v>214629.66139999998</v>
      </c>
    </row>
    <row r="2182" spans="2:18" ht="12.75">
      <c r="B2182" s="10">
        <v>46163</v>
      </c>
      <c r="C2182" s="11">
        <f>VLOOKUP(B:B,'Курс валют'!A:D,4,0)</f>
        <v>81.982299999999995</v>
      </c>
      <c r="D2182" s="57" t="s">
        <v>710</v>
      </c>
      <c r="E2182" s="50" t="s">
        <v>15</v>
      </c>
      <c r="F2182" s="58">
        <v>1100</v>
      </c>
      <c r="G2182" s="13">
        <v>1108.5</v>
      </c>
      <c r="H2182" s="56">
        <v>0</v>
      </c>
      <c r="I2182" s="13">
        <f t="shared" si="178"/>
        <v>8.5</v>
      </c>
      <c r="J2182" s="14">
        <f t="shared" si="180"/>
        <v>0.77272727272727271</v>
      </c>
      <c r="K2182" s="56">
        <v>2.37</v>
      </c>
      <c r="L2182" s="15">
        <f t="shared" si="181"/>
        <v>0</v>
      </c>
      <c r="M2182" s="16">
        <f t="shared" si="182"/>
        <v>194.29805099999999</v>
      </c>
      <c r="N2182" s="17">
        <f t="shared" si="179"/>
        <v>2.37</v>
      </c>
      <c r="O2182" s="17">
        <f t="shared" si="183"/>
        <v>2607</v>
      </c>
      <c r="P2182" s="18">
        <f t="shared" si="184"/>
        <v>213727.85609999998</v>
      </c>
    </row>
    <row r="2183" spans="2:18" ht="12.75">
      <c r="B2183" s="10">
        <v>46163</v>
      </c>
      <c r="C2183" s="11">
        <f>VLOOKUP(B:B,'Курс валют'!A:D,4,0)</f>
        <v>81.982299999999995</v>
      </c>
      <c r="D2183" s="57" t="s">
        <v>711</v>
      </c>
      <c r="E2183" s="50" t="s">
        <v>15</v>
      </c>
      <c r="F2183" s="58">
        <v>1100</v>
      </c>
      <c r="G2183" s="13">
        <v>1108.5</v>
      </c>
      <c r="H2183" s="56">
        <v>0</v>
      </c>
      <c r="I2183" s="13">
        <f t="shared" si="178"/>
        <v>8.5</v>
      </c>
      <c r="J2183" s="14">
        <f t="shared" si="180"/>
        <v>0.77272727272727271</v>
      </c>
      <c r="K2183" s="56">
        <v>2.38</v>
      </c>
      <c r="L2183" s="15">
        <f t="shared" si="181"/>
        <v>0</v>
      </c>
      <c r="M2183" s="16">
        <f t="shared" si="182"/>
        <v>195.11787399999997</v>
      </c>
      <c r="N2183" s="17">
        <f t="shared" si="179"/>
        <v>2.38</v>
      </c>
      <c r="O2183" s="17">
        <f t="shared" si="183"/>
        <v>2618</v>
      </c>
      <c r="P2183" s="18">
        <f t="shared" si="184"/>
        <v>214629.66139999998</v>
      </c>
    </row>
    <row r="2184" spans="2:18" ht="12.75">
      <c r="B2184" s="10">
        <v>46164</v>
      </c>
      <c r="C2184" s="11">
        <f>VLOOKUP(B:B,'Курс валют'!A:D,4,0)</f>
        <v>83.274600000000007</v>
      </c>
      <c r="D2184" s="57" t="s">
        <v>712</v>
      </c>
      <c r="E2184" s="50" t="s">
        <v>15</v>
      </c>
      <c r="F2184" s="58">
        <v>1100</v>
      </c>
      <c r="G2184" s="13">
        <v>1118.5</v>
      </c>
      <c r="H2184" s="56">
        <v>0</v>
      </c>
      <c r="I2184" s="13">
        <f t="shared" si="178"/>
        <v>18.5</v>
      </c>
      <c r="J2184" s="14">
        <f t="shared" si="180"/>
        <v>1.6818181818181819</v>
      </c>
      <c r="K2184" s="56">
        <v>2.42</v>
      </c>
      <c r="L2184" s="15">
        <f t="shared" si="181"/>
        <v>0</v>
      </c>
      <c r="M2184" s="16">
        <f t="shared" si="182"/>
        <v>201.52453200000002</v>
      </c>
      <c r="N2184" s="17">
        <f t="shared" si="179"/>
        <v>2.42</v>
      </c>
      <c r="O2184" s="17">
        <f t="shared" si="183"/>
        <v>2662</v>
      </c>
      <c r="P2184" s="18">
        <f t="shared" si="184"/>
        <v>221676.98520000002</v>
      </c>
    </row>
    <row r="2185" spans="2:18" ht="12.75">
      <c r="B2185" s="10">
        <v>46164</v>
      </c>
      <c r="C2185" s="11">
        <f>VLOOKUP(B:B,'Курс валют'!A:D,4,0)</f>
        <v>83.274600000000007</v>
      </c>
      <c r="D2185" s="57" t="s">
        <v>713</v>
      </c>
      <c r="E2185" s="50" t="s">
        <v>15</v>
      </c>
      <c r="F2185" s="58">
        <v>1100</v>
      </c>
      <c r="G2185" s="13">
        <v>1118.5</v>
      </c>
      <c r="H2185" s="56">
        <v>0</v>
      </c>
      <c r="I2185" s="13">
        <f t="shared" si="178"/>
        <v>18.5</v>
      </c>
      <c r="J2185" s="14">
        <f t="shared" si="180"/>
        <v>1.6818181818181819</v>
      </c>
      <c r="K2185" s="56">
        <v>2.42</v>
      </c>
      <c r="L2185" s="15">
        <f t="shared" si="181"/>
        <v>0</v>
      </c>
      <c r="M2185" s="16">
        <f t="shared" si="182"/>
        <v>201.52453200000002</v>
      </c>
      <c r="N2185" s="17">
        <f t="shared" si="179"/>
        <v>2.42</v>
      </c>
      <c r="O2185" s="17">
        <f t="shared" si="183"/>
        <v>2662</v>
      </c>
      <c r="P2185" s="18">
        <f t="shared" si="184"/>
        <v>221676.98520000002</v>
      </c>
    </row>
    <row r="2186" spans="2:18" ht="12.75">
      <c r="B2186" s="10">
        <v>46164</v>
      </c>
      <c r="C2186" s="11">
        <f>VLOOKUP(B:B,'Курс валют'!A:D,4,0)</f>
        <v>83.274600000000007</v>
      </c>
      <c r="D2186" s="57" t="s">
        <v>714</v>
      </c>
      <c r="E2186" s="50" t="s">
        <v>15</v>
      </c>
      <c r="F2186" s="58">
        <v>1100</v>
      </c>
      <c r="G2186" s="13">
        <v>1118.5</v>
      </c>
      <c r="H2186" s="56">
        <v>0</v>
      </c>
      <c r="I2186" s="13">
        <f t="shared" si="178"/>
        <v>18.5</v>
      </c>
      <c r="J2186" s="14">
        <f t="shared" si="180"/>
        <v>1.6818181818181819</v>
      </c>
      <c r="K2186" s="56">
        <v>2.42</v>
      </c>
      <c r="L2186" s="15">
        <f t="shared" si="181"/>
        <v>0</v>
      </c>
      <c r="M2186" s="16">
        <f t="shared" si="182"/>
        <v>201.52453200000002</v>
      </c>
      <c r="N2186" s="17">
        <f t="shared" si="179"/>
        <v>2.42</v>
      </c>
      <c r="O2186" s="17">
        <f t="shared" si="183"/>
        <v>2662</v>
      </c>
      <c r="P2186" s="18">
        <f t="shared" si="184"/>
        <v>221676.98520000002</v>
      </c>
    </row>
    <row r="2187" spans="2:18" ht="12.75">
      <c r="B2187" s="10">
        <v>46164</v>
      </c>
      <c r="C2187" s="11">
        <f>VLOOKUP(B:B,'Курс валют'!A:D,4,0)</f>
        <v>83.274600000000007</v>
      </c>
      <c r="D2187" s="57" t="s">
        <v>715</v>
      </c>
      <c r="E2187" s="50" t="s">
        <v>15</v>
      </c>
      <c r="F2187" s="58">
        <v>1100</v>
      </c>
      <c r="G2187" s="13">
        <v>1118.5</v>
      </c>
      <c r="H2187" s="56">
        <v>0</v>
      </c>
      <c r="I2187" s="13">
        <f t="shared" si="178"/>
        <v>18.5</v>
      </c>
      <c r="J2187" s="14">
        <f t="shared" si="180"/>
        <v>1.6818181818181819</v>
      </c>
      <c r="K2187" s="56">
        <v>2.42</v>
      </c>
      <c r="L2187" s="15">
        <f t="shared" si="181"/>
        <v>0</v>
      </c>
      <c r="M2187" s="16">
        <f t="shared" si="182"/>
        <v>201.52453200000002</v>
      </c>
      <c r="N2187" s="17">
        <f t="shared" si="179"/>
        <v>2.42</v>
      </c>
      <c r="O2187" s="17">
        <f t="shared" si="183"/>
        <v>2662</v>
      </c>
      <c r="P2187" s="18">
        <f t="shared" si="184"/>
        <v>221676.98520000002</v>
      </c>
    </row>
    <row r="2188" spans="2:18" ht="12.75">
      <c r="B2188" s="10">
        <v>46164</v>
      </c>
      <c r="C2188" s="11">
        <f>VLOOKUP(B:B,'Курс валют'!A:D,4,0)</f>
        <v>83.274600000000007</v>
      </c>
      <c r="D2188" s="57" t="s">
        <v>716</v>
      </c>
      <c r="E2188" s="50" t="s">
        <v>15</v>
      </c>
      <c r="F2188" s="58">
        <v>220</v>
      </c>
      <c r="G2188" s="13">
        <v>221.01</v>
      </c>
      <c r="H2188" s="56">
        <v>0</v>
      </c>
      <c r="I2188" s="13">
        <f t="shared" si="178"/>
        <v>1.0099999999999909</v>
      </c>
      <c r="J2188" s="14">
        <f t="shared" si="180"/>
        <v>0.45909090909090494</v>
      </c>
      <c r="K2188" s="56">
        <v>2.46</v>
      </c>
      <c r="L2188" s="15">
        <f t="shared" si="181"/>
        <v>0</v>
      </c>
      <c r="M2188" s="16">
        <f t="shared" si="182"/>
        <v>204.85551600000002</v>
      </c>
      <c r="N2188" s="17">
        <f t="shared" si="179"/>
        <v>2.4600000000000004</v>
      </c>
      <c r="O2188" s="17">
        <f t="shared" si="183"/>
        <v>541.20000000000005</v>
      </c>
      <c r="P2188" s="18">
        <f t="shared" si="184"/>
        <v>45068.213520000005</v>
      </c>
    </row>
    <row r="2189" spans="2:18" ht="12.75">
      <c r="B2189" s="10">
        <v>46164</v>
      </c>
      <c r="C2189" s="11">
        <f>VLOOKUP(B:B,'Курс валют'!A:D,4,0)</f>
        <v>83.274600000000007</v>
      </c>
      <c r="D2189" s="57" t="s">
        <v>717</v>
      </c>
      <c r="E2189" s="50" t="s">
        <v>60</v>
      </c>
      <c r="F2189" s="58">
        <v>2025</v>
      </c>
      <c r="G2189" s="13">
        <v>2043.6</v>
      </c>
      <c r="H2189" s="56">
        <v>0</v>
      </c>
      <c r="I2189" s="13">
        <f t="shared" si="178"/>
        <v>18.599999999999909</v>
      </c>
      <c r="J2189" s="14">
        <f t="shared" si="180"/>
        <v>0.91851851851851396</v>
      </c>
      <c r="K2189" s="56">
        <v>2.12</v>
      </c>
      <c r="L2189" s="15">
        <f t="shared" si="181"/>
        <v>0</v>
      </c>
      <c r="M2189" s="16">
        <f t="shared" si="182"/>
        <v>176.54215200000002</v>
      </c>
      <c r="N2189" s="17">
        <f t="shared" si="179"/>
        <v>2.12</v>
      </c>
      <c r="O2189" s="17">
        <f t="shared" si="183"/>
        <v>4293</v>
      </c>
      <c r="P2189" s="18">
        <f t="shared" si="184"/>
        <v>357497.85780000006</v>
      </c>
    </row>
    <row r="2190" spans="2:18" ht="12.75">
      <c r="B2190" s="10">
        <v>46164</v>
      </c>
      <c r="C2190" s="11">
        <f>VLOOKUP(B:B,'Курс валют'!A:D,4,0)</f>
        <v>83.274600000000007</v>
      </c>
      <c r="D2190" s="57" t="s">
        <v>718</v>
      </c>
      <c r="E2190" s="50" t="s">
        <v>67</v>
      </c>
      <c r="F2190" s="58">
        <v>200</v>
      </c>
      <c r="G2190" s="13">
        <v>200</v>
      </c>
      <c r="H2190" s="56">
        <v>0</v>
      </c>
      <c r="I2190" s="13">
        <f t="shared" si="178"/>
        <v>0</v>
      </c>
      <c r="J2190" s="14">
        <f t="shared" si="180"/>
        <v>0</v>
      </c>
      <c r="K2190" s="56">
        <v>2.2000000000000002</v>
      </c>
      <c r="L2190" s="15">
        <f t="shared" si="181"/>
        <v>0</v>
      </c>
      <c r="M2190" s="16">
        <f t="shared" si="182"/>
        <v>183.20412000000005</v>
      </c>
      <c r="N2190" s="17">
        <f t="shared" si="179"/>
        <v>2.2000000000000002</v>
      </c>
      <c r="O2190" s="17">
        <f t="shared" si="183"/>
        <v>440.00000000000006</v>
      </c>
      <c r="P2190" s="18">
        <f t="shared" si="184"/>
        <v>36640.824000000008</v>
      </c>
      <c r="R2190" s="33" t="s">
        <v>719</v>
      </c>
    </row>
    <row r="2191" spans="2:18" ht="12.75">
      <c r="B2191" s="10">
        <v>46164</v>
      </c>
      <c r="C2191" s="11">
        <f>VLOOKUP(B:B,'Курс валют'!A:D,4,0)</f>
        <v>83.274600000000007</v>
      </c>
      <c r="D2191" s="57" t="s">
        <v>720</v>
      </c>
      <c r="E2191" s="50" t="s">
        <v>15</v>
      </c>
      <c r="F2191" s="58">
        <v>220</v>
      </c>
      <c r="G2191" s="13">
        <v>222.01</v>
      </c>
      <c r="H2191" s="56">
        <v>0</v>
      </c>
      <c r="I2191" s="13">
        <f t="shared" si="178"/>
        <v>2.0099999999999909</v>
      </c>
      <c r="J2191" s="14">
        <f t="shared" si="180"/>
        <v>0.91363636363635958</v>
      </c>
      <c r="K2191" s="56">
        <v>2.46</v>
      </c>
      <c r="L2191" s="15">
        <f t="shared" si="181"/>
        <v>0</v>
      </c>
      <c r="M2191" s="16">
        <f t="shared" si="182"/>
        <v>204.85551600000002</v>
      </c>
      <c r="N2191" s="17">
        <f t="shared" si="179"/>
        <v>2.4600000000000004</v>
      </c>
      <c r="O2191" s="17">
        <f t="shared" si="183"/>
        <v>541.20000000000005</v>
      </c>
      <c r="P2191" s="18">
        <f t="shared" si="184"/>
        <v>45068.213520000005</v>
      </c>
    </row>
    <row r="2192" spans="2:18" ht="12.75">
      <c r="B2192" s="10">
        <v>46165</v>
      </c>
      <c r="C2192" s="11">
        <f>VLOOKUP(B:B,'Курс валют'!A:D,4,0)</f>
        <v>82.544499999999999</v>
      </c>
      <c r="D2192" s="57" t="s">
        <v>721</v>
      </c>
      <c r="E2192" s="50" t="s">
        <v>15</v>
      </c>
      <c r="F2192" s="58">
        <v>1100</v>
      </c>
      <c r="G2192" s="13">
        <v>1108.5</v>
      </c>
      <c r="H2192" s="56">
        <v>0</v>
      </c>
      <c r="I2192" s="13">
        <f t="shared" si="178"/>
        <v>8.5</v>
      </c>
      <c r="J2192" s="14">
        <f t="shared" si="180"/>
        <v>0.77272727272727271</v>
      </c>
      <c r="K2192" s="56">
        <v>2.37</v>
      </c>
      <c r="L2192" s="15">
        <f t="shared" si="181"/>
        <v>0</v>
      </c>
      <c r="M2192" s="16">
        <f t="shared" si="182"/>
        <v>195.63046499999999</v>
      </c>
      <c r="N2192" s="17">
        <f t="shared" si="179"/>
        <v>2.37</v>
      </c>
      <c r="O2192" s="17">
        <f t="shared" si="183"/>
        <v>2607</v>
      </c>
      <c r="P2192" s="18">
        <f t="shared" si="184"/>
        <v>215193.51149999999</v>
      </c>
    </row>
    <row r="2193" spans="2:18" ht="12.75">
      <c r="B2193" s="10">
        <v>46165</v>
      </c>
      <c r="C2193" s="11">
        <f>VLOOKUP(B:B,'Курс валют'!A:D,4,0)</f>
        <v>82.544499999999999</v>
      </c>
      <c r="D2193" s="57" t="s">
        <v>722</v>
      </c>
      <c r="E2193" s="50" t="s">
        <v>15</v>
      </c>
      <c r="F2193" s="58">
        <v>1100</v>
      </c>
      <c r="G2193" s="13">
        <v>1108.5</v>
      </c>
      <c r="H2193" s="56">
        <v>0</v>
      </c>
      <c r="I2193" s="13">
        <f t="shared" si="178"/>
        <v>8.5</v>
      </c>
      <c r="J2193" s="14">
        <f t="shared" si="180"/>
        <v>0.77272727272727271</v>
      </c>
      <c r="K2193" s="56">
        <v>2.37</v>
      </c>
      <c r="L2193" s="15">
        <f t="shared" si="181"/>
        <v>0</v>
      </c>
      <c r="M2193" s="16">
        <f t="shared" si="182"/>
        <v>195.63046499999999</v>
      </c>
      <c r="N2193" s="17">
        <f t="shared" si="179"/>
        <v>2.37</v>
      </c>
      <c r="O2193" s="17">
        <f t="shared" si="183"/>
        <v>2607</v>
      </c>
      <c r="P2193" s="18">
        <f t="shared" si="184"/>
        <v>215193.51149999999</v>
      </c>
    </row>
    <row r="2194" spans="2:18" ht="12.75">
      <c r="B2194" s="10">
        <v>46165</v>
      </c>
      <c r="C2194" s="11">
        <f>VLOOKUP(B:B,'Курс валют'!A:D,4,0)</f>
        <v>82.544499999999999</v>
      </c>
      <c r="D2194" s="57" t="s">
        <v>723</v>
      </c>
      <c r="E2194" s="50" t="s">
        <v>15</v>
      </c>
      <c r="F2194" s="58">
        <v>1100</v>
      </c>
      <c r="G2194" s="13">
        <v>1108.5</v>
      </c>
      <c r="H2194" s="56">
        <v>0</v>
      </c>
      <c r="I2194" s="13">
        <f t="shared" si="178"/>
        <v>8.5</v>
      </c>
      <c r="J2194" s="14">
        <f t="shared" si="180"/>
        <v>0.77272727272727271</v>
      </c>
      <c r="K2194" s="56">
        <v>2.37</v>
      </c>
      <c r="L2194" s="15">
        <f t="shared" si="181"/>
        <v>0</v>
      </c>
      <c r="M2194" s="16">
        <f t="shared" si="182"/>
        <v>195.63046499999999</v>
      </c>
      <c r="N2194" s="17">
        <f t="shared" si="179"/>
        <v>2.37</v>
      </c>
      <c r="O2194" s="17">
        <f t="shared" si="183"/>
        <v>2607</v>
      </c>
      <c r="P2194" s="18">
        <f t="shared" si="184"/>
        <v>215193.51149999999</v>
      </c>
    </row>
    <row r="2195" spans="2:18" ht="12.75">
      <c r="B2195" s="10">
        <v>46165</v>
      </c>
      <c r="C2195" s="11">
        <f>VLOOKUP(B:B,'Курс валют'!A:D,4,0)</f>
        <v>82.544499999999999</v>
      </c>
      <c r="D2195" s="57" t="s">
        <v>724</v>
      </c>
      <c r="E2195" s="50" t="s">
        <v>15</v>
      </c>
      <c r="F2195" s="58">
        <v>1100</v>
      </c>
      <c r="G2195" s="13">
        <v>1108.5</v>
      </c>
      <c r="H2195" s="56">
        <v>0</v>
      </c>
      <c r="I2195" s="13">
        <f t="shared" si="178"/>
        <v>8.5</v>
      </c>
      <c r="J2195" s="14">
        <f t="shared" si="180"/>
        <v>0.77272727272727271</v>
      </c>
      <c r="K2195" s="56">
        <v>2.37</v>
      </c>
      <c r="L2195" s="15">
        <f t="shared" si="181"/>
        <v>0</v>
      </c>
      <c r="M2195" s="16">
        <f t="shared" si="182"/>
        <v>195.63046499999999</v>
      </c>
      <c r="N2195" s="17">
        <f t="shared" si="179"/>
        <v>2.37</v>
      </c>
      <c r="O2195" s="17">
        <f t="shared" si="183"/>
        <v>2607</v>
      </c>
      <c r="P2195" s="18">
        <f t="shared" si="184"/>
        <v>215193.51149999999</v>
      </c>
    </row>
    <row r="2196" spans="2:18" ht="12.75">
      <c r="B2196" s="10">
        <v>46165</v>
      </c>
      <c r="C2196" s="11">
        <f>VLOOKUP(B:B,'Курс валют'!A:D,4,0)</f>
        <v>82.544499999999999</v>
      </c>
      <c r="D2196" s="57" t="s">
        <v>725</v>
      </c>
      <c r="E2196" s="50" t="s">
        <v>15</v>
      </c>
      <c r="F2196" s="58">
        <v>1100</v>
      </c>
      <c r="G2196" s="13">
        <v>1108.5</v>
      </c>
      <c r="H2196" s="56">
        <v>0</v>
      </c>
      <c r="I2196" s="13">
        <f t="shared" si="178"/>
        <v>8.5</v>
      </c>
      <c r="J2196" s="14">
        <f t="shared" si="180"/>
        <v>0.77272727272727271</v>
      </c>
      <c r="K2196" s="56">
        <v>2.37</v>
      </c>
      <c r="L2196" s="15">
        <f t="shared" si="181"/>
        <v>0</v>
      </c>
      <c r="M2196" s="16">
        <f t="shared" si="182"/>
        <v>195.63046499999999</v>
      </c>
      <c r="N2196" s="17">
        <f t="shared" si="179"/>
        <v>2.37</v>
      </c>
      <c r="O2196" s="17">
        <f t="shared" si="183"/>
        <v>2607</v>
      </c>
      <c r="P2196" s="18">
        <f t="shared" si="184"/>
        <v>215193.51149999999</v>
      </c>
    </row>
    <row r="2197" spans="2:18" ht="12.75">
      <c r="B2197" s="10">
        <v>46165</v>
      </c>
      <c r="C2197" s="11">
        <f>VLOOKUP(B:B,'Курс валют'!A:D,4,0)</f>
        <v>82.544499999999999</v>
      </c>
      <c r="D2197" s="57" t="s">
        <v>726</v>
      </c>
      <c r="E2197" s="50" t="s">
        <v>15</v>
      </c>
      <c r="F2197" s="58">
        <v>1100</v>
      </c>
      <c r="G2197" s="13">
        <v>1108.5</v>
      </c>
      <c r="H2197" s="56">
        <v>0</v>
      </c>
      <c r="I2197" s="13">
        <f t="shared" si="178"/>
        <v>8.5</v>
      </c>
      <c r="J2197" s="14">
        <f t="shared" si="180"/>
        <v>0.77272727272727271</v>
      </c>
      <c r="K2197" s="56">
        <v>2.37</v>
      </c>
      <c r="L2197" s="15">
        <f t="shared" si="181"/>
        <v>0</v>
      </c>
      <c r="M2197" s="16">
        <f t="shared" si="182"/>
        <v>195.63046499999999</v>
      </c>
      <c r="N2197" s="17">
        <f t="shared" si="179"/>
        <v>2.37</v>
      </c>
      <c r="O2197" s="17">
        <f t="shared" si="183"/>
        <v>2607</v>
      </c>
      <c r="P2197" s="18">
        <f t="shared" si="184"/>
        <v>215193.51149999999</v>
      </c>
    </row>
    <row r="2198" spans="2:18" ht="12.75">
      <c r="B2198" s="10">
        <v>46165</v>
      </c>
      <c r="C2198" s="11">
        <f>VLOOKUP(B:B,'Курс валют'!A:D,4,0)</f>
        <v>82.544499999999999</v>
      </c>
      <c r="D2198" s="57" t="s">
        <v>727</v>
      </c>
      <c r="E2198" s="50" t="s">
        <v>15</v>
      </c>
      <c r="F2198" s="58">
        <v>1100</v>
      </c>
      <c r="G2198" s="13">
        <v>1108.5</v>
      </c>
      <c r="H2198" s="56">
        <v>0</v>
      </c>
      <c r="I2198" s="13">
        <f t="shared" si="178"/>
        <v>8.5</v>
      </c>
      <c r="J2198" s="14">
        <f t="shared" si="180"/>
        <v>0.77272727272727271</v>
      </c>
      <c r="K2198" s="56">
        <v>2.37</v>
      </c>
      <c r="L2198" s="15">
        <f t="shared" si="181"/>
        <v>0</v>
      </c>
      <c r="M2198" s="16">
        <f t="shared" si="182"/>
        <v>195.63046499999999</v>
      </c>
      <c r="N2198" s="17">
        <f t="shared" si="179"/>
        <v>2.37</v>
      </c>
      <c r="O2198" s="17">
        <f t="shared" si="183"/>
        <v>2607</v>
      </c>
      <c r="P2198" s="18">
        <f t="shared" si="184"/>
        <v>215193.51149999999</v>
      </c>
    </row>
    <row r="2199" spans="2:18" ht="12.75">
      <c r="B2199" s="10">
        <v>46165</v>
      </c>
      <c r="C2199" s="11">
        <f>VLOOKUP(B:B,'Курс валют'!A:D,4,0)</f>
        <v>82.544499999999999</v>
      </c>
      <c r="D2199" s="57" t="s">
        <v>728</v>
      </c>
      <c r="E2199" s="50" t="s">
        <v>15</v>
      </c>
      <c r="F2199" s="58">
        <v>1100</v>
      </c>
      <c r="G2199" s="13">
        <v>1108.5</v>
      </c>
      <c r="H2199" s="56">
        <v>0</v>
      </c>
      <c r="I2199" s="13">
        <f t="shared" si="178"/>
        <v>8.5</v>
      </c>
      <c r="J2199" s="14">
        <f t="shared" si="180"/>
        <v>0.77272727272727271</v>
      </c>
      <c r="K2199" s="56">
        <v>2.37</v>
      </c>
      <c r="L2199" s="15">
        <f t="shared" si="181"/>
        <v>0</v>
      </c>
      <c r="M2199" s="16">
        <f t="shared" si="182"/>
        <v>195.63046499999999</v>
      </c>
      <c r="N2199" s="17">
        <f t="shared" si="179"/>
        <v>2.37</v>
      </c>
      <c r="O2199" s="17">
        <f t="shared" si="183"/>
        <v>2607</v>
      </c>
      <c r="P2199" s="18">
        <f t="shared" si="184"/>
        <v>215193.51149999999</v>
      </c>
    </row>
    <row r="2200" spans="2:18" ht="12.75">
      <c r="B2200" s="10">
        <v>46166</v>
      </c>
      <c r="C2200" s="11">
        <f>VLOOKUP(B:B,'Курс валют'!A:D,4,0)</f>
        <v>82.544499999999999</v>
      </c>
      <c r="D2200" s="57" t="s">
        <v>729</v>
      </c>
      <c r="E2200" s="50" t="s">
        <v>15</v>
      </c>
      <c r="F2200" s="58">
        <v>1100</v>
      </c>
      <c r="G2200" s="13">
        <v>1108.5</v>
      </c>
      <c r="H2200" s="56">
        <v>0</v>
      </c>
      <c r="I2200" s="13">
        <f t="shared" si="178"/>
        <v>8.5</v>
      </c>
      <c r="J2200" s="14">
        <f t="shared" si="180"/>
        <v>0.77272727272727271</v>
      </c>
      <c r="K2200" s="56">
        <v>2.37</v>
      </c>
      <c r="L2200" s="15">
        <f t="shared" si="181"/>
        <v>0</v>
      </c>
      <c r="M2200" s="16">
        <f t="shared" si="182"/>
        <v>195.63046499999999</v>
      </c>
      <c r="N2200" s="17">
        <f t="shared" si="179"/>
        <v>2.37</v>
      </c>
      <c r="O2200" s="17">
        <f t="shared" si="183"/>
        <v>2607</v>
      </c>
      <c r="P2200" s="18">
        <f t="shared" si="184"/>
        <v>215193.51149999999</v>
      </c>
    </row>
    <row r="2201" spans="2:18" ht="12.75">
      <c r="B2201" s="10">
        <v>46166</v>
      </c>
      <c r="C2201" s="11">
        <f>VLOOKUP(B:B,'Курс валют'!A:D,4,0)</f>
        <v>82.544499999999999</v>
      </c>
      <c r="D2201" s="57" t="s">
        <v>730</v>
      </c>
      <c r="E2201" s="50" t="s">
        <v>15</v>
      </c>
      <c r="F2201" s="58">
        <v>1100</v>
      </c>
      <c r="G2201" s="13">
        <v>1108.5</v>
      </c>
      <c r="H2201" s="56">
        <v>0</v>
      </c>
      <c r="I2201" s="13">
        <f t="shared" si="178"/>
        <v>8.5</v>
      </c>
      <c r="J2201" s="14">
        <f t="shared" si="180"/>
        <v>0.77272727272727271</v>
      </c>
      <c r="K2201" s="56">
        <v>2.37</v>
      </c>
      <c r="L2201" s="15">
        <f t="shared" si="181"/>
        <v>0</v>
      </c>
      <c r="M2201" s="16">
        <f t="shared" si="182"/>
        <v>195.63046499999999</v>
      </c>
      <c r="N2201" s="17">
        <f t="shared" si="179"/>
        <v>2.37</v>
      </c>
      <c r="O2201" s="17">
        <f t="shared" si="183"/>
        <v>2607</v>
      </c>
      <c r="P2201" s="18">
        <f t="shared" si="184"/>
        <v>215193.51149999999</v>
      </c>
    </row>
    <row r="2202" spans="2:18" ht="12.75">
      <c r="B2202" s="10">
        <v>46166</v>
      </c>
      <c r="C2202" s="11">
        <f>VLOOKUP(B:B,'Курс валют'!A:D,4,0)</f>
        <v>82.544499999999999</v>
      </c>
      <c r="D2202" s="57" t="s">
        <v>731</v>
      </c>
      <c r="E2202" s="50" t="s">
        <v>15</v>
      </c>
      <c r="F2202" s="58">
        <v>1100</v>
      </c>
      <c r="G2202" s="13">
        <v>1108.5</v>
      </c>
      <c r="H2202" s="56">
        <v>0</v>
      </c>
      <c r="I2202" s="13">
        <f t="shared" si="178"/>
        <v>8.5</v>
      </c>
      <c r="J2202" s="14">
        <f t="shared" si="180"/>
        <v>0.77272727272727271</v>
      </c>
      <c r="K2202" s="56">
        <v>2.37</v>
      </c>
      <c r="L2202" s="15">
        <f t="shared" si="181"/>
        <v>0</v>
      </c>
      <c r="M2202" s="16">
        <f t="shared" si="182"/>
        <v>195.63046499999999</v>
      </c>
      <c r="N2202" s="17">
        <f t="shared" si="179"/>
        <v>2.37</v>
      </c>
      <c r="O2202" s="17">
        <f t="shared" si="183"/>
        <v>2607</v>
      </c>
      <c r="P2202" s="18">
        <f t="shared" si="184"/>
        <v>215193.51149999999</v>
      </c>
    </row>
    <row r="2203" spans="2:18" ht="12.75">
      <c r="B2203" s="10">
        <v>46166</v>
      </c>
      <c r="C2203" s="11">
        <f>VLOOKUP(B:B,'Курс валют'!A:D,4,0)</f>
        <v>82.544499999999999</v>
      </c>
      <c r="D2203" s="57" t="s">
        <v>732</v>
      </c>
      <c r="E2203" s="50" t="s">
        <v>15</v>
      </c>
      <c r="F2203" s="58">
        <v>1100</v>
      </c>
      <c r="G2203" s="13">
        <v>1108.5</v>
      </c>
      <c r="H2203" s="56">
        <v>0</v>
      </c>
      <c r="I2203" s="13">
        <f t="shared" si="178"/>
        <v>8.5</v>
      </c>
      <c r="J2203" s="14">
        <f t="shared" si="180"/>
        <v>0.77272727272727271</v>
      </c>
      <c r="K2203" s="56">
        <v>2.37</v>
      </c>
      <c r="L2203" s="15">
        <f t="shared" si="181"/>
        <v>0</v>
      </c>
      <c r="M2203" s="16">
        <f t="shared" si="182"/>
        <v>195.63046499999999</v>
      </c>
      <c r="N2203" s="17">
        <f t="shared" si="179"/>
        <v>2.37</v>
      </c>
      <c r="O2203" s="17">
        <f t="shared" si="183"/>
        <v>2607</v>
      </c>
      <c r="P2203" s="18">
        <f t="shared" si="184"/>
        <v>215193.51149999999</v>
      </c>
    </row>
    <row r="2204" spans="2:18" ht="12.75">
      <c r="B2204" s="10">
        <v>46166</v>
      </c>
      <c r="C2204" s="11">
        <f>VLOOKUP(B:B,'Курс валют'!A:D,4,0)</f>
        <v>82.544499999999999</v>
      </c>
      <c r="D2204" s="57" t="s">
        <v>733</v>
      </c>
      <c r="E2204" s="50" t="s">
        <v>15</v>
      </c>
      <c r="F2204" s="58">
        <v>1100</v>
      </c>
      <c r="G2204" s="13">
        <v>1108.5</v>
      </c>
      <c r="H2204" s="56">
        <v>0</v>
      </c>
      <c r="I2204" s="13">
        <f t="shared" si="178"/>
        <v>8.5</v>
      </c>
      <c r="J2204" s="14">
        <f t="shared" si="180"/>
        <v>0.77272727272727271</v>
      </c>
      <c r="K2204" s="56">
        <v>2.37</v>
      </c>
      <c r="L2204" s="15">
        <f t="shared" si="181"/>
        <v>0</v>
      </c>
      <c r="M2204" s="16">
        <f t="shared" si="182"/>
        <v>195.63046499999999</v>
      </c>
      <c r="N2204" s="17">
        <f t="shared" si="179"/>
        <v>2.37</v>
      </c>
      <c r="O2204" s="17">
        <f t="shared" si="183"/>
        <v>2607</v>
      </c>
      <c r="P2204" s="18">
        <f t="shared" si="184"/>
        <v>215193.51149999999</v>
      </c>
    </row>
    <row r="2205" spans="2:18" ht="12.75">
      <c r="B2205" s="10">
        <v>46166</v>
      </c>
      <c r="C2205" s="11">
        <f>VLOOKUP(B:B,'Курс валют'!A:D,4,0)</f>
        <v>82.544499999999999</v>
      </c>
      <c r="D2205" s="57" t="s">
        <v>734</v>
      </c>
      <c r="E2205" s="50" t="s">
        <v>15</v>
      </c>
      <c r="F2205" s="58">
        <v>1100</v>
      </c>
      <c r="G2205" s="13">
        <v>1108.5</v>
      </c>
      <c r="H2205" s="56">
        <v>0</v>
      </c>
      <c r="I2205" s="13">
        <f t="shared" si="178"/>
        <v>8.5</v>
      </c>
      <c r="J2205" s="14">
        <f t="shared" si="180"/>
        <v>0.77272727272727271</v>
      </c>
      <c r="K2205" s="56">
        <v>2.37</v>
      </c>
      <c r="L2205" s="15">
        <f t="shared" si="181"/>
        <v>0</v>
      </c>
      <c r="M2205" s="16">
        <f t="shared" si="182"/>
        <v>195.63046499999999</v>
      </c>
      <c r="N2205" s="17">
        <f t="shared" si="179"/>
        <v>2.37</v>
      </c>
      <c r="O2205" s="17">
        <f t="shared" si="183"/>
        <v>2607</v>
      </c>
      <c r="P2205" s="18">
        <f t="shared" si="184"/>
        <v>215193.51149999999</v>
      </c>
    </row>
    <row r="2206" spans="2:18" ht="12.75">
      <c r="B2206" s="10">
        <v>46166</v>
      </c>
      <c r="C2206" s="11">
        <f>VLOOKUP(B:B,'Курс валют'!A:D,4,0)</f>
        <v>82.544499999999999</v>
      </c>
      <c r="D2206" s="57" t="s">
        <v>735</v>
      </c>
      <c r="E2206" s="50" t="s">
        <v>15</v>
      </c>
      <c r="F2206" s="58">
        <v>1100</v>
      </c>
      <c r="G2206" s="13">
        <v>1108.5</v>
      </c>
      <c r="H2206" s="56">
        <v>0</v>
      </c>
      <c r="I2206" s="13">
        <f t="shared" si="178"/>
        <v>8.5</v>
      </c>
      <c r="J2206" s="14">
        <f t="shared" si="180"/>
        <v>0.77272727272727271</v>
      </c>
      <c r="K2206" s="56">
        <v>2.37</v>
      </c>
      <c r="L2206" s="15">
        <f t="shared" si="181"/>
        <v>0</v>
      </c>
      <c r="M2206" s="16">
        <f t="shared" si="182"/>
        <v>195.63046499999999</v>
      </c>
      <c r="N2206" s="17">
        <f t="shared" si="179"/>
        <v>2.37</v>
      </c>
      <c r="O2206" s="17">
        <f t="shared" si="183"/>
        <v>2607</v>
      </c>
      <c r="P2206" s="18">
        <f t="shared" si="184"/>
        <v>215193.51149999999</v>
      </c>
    </row>
    <row r="2207" spans="2:18" ht="12.75">
      <c r="B2207" s="10">
        <v>46166</v>
      </c>
      <c r="C2207" s="11">
        <f>VLOOKUP(B:B,'Курс валют'!A:D,4,0)</f>
        <v>82.544499999999999</v>
      </c>
      <c r="D2207" s="57" t="s">
        <v>736</v>
      </c>
      <c r="E2207" s="50" t="s">
        <v>15</v>
      </c>
      <c r="F2207" s="58">
        <v>1100</v>
      </c>
      <c r="G2207" s="13">
        <v>1108.5</v>
      </c>
      <c r="H2207" s="56">
        <v>0</v>
      </c>
      <c r="I2207" s="13">
        <f t="shared" si="178"/>
        <v>8.5</v>
      </c>
      <c r="J2207" s="14">
        <f t="shared" si="180"/>
        <v>0.77272727272727271</v>
      </c>
      <c r="K2207" s="56">
        <v>2.37</v>
      </c>
      <c r="L2207" s="15">
        <f t="shared" si="181"/>
        <v>0</v>
      </c>
      <c r="M2207" s="16">
        <f t="shared" si="182"/>
        <v>195.63046499999999</v>
      </c>
      <c r="N2207" s="17">
        <f t="shared" si="179"/>
        <v>2.37</v>
      </c>
      <c r="O2207" s="17">
        <f t="shared" si="183"/>
        <v>2607</v>
      </c>
      <c r="P2207" s="18">
        <f t="shared" si="184"/>
        <v>215193.51149999999</v>
      </c>
    </row>
    <row r="2208" spans="2:18" ht="12.75">
      <c r="B2208" s="10">
        <v>46167</v>
      </c>
      <c r="C2208" s="11">
        <f>VLOOKUP(B:B,'Курс валют'!A:D,4,0)</f>
        <v>82.544499999999999</v>
      </c>
      <c r="D2208" s="57" t="s">
        <v>737</v>
      </c>
      <c r="E2208" s="50" t="s">
        <v>70</v>
      </c>
      <c r="F2208" s="58">
        <v>1800</v>
      </c>
      <c r="G2208" s="58">
        <v>1800</v>
      </c>
      <c r="H2208" s="56">
        <v>0</v>
      </c>
      <c r="I2208" s="58">
        <f t="shared" si="178"/>
        <v>0</v>
      </c>
      <c r="J2208" s="14">
        <f t="shared" si="180"/>
        <v>0</v>
      </c>
      <c r="K2208" s="56">
        <v>2.68</v>
      </c>
      <c r="L2208" s="15">
        <f t="shared" si="181"/>
        <v>0</v>
      </c>
      <c r="M2208" s="16">
        <f t="shared" si="182"/>
        <v>221.21925999999999</v>
      </c>
      <c r="N2208" s="17">
        <f t="shared" si="179"/>
        <v>2.68</v>
      </c>
      <c r="O2208" s="17">
        <f t="shared" si="183"/>
        <v>4824</v>
      </c>
      <c r="P2208" s="18">
        <f t="shared" si="184"/>
        <v>398194.66800000001</v>
      </c>
      <c r="R2208" s="33" t="s">
        <v>738</v>
      </c>
    </row>
    <row r="2209" spans="2:18" ht="12.75">
      <c r="B2209" s="10">
        <v>46167</v>
      </c>
      <c r="C2209" s="11">
        <f>VLOOKUP(B:B,'Курс валют'!A:D,4,0)</f>
        <v>82.544499999999999</v>
      </c>
      <c r="D2209" s="57" t="s">
        <v>739</v>
      </c>
      <c r="E2209" s="50" t="s">
        <v>79</v>
      </c>
      <c r="F2209" s="58">
        <v>1400</v>
      </c>
      <c r="G2209" s="13">
        <v>1400</v>
      </c>
      <c r="H2209" s="56">
        <v>0</v>
      </c>
      <c r="I2209" s="13">
        <f t="shared" si="178"/>
        <v>0</v>
      </c>
      <c r="J2209" s="14">
        <f t="shared" si="180"/>
        <v>0</v>
      </c>
      <c r="K2209" s="56">
        <v>2.72</v>
      </c>
      <c r="L2209" s="15">
        <f t="shared" si="181"/>
        <v>0</v>
      </c>
      <c r="M2209" s="16">
        <f t="shared" si="182"/>
        <v>224.52104000000006</v>
      </c>
      <c r="N2209" s="17">
        <f t="shared" si="179"/>
        <v>2.72</v>
      </c>
      <c r="O2209" s="17">
        <f t="shared" si="183"/>
        <v>3808.0000000000005</v>
      </c>
      <c r="P2209" s="18">
        <f t="shared" si="184"/>
        <v>314329.45600000006</v>
      </c>
      <c r="R2209" s="33" t="s">
        <v>740</v>
      </c>
    </row>
    <row r="2210" spans="2:18" ht="12.75">
      <c r="B2210" s="10">
        <v>46168</v>
      </c>
      <c r="C2210" s="11">
        <f>VLOOKUP(B:B,'Курс валют'!A:D,4,0)</f>
        <v>85.449299999999994</v>
      </c>
      <c r="D2210" s="57" t="s">
        <v>741</v>
      </c>
      <c r="E2210" s="50" t="s">
        <v>58</v>
      </c>
      <c r="F2210" s="58">
        <v>1100</v>
      </c>
      <c r="G2210" s="13">
        <v>1108.01</v>
      </c>
      <c r="H2210" s="56">
        <v>0</v>
      </c>
      <c r="I2210" s="13">
        <f t="shared" si="178"/>
        <v>8.0099999999999909</v>
      </c>
      <c r="J2210" s="14">
        <f t="shared" si="180"/>
        <v>0.72818181818181726</v>
      </c>
      <c r="K2210" s="56">
        <v>2.4900000000000002</v>
      </c>
      <c r="L2210" s="15">
        <f t="shared" si="181"/>
        <v>0</v>
      </c>
      <c r="M2210" s="16">
        <f t="shared" si="182"/>
        <v>212.76875700000002</v>
      </c>
      <c r="N2210" s="17">
        <f t="shared" si="179"/>
        <v>2.4900000000000002</v>
      </c>
      <c r="O2210" s="17">
        <f t="shared" si="183"/>
        <v>2739.0000000000005</v>
      </c>
      <c r="P2210" s="18">
        <f t="shared" si="184"/>
        <v>234045.63270000002</v>
      </c>
    </row>
    <row r="2211" spans="2:18" ht="12.75">
      <c r="B2211" s="10">
        <v>46168</v>
      </c>
      <c r="C2211" s="11">
        <f>VLOOKUP(B:B,'Курс валют'!A:D,4,0)</f>
        <v>85.449299999999994</v>
      </c>
      <c r="D2211" s="57" t="s">
        <v>742</v>
      </c>
      <c r="E2211" s="50" t="s">
        <v>58</v>
      </c>
      <c r="F2211" s="58">
        <v>1100</v>
      </c>
      <c r="G2211" s="13">
        <v>1108.01</v>
      </c>
      <c r="H2211" s="56">
        <v>0</v>
      </c>
      <c r="I2211" s="13">
        <f t="shared" si="178"/>
        <v>8.0099999999999909</v>
      </c>
      <c r="J2211" s="14">
        <f t="shared" si="180"/>
        <v>0.72818181818181726</v>
      </c>
      <c r="K2211" s="56">
        <v>2.4900000000000002</v>
      </c>
      <c r="L2211" s="15">
        <f t="shared" si="181"/>
        <v>0</v>
      </c>
      <c r="M2211" s="16">
        <f t="shared" si="182"/>
        <v>212.76875700000002</v>
      </c>
      <c r="N2211" s="17">
        <f t="shared" si="179"/>
        <v>2.4900000000000002</v>
      </c>
      <c r="O2211" s="17">
        <f t="shared" si="183"/>
        <v>2739.0000000000005</v>
      </c>
      <c r="P2211" s="18">
        <f t="shared" si="184"/>
        <v>234045.63270000002</v>
      </c>
    </row>
    <row r="2212" spans="2:18" ht="12.75">
      <c r="B2212" s="10">
        <v>46168</v>
      </c>
      <c r="C2212" s="11">
        <f>VLOOKUP(B:B,'Курс валют'!A:D,4,0)</f>
        <v>85.449299999999994</v>
      </c>
      <c r="D2212" s="57" t="s">
        <v>743</v>
      </c>
      <c r="E2212" s="50" t="s">
        <v>58</v>
      </c>
      <c r="F2212" s="58">
        <v>1100</v>
      </c>
      <c r="G2212" s="13">
        <v>1108.01</v>
      </c>
      <c r="H2212" s="56">
        <v>0</v>
      </c>
      <c r="I2212" s="13">
        <f t="shared" si="178"/>
        <v>8.0099999999999909</v>
      </c>
      <c r="J2212" s="14">
        <f t="shared" si="180"/>
        <v>0.72818181818181726</v>
      </c>
      <c r="K2212" s="56">
        <v>2.4900000000000002</v>
      </c>
      <c r="L2212" s="15">
        <f t="shared" si="181"/>
        <v>0</v>
      </c>
      <c r="M2212" s="16">
        <f t="shared" si="182"/>
        <v>212.76875700000002</v>
      </c>
      <c r="N2212" s="17">
        <f t="shared" si="179"/>
        <v>2.4900000000000002</v>
      </c>
      <c r="O2212" s="17">
        <f t="shared" si="183"/>
        <v>2739.0000000000005</v>
      </c>
      <c r="P2212" s="18">
        <f t="shared" si="184"/>
        <v>234045.63270000002</v>
      </c>
    </row>
    <row r="2213" spans="2:18" ht="12.75">
      <c r="B2213" s="10">
        <v>46168</v>
      </c>
      <c r="C2213" s="11">
        <f>VLOOKUP(B:B,'Курс валют'!A:D,4,0)</f>
        <v>85.449299999999994</v>
      </c>
      <c r="D2213" s="57" t="s">
        <v>744</v>
      </c>
      <c r="E2213" s="50" t="s">
        <v>58</v>
      </c>
      <c r="F2213" s="58">
        <v>1100</v>
      </c>
      <c r="G2213" s="13">
        <v>1108.01</v>
      </c>
      <c r="H2213" s="56">
        <v>0</v>
      </c>
      <c r="I2213" s="13">
        <f t="shared" si="178"/>
        <v>8.0099999999999909</v>
      </c>
      <c r="J2213" s="14">
        <f t="shared" si="180"/>
        <v>0.72818181818181726</v>
      </c>
      <c r="K2213" s="56">
        <v>2.4900000000000002</v>
      </c>
      <c r="L2213" s="15">
        <f t="shared" si="181"/>
        <v>0</v>
      </c>
      <c r="M2213" s="16">
        <f t="shared" si="182"/>
        <v>212.76875700000002</v>
      </c>
      <c r="N2213" s="17">
        <f t="shared" si="179"/>
        <v>2.4900000000000002</v>
      </c>
      <c r="O2213" s="17">
        <f t="shared" si="183"/>
        <v>2739.0000000000005</v>
      </c>
      <c r="P2213" s="18">
        <f t="shared" si="184"/>
        <v>234045.63270000002</v>
      </c>
    </row>
    <row r="2214" spans="2:18" ht="12.75">
      <c r="B2214" s="10">
        <v>46168</v>
      </c>
      <c r="C2214" s="11">
        <f>VLOOKUP(B:B,'Курс валют'!A:D,4,0)</f>
        <v>85.449299999999994</v>
      </c>
      <c r="D2214" s="57" t="s">
        <v>745</v>
      </c>
      <c r="E2214" s="50" t="s">
        <v>58</v>
      </c>
      <c r="F2214" s="58">
        <v>220</v>
      </c>
      <c r="G2214" s="13">
        <v>222.4</v>
      </c>
      <c r="H2214" s="56">
        <v>0</v>
      </c>
      <c r="I2214" s="13">
        <f t="shared" si="178"/>
        <v>2.4000000000000057</v>
      </c>
      <c r="J2214" s="14">
        <f t="shared" si="180"/>
        <v>1.0909090909090935</v>
      </c>
      <c r="K2214" s="56">
        <v>2.54</v>
      </c>
      <c r="L2214" s="15">
        <f t="shared" si="181"/>
        <v>0</v>
      </c>
      <c r="M2214" s="16">
        <f t="shared" si="182"/>
        <v>217.04122199999998</v>
      </c>
      <c r="N2214" s="17">
        <f t="shared" si="179"/>
        <v>2.5399999999999996</v>
      </c>
      <c r="O2214" s="17">
        <f t="shared" si="183"/>
        <v>558.79999999999995</v>
      </c>
      <c r="P2214" s="18">
        <f t="shared" si="184"/>
        <v>47749.068839999993</v>
      </c>
    </row>
    <row r="2215" spans="2:18" ht="12.75">
      <c r="B2215" s="10">
        <v>46168</v>
      </c>
      <c r="C2215" s="11">
        <f>VLOOKUP(B:B,'Курс валют'!A:D,4,0)</f>
        <v>85.449299999999994</v>
      </c>
      <c r="D2215" s="57" t="s">
        <v>746</v>
      </c>
      <c r="E2215" s="50" t="s">
        <v>58</v>
      </c>
      <c r="F2215" s="58">
        <v>220</v>
      </c>
      <c r="G2215" s="13">
        <v>222.4</v>
      </c>
      <c r="H2215" s="56">
        <v>0</v>
      </c>
      <c r="I2215" s="13">
        <f t="shared" si="178"/>
        <v>2.4000000000000057</v>
      </c>
      <c r="J2215" s="14">
        <f t="shared" si="180"/>
        <v>1.0909090909090935</v>
      </c>
      <c r="K2215" s="56">
        <v>2.54</v>
      </c>
      <c r="L2215" s="15">
        <f t="shared" si="181"/>
        <v>0</v>
      </c>
      <c r="M2215" s="16">
        <f t="shared" si="182"/>
        <v>217.04122199999998</v>
      </c>
      <c r="N2215" s="17">
        <f t="shared" si="179"/>
        <v>2.5399999999999996</v>
      </c>
      <c r="O2215" s="17">
        <f t="shared" si="183"/>
        <v>558.79999999999995</v>
      </c>
      <c r="P2215" s="18">
        <f t="shared" si="184"/>
        <v>47749.068839999993</v>
      </c>
    </row>
    <row r="2216" spans="2:18" ht="12.75">
      <c r="B2216" s="10">
        <v>46168</v>
      </c>
      <c r="C2216" s="11">
        <f>VLOOKUP(B:B,'Курс валют'!A:D,4,0)</f>
        <v>85.449299999999994</v>
      </c>
      <c r="D2216" s="57" t="s">
        <v>747</v>
      </c>
      <c r="E2216" s="50" t="s">
        <v>58</v>
      </c>
      <c r="F2216" s="58">
        <v>1100</v>
      </c>
      <c r="G2216" s="13">
        <v>1108.01</v>
      </c>
      <c r="H2216" s="56">
        <v>0</v>
      </c>
      <c r="I2216" s="13">
        <f t="shared" si="178"/>
        <v>8.0099999999999909</v>
      </c>
      <c r="J2216" s="14">
        <f t="shared" si="180"/>
        <v>0.72818181818181726</v>
      </c>
      <c r="K2216" s="56">
        <v>2.48</v>
      </c>
      <c r="L2216" s="15">
        <f t="shared" si="181"/>
        <v>0</v>
      </c>
      <c r="M2216" s="16">
        <f t="shared" si="182"/>
        <v>211.914264</v>
      </c>
      <c r="N2216" s="17">
        <f t="shared" si="179"/>
        <v>2.48</v>
      </c>
      <c r="O2216" s="17">
        <f t="shared" si="183"/>
        <v>2728</v>
      </c>
      <c r="P2216" s="18">
        <f t="shared" si="184"/>
        <v>233105.69039999999</v>
      </c>
    </row>
    <row r="2217" spans="2:18" ht="12.75">
      <c r="B2217" s="10">
        <v>46168</v>
      </c>
      <c r="C2217" s="11">
        <f>VLOOKUP(B:B,'Курс валют'!A:D,4,0)</f>
        <v>85.449299999999994</v>
      </c>
      <c r="D2217" s="57" t="s">
        <v>748</v>
      </c>
      <c r="E2217" s="50" t="s">
        <v>58</v>
      </c>
      <c r="F2217" s="58">
        <v>1100</v>
      </c>
      <c r="G2217" s="13">
        <v>1108.01</v>
      </c>
      <c r="H2217" s="56">
        <v>0</v>
      </c>
      <c r="I2217" s="13">
        <f t="shared" si="178"/>
        <v>8.0099999999999909</v>
      </c>
      <c r="J2217" s="14">
        <f t="shared" si="180"/>
        <v>0.72818181818181726</v>
      </c>
      <c r="K2217" s="56">
        <v>2.48</v>
      </c>
      <c r="L2217" s="15">
        <f t="shared" si="181"/>
        <v>0</v>
      </c>
      <c r="M2217" s="16">
        <f t="shared" si="182"/>
        <v>211.914264</v>
      </c>
      <c r="N2217" s="17">
        <f t="shared" si="179"/>
        <v>2.48</v>
      </c>
      <c r="O2217" s="17">
        <f t="shared" si="183"/>
        <v>2728</v>
      </c>
      <c r="P2217" s="18">
        <f t="shared" si="184"/>
        <v>233105.69039999999</v>
      </c>
    </row>
    <row r="2218" spans="2:18" ht="12.75">
      <c r="B2218" s="10">
        <v>46168</v>
      </c>
      <c r="C2218" s="11">
        <f>VLOOKUP(B:B,'Курс валют'!A:D,4,0)</f>
        <v>85.449299999999994</v>
      </c>
      <c r="D2218" s="57" t="s">
        <v>749</v>
      </c>
      <c r="E2218" s="50" t="s">
        <v>58</v>
      </c>
      <c r="F2218" s="58">
        <v>1100</v>
      </c>
      <c r="G2218" s="13">
        <v>1108.01</v>
      </c>
      <c r="H2218" s="56">
        <v>0</v>
      </c>
      <c r="I2218" s="13">
        <f t="shared" si="178"/>
        <v>8.0099999999999909</v>
      </c>
      <c r="J2218" s="14">
        <f t="shared" si="180"/>
        <v>0.72818181818181726</v>
      </c>
      <c r="K2218" s="56">
        <v>2.48</v>
      </c>
      <c r="L2218" s="15">
        <f t="shared" si="181"/>
        <v>0</v>
      </c>
      <c r="M2218" s="16">
        <f t="shared" si="182"/>
        <v>211.914264</v>
      </c>
      <c r="N2218" s="17">
        <f t="shared" si="179"/>
        <v>2.48</v>
      </c>
      <c r="O2218" s="17">
        <f t="shared" si="183"/>
        <v>2728</v>
      </c>
      <c r="P2218" s="18">
        <f t="shared" si="184"/>
        <v>233105.69039999999</v>
      </c>
    </row>
    <row r="2219" spans="2:18" ht="12.75">
      <c r="B2219" s="10">
        <v>46168</v>
      </c>
      <c r="C2219" s="11">
        <f>VLOOKUP(B:B,'Курс валют'!A:D,4,0)</f>
        <v>85.449299999999994</v>
      </c>
      <c r="D2219" s="57" t="s">
        <v>750</v>
      </c>
      <c r="E2219" s="50" t="s">
        <v>58</v>
      </c>
      <c r="F2219" s="58">
        <v>1100</v>
      </c>
      <c r="G2219" s="13">
        <v>1108.01</v>
      </c>
      <c r="H2219" s="56">
        <v>0</v>
      </c>
      <c r="I2219" s="13">
        <f t="shared" si="178"/>
        <v>8.0099999999999909</v>
      </c>
      <c r="J2219" s="14">
        <f t="shared" si="180"/>
        <v>0.72818181818181726</v>
      </c>
      <c r="K2219" s="56">
        <v>2.4900000000000002</v>
      </c>
      <c r="L2219" s="15">
        <f t="shared" si="181"/>
        <v>0</v>
      </c>
      <c r="M2219" s="16">
        <f t="shared" si="182"/>
        <v>212.76875700000002</v>
      </c>
      <c r="N2219" s="17">
        <f t="shared" si="179"/>
        <v>2.4900000000000002</v>
      </c>
      <c r="O2219" s="17">
        <f t="shared" si="183"/>
        <v>2739.0000000000005</v>
      </c>
      <c r="P2219" s="18">
        <f t="shared" si="184"/>
        <v>234045.63270000002</v>
      </c>
    </row>
    <row r="2220" spans="2:18" ht="12.75">
      <c r="B2220" s="10">
        <v>46169</v>
      </c>
      <c r="C2220" s="11">
        <f>VLOOKUP(B:B,'Курс валют'!A:D,4,0)</f>
        <v>83.297499999999999</v>
      </c>
      <c r="D2220" s="57" t="s">
        <v>751</v>
      </c>
      <c r="E2220" s="50" t="s">
        <v>58</v>
      </c>
      <c r="F2220" s="58">
        <v>1100</v>
      </c>
      <c r="G2220" s="13">
        <v>1108.01</v>
      </c>
      <c r="H2220" s="56">
        <v>0</v>
      </c>
      <c r="I2220" s="13">
        <f t="shared" si="178"/>
        <v>8.0099999999999909</v>
      </c>
      <c r="J2220" s="14">
        <f t="shared" si="180"/>
        <v>0.72818181818181726</v>
      </c>
      <c r="K2220" s="56">
        <v>2.4900000000000002</v>
      </c>
      <c r="L2220" s="15">
        <f t="shared" si="181"/>
        <v>0</v>
      </c>
      <c r="M2220" s="16">
        <f t="shared" si="182"/>
        <v>207.41077500000003</v>
      </c>
      <c r="N2220" s="17">
        <f t="shared" si="179"/>
        <v>2.4900000000000002</v>
      </c>
      <c r="O2220" s="17">
        <f t="shared" si="183"/>
        <v>2739.0000000000005</v>
      </c>
      <c r="P2220" s="18">
        <f t="shared" si="184"/>
        <v>228151.85250000004</v>
      </c>
    </row>
    <row r="2221" spans="2:18" ht="12.75">
      <c r="B2221" s="10">
        <v>46169</v>
      </c>
      <c r="C2221" s="11">
        <f>VLOOKUP(B:B,'Курс валют'!A:D,4,0)</f>
        <v>83.297499999999999</v>
      </c>
      <c r="D2221" s="57" t="s">
        <v>752</v>
      </c>
      <c r="E2221" s="50" t="s">
        <v>58</v>
      </c>
      <c r="F2221" s="58">
        <v>1100</v>
      </c>
      <c r="G2221" s="13">
        <v>1108.01</v>
      </c>
      <c r="H2221" s="56">
        <v>0</v>
      </c>
      <c r="I2221" s="13">
        <f t="shared" si="178"/>
        <v>8.0099999999999909</v>
      </c>
      <c r="J2221" s="14">
        <f t="shared" si="180"/>
        <v>0.72818181818181726</v>
      </c>
      <c r="K2221" s="56">
        <v>2.48</v>
      </c>
      <c r="L2221" s="15">
        <f t="shared" si="181"/>
        <v>0</v>
      </c>
      <c r="M2221" s="16">
        <f t="shared" si="182"/>
        <v>206.5778</v>
      </c>
      <c r="N2221" s="17">
        <f t="shared" si="179"/>
        <v>2.48</v>
      </c>
      <c r="O2221" s="17">
        <f t="shared" si="183"/>
        <v>2728</v>
      </c>
      <c r="P2221" s="18">
        <f t="shared" si="184"/>
        <v>227235.58</v>
      </c>
    </row>
    <row r="2222" spans="2:18" ht="12.75">
      <c r="B2222" s="10">
        <v>46169</v>
      </c>
      <c r="C2222" s="11">
        <f>VLOOKUP(B:B,'Курс валют'!A:D,4,0)</f>
        <v>83.297499999999999</v>
      </c>
      <c r="D2222" s="57" t="s">
        <v>753</v>
      </c>
      <c r="E2222" s="50" t="s">
        <v>58</v>
      </c>
      <c r="F2222" s="58">
        <v>1100</v>
      </c>
      <c r="G2222" s="13">
        <v>1108.01</v>
      </c>
      <c r="H2222" s="56">
        <v>0</v>
      </c>
      <c r="I2222" s="13">
        <f t="shared" si="178"/>
        <v>8.0099999999999909</v>
      </c>
      <c r="J2222" s="14">
        <f t="shared" si="180"/>
        <v>0.72818181818181726</v>
      </c>
      <c r="K2222" s="56">
        <v>2.48</v>
      </c>
      <c r="L2222" s="15">
        <f t="shared" si="181"/>
        <v>0</v>
      </c>
      <c r="M2222" s="16">
        <f t="shared" si="182"/>
        <v>206.5778</v>
      </c>
      <c r="N2222" s="17">
        <f t="shared" si="179"/>
        <v>2.48</v>
      </c>
      <c r="O2222" s="17">
        <f t="shared" si="183"/>
        <v>2728</v>
      </c>
      <c r="P2222" s="18">
        <f t="shared" si="184"/>
        <v>227235.58</v>
      </c>
    </row>
    <row r="2223" spans="2:18" ht="12.75">
      <c r="B2223" s="10">
        <v>46169</v>
      </c>
      <c r="C2223" s="11">
        <f>VLOOKUP(B:B,'Курс валют'!A:D,4,0)</f>
        <v>83.297499999999999</v>
      </c>
      <c r="D2223" s="57" t="s">
        <v>754</v>
      </c>
      <c r="E2223" s="50" t="s">
        <v>58</v>
      </c>
      <c r="F2223" s="58">
        <v>1100</v>
      </c>
      <c r="G2223" s="13">
        <v>1108.01</v>
      </c>
      <c r="H2223" s="56">
        <v>0</v>
      </c>
      <c r="I2223" s="13">
        <f t="shared" si="178"/>
        <v>8.0099999999999909</v>
      </c>
      <c r="J2223" s="14">
        <f t="shared" si="180"/>
        <v>0.72818181818181726</v>
      </c>
      <c r="K2223" s="56">
        <v>2.4900000000000002</v>
      </c>
      <c r="L2223" s="15">
        <f t="shared" si="181"/>
        <v>0</v>
      </c>
      <c r="M2223" s="16">
        <f t="shared" si="182"/>
        <v>207.41077500000003</v>
      </c>
      <c r="N2223" s="17">
        <f t="shared" si="179"/>
        <v>2.4900000000000002</v>
      </c>
      <c r="O2223" s="17">
        <f t="shared" si="183"/>
        <v>2739.0000000000005</v>
      </c>
      <c r="P2223" s="18">
        <f t="shared" si="184"/>
        <v>228151.85250000004</v>
      </c>
    </row>
    <row r="2224" spans="2:18" ht="12.75">
      <c r="B2224" s="10">
        <v>46169</v>
      </c>
      <c r="C2224" s="11">
        <f>VLOOKUP(B:B,'Курс валют'!A:D,4,0)</f>
        <v>83.297499999999999</v>
      </c>
      <c r="D2224" s="57" t="s">
        <v>755</v>
      </c>
      <c r="E2224" s="50" t="s">
        <v>204</v>
      </c>
      <c r="F2224" s="58">
        <v>440</v>
      </c>
      <c r="G2224" s="13">
        <v>440</v>
      </c>
      <c r="H2224" s="56">
        <v>0</v>
      </c>
      <c r="I2224" s="13">
        <f t="shared" si="178"/>
        <v>0</v>
      </c>
      <c r="J2224" s="14">
        <f t="shared" si="180"/>
        <v>0</v>
      </c>
      <c r="K2224" s="56">
        <v>15.95</v>
      </c>
      <c r="L2224" s="15">
        <f t="shared" si="181"/>
        <v>0</v>
      </c>
      <c r="M2224" s="16">
        <f t="shared" si="182"/>
        <v>1328.5951250000001</v>
      </c>
      <c r="N2224" s="17">
        <f t="shared" si="179"/>
        <v>15.95</v>
      </c>
      <c r="O2224" s="17">
        <f t="shared" si="183"/>
        <v>7018</v>
      </c>
      <c r="P2224" s="18">
        <f t="shared" si="184"/>
        <v>584581.85499999998</v>
      </c>
      <c r="R2224" s="33" t="s">
        <v>756</v>
      </c>
    </row>
    <row r="2225" spans="2:18" ht="12.75">
      <c r="B2225" s="10">
        <v>46169</v>
      </c>
      <c r="C2225" s="11">
        <f>VLOOKUP(B:B,'Курс валют'!A:D,4,0)</f>
        <v>83.297499999999999</v>
      </c>
      <c r="D2225" s="57" t="s">
        <v>757</v>
      </c>
      <c r="E2225" s="50" t="s">
        <v>58</v>
      </c>
      <c r="F2225" s="58">
        <v>1100</v>
      </c>
      <c r="G2225" s="13">
        <v>1108.01</v>
      </c>
      <c r="H2225" s="56">
        <v>0</v>
      </c>
      <c r="I2225" s="13">
        <f t="shared" si="178"/>
        <v>8.0099999999999909</v>
      </c>
      <c r="J2225" s="14">
        <f t="shared" si="180"/>
        <v>0.72818181818181726</v>
      </c>
      <c r="K2225" s="56">
        <v>2.48</v>
      </c>
      <c r="L2225" s="15">
        <f t="shared" si="181"/>
        <v>0</v>
      </c>
      <c r="M2225" s="16">
        <f t="shared" si="182"/>
        <v>206.5778</v>
      </c>
      <c r="N2225" s="17">
        <f t="shared" si="179"/>
        <v>2.48</v>
      </c>
      <c r="O2225" s="17">
        <f t="shared" si="183"/>
        <v>2728</v>
      </c>
      <c r="P2225" s="18">
        <f t="shared" si="184"/>
        <v>227235.58</v>
      </c>
    </row>
    <row r="2226" spans="2:18" ht="12.75">
      <c r="B2226" s="10">
        <v>46169</v>
      </c>
      <c r="C2226" s="11">
        <f>VLOOKUP(B:B,'Курс валют'!A:D,4,0)</f>
        <v>83.297499999999999</v>
      </c>
      <c r="D2226" s="57" t="s">
        <v>758</v>
      </c>
      <c r="E2226" s="50" t="s">
        <v>58</v>
      </c>
      <c r="F2226" s="58">
        <v>1100</v>
      </c>
      <c r="G2226" s="13">
        <v>1108.01</v>
      </c>
      <c r="H2226" s="56">
        <v>0</v>
      </c>
      <c r="I2226" s="13">
        <f t="shared" si="178"/>
        <v>8.0099999999999909</v>
      </c>
      <c r="J2226" s="14">
        <f t="shared" si="180"/>
        <v>0.72818181818181726</v>
      </c>
      <c r="K2226" s="56">
        <v>2.48</v>
      </c>
      <c r="L2226" s="15">
        <f t="shared" si="181"/>
        <v>0</v>
      </c>
      <c r="M2226" s="16">
        <f t="shared" si="182"/>
        <v>206.5778</v>
      </c>
      <c r="N2226" s="17">
        <f t="shared" si="179"/>
        <v>2.48</v>
      </c>
      <c r="O2226" s="17">
        <f t="shared" si="183"/>
        <v>2728</v>
      </c>
      <c r="P2226" s="18">
        <f t="shared" si="184"/>
        <v>227235.58</v>
      </c>
    </row>
    <row r="2227" spans="2:18" ht="12.75">
      <c r="B2227" s="10">
        <v>46169</v>
      </c>
      <c r="C2227" s="11">
        <f>VLOOKUP(B:B,'Курс валют'!A:D,4,0)</f>
        <v>83.297499999999999</v>
      </c>
      <c r="D2227" s="57" t="s">
        <v>759</v>
      </c>
      <c r="E2227" s="50" t="s">
        <v>58</v>
      </c>
      <c r="F2227" s="58">
        <v>1100</v>
      </c>
      <c r="G2227" s="13">
        <v>1108.01</v>
      </c>
      <c r="H2227" s="56">
        <v>0</v>
      </c>
      <c r="I2227" s="13">
        <f t="shared" si="178"/>
        <v>8.0099999999999909</v>
      </c>
      <c r="J2227" s="14">
        <f t="shared" si="180"/>
        <v>0.72818181818181726</v>
      </c>
      <c r="K2227" s="56">
        <v>2.48</v>
      </c>
      <c r="L2227" s="15">
        <f t="shared" si="181"/>
        <v>0</v>
      </c>
      <c r="M2227" s="16">
        <f t="shared" si="182"/>
        <v>206.5778</v>
      </c>
      <c r="N2227" s="17">
        <f t="shared" si="179"/>
        <v>2.48</v>
      </c>
      <c r="O2227" s="17">
        <f t="shared" si="183"/>
        <v>2728</v>
      </c>
      <c r="P2227" s="18">
        <f t="shared" si="184"/>
        <v>227235.58</v>
      </c>
    </row>
    <row r="2228" spans="2:18" ht="12.75">
      <c r="B2228" s="10">
        <v>46169</v>
      </c>
      <c r="C2228" s="11">
        <f>VLOOKUP(B:B,'Курс валют'!A:D,4,0)</f>
        <v>83.297499999999999</v>
      </c>
      <c r="D2228" s="57" t="s">
        <v>760</v>
      </c>
      <c r="E2228" s="50" t="s">
        <v>58</v>
      </c>
      <c r="F2228" s="58">
        <v>1100</v>
      </c>
      <c r="G2228" s="13">
        <v>1108.01</v>
      </c>
      <c r="H2228" s="56">
        <v>0</v>
      </c>
      <c r="I2228" s="13">
        <f t="shared" si="178"/>
        <v>8.0099999999999909</v>
      </c>
      <c r="J2228" s="14">
        <f t="shared" si="180"/>
        <v>0.72818181818181726</v>
      </c>
      <c r="K2228" s="56">
        <v>2.4900000000000002</v>
      </c>
      <c r="L2228" s="15">
        <f t="shared" si="181"/>
        <v>0</v>
      </c>
      <c r="M2228" s="16">
        <f t="shared" si="182"/>
        <v>207.41077500000003</v>
      </c>
      <c r="N2228" s="17">
        <f t="shared" si="179"/>
        <v>2.4900000000000002</v>
      </c>
      <c r="O2228" s="17">
        <f t="shared" si="183"/>
        <v>2739.0000000000005</v>
      </c>
      <c r="P2228" s="18">
        <f t="shared" si="184"/>
        <v>228151.85250000004</v>
      </c>
    </row>
    <row r="2229" spans="2:18" ht="12.75">
      <c r="B2229" s="10">
        <v>46169</v>
      </c>
      <c r="C2229" s="11">
        <f>VLOOKUP(B:B,'Курс валют'!A:D,4,0)</f>
        <v>83.297499999999999</v>
      </c>
      <c r="D2229" s="57" t="s">
        <v>761</v>
      </c>
      <c r="E2229" s="50" t="s">
        <v>207</v>
      </c>
      <c r="F2229" s="58">
        <v>200</v>
      </c>
      <c r="G2229" s="13">
        <v>200</v>
      </c>
      <c r="H2229" s="56">
        <v>0</v>
      </c>
      <c r="I2229" s="13">
        <f t="shared" si="178"/>
        <v>0</v>
      </c>
      <c r="J2229" s="14">
        <f t="shared" si="180"/>
        <v>0</v>
      </c>
      <c r="K2229" s="56">
        <v>2.85</v>
      </c>
      <c r="L2229" s="15">
        <f t="shared" si="181"/>
        <v>0</v>
      </c>
      <c r="M2229" s="16">
        <f t="shared" si="182"/>
        <v>237.397875</v>
      </c>
      <c r="N2229" s="17">
        <f t="shared" si="179"/>
        <v>2.85</v>
      </c>
      <c r="O2229" s="17">
        <f t="shared" si="183"/>
        <v>570</v>
      </c>
      <c r="P2229" s="18">
        <f t="shared" si="184"/>
        <v>47479.574999999997</v>
      </c>
      <c r="R2229" s="33" t="s">
        <v>762</v>
      </c>
    </row>
    <row r="2230" spans="2:18" ht="12.75">
      <c r="B2230" s="10">
        <v>46169</v>
      </c>
      <c r="C2230" s="11">
        <f>VLOOKUP(B:B,'Курс валют'!A:D,4,0)</f>
        <v>83.297499999999999</v>
      </c>
      <c r="D2230" s="57" t="s">
        <v>763</v>
      </c>
      <c r="E2230" s="50" t="s">
        <v>764</v>
      </c>
      <c r="F2230" s="58">
        <v>200</v>
      </c>
      <c r="G2230" s="13">
        <v>200</v>
      </c>
      <c r="H2230" s="56">
        <v>0</v>
      </c>
      <c r="I2230" s="13">
        <f t="shared" si="178"/>
        <v>0</v>
      </c>
      <c r="J2230" s="14">
        <f t="shared" si="180"/>
        <v>0</v>
      </c>
      <c r="K2230" s="56">
        <v>2.84</v>
      </c>
      <c r="L2230" s="15">
        <f t="shared" si="181"/>
        <v>0</v>
      </c>
      <c r="M2230" s="16">
        <f t="shared" si="182"/>
        <v>236.56490000000002</v>
      </c>
      <c r="N2230" s="17">
        <f t="shared" si="179"/>
        <v>2.84</v>
      </c>
      <c r="O2230" s="17">
        <f t="shared" si="183"/>
        <v>568</v>
      </c>
      <c r="P2230" s="18">
        <f t="shared" si="184"/>
        <v>47312.98</v>
      </c>
      <c r="R2230" s="33" t="s">
        <v>765</v>
      </c>
    </row>
    <row r="2231" spans="2:18" ht="12.75">
      <c r="B2231" s="10">
        <v>46170</v>
      </c>
      <c r="C2231" s="11">
        <f>VLOOKUP(B:B,'Курс валют'!A:D,4,0)</f>
        <v>82.722399999999993</v>
      </c>
      <c r="D2231" s="57" t="s">
        <v>766</v>
      </c>
      <c r="E2231" s="50" t="s">
        <v>15</v>
      </c>
      <c r="F2231" s="58">
        <v>1100</v>
      </c>
      <c r="G2231" s="13">
        <v>1108.5</v>
      </c>
      <c r="H2231" s="56">
        <v>0</v>
      </c>
      <c r="I2231" s="13">
        <f t="shared" si="178"/>
        <v>8.5</v>
      </c>
      <c r="J2231" s="14">
        <f t="shared" si="180"/>
        <v>0.77272727272727271</v>
      </c>
      <c r="K2231" s="56">
        <v>2.39</v>
      </c>
      <c r="L2231" s="15">
        <f t="shared" si="181"/>
        <v>0</v>
      </c>
      <c r="M2231" s="16">
        <f t="shared" si="182"/>
        <v>197.70653599999997</v>
      </c>
      <c r="N2231" s="17">
        <f t="shared" si="179"/>
        <v>2.39</v>
      </c>
      <c r="O2231" s="17">
        <f t="shared" si="183"/>
        <v>2629</v>
      </c>
      <c r="P2231" s="18">
        <f t="shared" si="184"/>
        <v>217477.18959999998</v>
      </c>
    </row>
    <row r="2232" spans="2:18" ht="12.75">
      <c r="B2232" s="10">
        <v>46170</v>
      </c>
      <c r="C2232" s="11">
        <f>VLOOKUP(B:B,'Курс валют'!A:D,4,0)</f>
        <v>82.722399999999993</v>
      </c>
      <c r="D2232" s="57" t="s">
        <v>767</v>
      </c>
      <c r="E2232" s="50" t="s">
        <v>15</v>
      </c>
      <c r="F2232" s="58">
        <v>1100</v>
      </c>
      <c r="G2232" s="13">
        <v>1108.5</v>
      </c>
      <c r="H2232" s="56">
        <v>0</v>
      </c>
      <c r="I2232" s="13">
        <f t="shared" si="178"/>
        <v>8.5</v>
      </c>
      <c r="J2232" s="14">
        <f t="shared" si="180"/>
        <v>0.77272727272727271</v>
      </c>
      <c r="K2232" s="56">
        <v>2.39</v>
      </c>
      <c r="L2232" s="15">
        <f t="shared" si="181"/>
        <v>0</v>
      </c>
      <c r="M2232" s="16">
        <f t="shared" si="182"/>
        <v>197.70653599999997</v>
      </c>
      <c r="N2232" s="17">
        <f t="shared" si="179"/>
        <v>2.39</v>
      </c>
      <c r="O2232" s="17">
        <f t="shared" si="183"/>
        <v>2629</v>
      </c>
      <c r="P2232" s="18">
        <f t="shared" si="184"/>
        <v>217477.18959999998</v>
      </c>
    </row>
    <row r="2233" spans="2:18" ht="12.75">
      <c r="B2233" s="10">
        <v>46170</v>
      </c>
      <c r="C2233" s="11">
        <f>VLOOKUP(B:B,'Курс валют'!A:D,4,0)</f>
        <v>82.722399999999993</v>
      </c>
      <c r="D2233" s="57" t="s">
        <v>768</v>
      </c>
      <c r="E2233" s="50" t="s">
        <v>15</v>
      </c>
      <c r="F2233" s="58">
        <v>1100</v>
      </c>
      <c r="G2233" s="13">
        <v>1108.5</v>
      </c>
      <c r="H2233" s="56">
        <v>0</v>
      </c>
      <c r="I2233" s="13">
        <f t="shared" si="178"/>
        <v>8.5</v>
      </c>
      <c r="J2233" s="14">
        <f t="shared" si="180"/>
        <v>0.77272727272727271</v>
      </c>
      <c r="K2233" s="56">
        <v>2.39</v>
      </c>
      <c r="L2233" s="15">
        <f t="shared" si="181"/>
        <v>0</v>
      </c>
      <c r="M2233" s="16">
        <f t="shared" si="182"/>
        <v>197.70653599999997</v>
      </c>
      <c r="N2233" s="17">
        <f t="shared" si="179"/>
        <v>2.39</v>
      </c>
      <c r="O2233" s="17">
        <f t="shared" si="183"/>
        <v>2629</v>
      </c>
      <c r="P2233" s="18">
        <f t="shared" si="184"/>
        <v>217477.18959999998</v>
      </c>
    </row>
    <row r="2234" spans="2:18" ht="12.75">
      <c r="B2234" s="10">
        <v>46170</v>
      </c>
      <c r="C2234" s="11">
        <f>VLOOKUP(B:B,'Курс валют'!A:D,4,0)</f>
        <v>82.722399999999993</v>
      </c>
      <c r="D2234" s="57" t="s">
        <v>769</v>
      </c>
      <c r="E2234" s="50" t="s">
        <v>15</v>
      </c>
      <c r="F2234" s="58">
        <v>1100</v>
      </c>
      <c r="G2234" s="13">
        <v>1108.5</v>
      </c>
      <c r="H2234" s="56">
        <v>0</v>
      </c>
      <c r="I2234" s="13">
        <f t="shared" si="178"/>
        <v>8.5</v>
      </c>
      <c r="J2234" s="14">
        <f t="shared" si="180"/>
        <v>0.77272727272727271</v>
      </c>
      <c r="K2234" s="56">
        <v>2.39</v>
      </c>
      <c r="L2234" s="15">
        <f t="shared" si="181"/>
        <v>0</v>
      </c>
      <c r="M2234" s="16">
        <f t="shared" si="182"/>
        <v>197.70653599999997</v>
      </c>
      <c r="N2234" s="17">
        <f t="shared" si="179"/>
        <v>2.39</v>
      </c>
      <c r="O2234" s="17">
        <f t="shared" si="183"/>
        <v>2629</v>
      </c>
      <c r="P2234" s="18">
        <f t="shared" si="184"/>
        <v>217477.18959999998</v>
      </c>
    </row>
    <row r="2235" spans="2:18" ht="12.75">
      <c r="B2235" s="10">
        <v>46170</v>
      </c>
      <c r="C2235" s="11">
        <f>VLOOKUP(B:B,'Курс валют'!A:D,4,0)</f>
        <v>82.722399999999993</v>
      </c>
      <c r="D2235" s="57" t="s">
        <v>770</v>
      </c>
      <c r="E2235" s="50" t="s">
        <v>15</v>
      </c>
      <c r="F2235" s="58">
        <v>1100</v>
      </c>
      <c r="G2235" s="13">
        <v>1108.5</v>
      </c>
      <c r="H2235" s="56">
        <v>0</v>
      </c>
      <c r="I2235" s="13">
        <f t="shared" si="178"/>
        <v>8.5</v>
      </c>
      <c r="J2235" s="14">
        <f t="shared" si="180"/>
        <v>0.77272727272727271</v>
      </c>
      <c r="K2235" s="56">
        <v>2.39</v>
      </c>
      <c r="L2235" s="15">
        <f t="shared" si="181"/>
        <v>0</v>
      </c>
      <c r="M2235" s="16">
        <f t="shared" si="182"/>
        <v>197.70653599999997</v>
      </c>
      <c r="N2235" s="17">
        <f t="shared" si="179"/>
        <v>2.39</v>
      </c>
      <c r="O2235" s="17">
        <f t="shared" si="183"/>
        <v>2629</v>
      </c>
      <c r="P2235" s="18">
        <f t="shared" si="184"/>
        <v>217477.18959999998</v>
      </c>
    </row>
    <row r="2236" spans="2:18" ht="12.75">
      <c r="B2236" s="10">
        <v>46170</v>
      </c>
      <c r="C2236" s="11">
        <f>VLOOKUP(B:B,'Курс валют'!A:D,4,0)</f>
        <v>82.722399999999993</v>
      </c>
      <c r="D2236" s="57" t="s">
        <v>771</v>
      </c>
      <c r="E2236" s="50" t="s">
        <v>15</v>
      </c>
      <c r="F2236" s="58">
        <v>1100</v>
      </c>
      <c r="G2236" s="13">
        <v>1108.5</v>
      </c>
      <c r="H2236" s="56">
        <v>0</v>
      </c>
      <c r="I2236" s="13">
        <f t="shared" si="178"/>
        <v>8.5</v>
      </c>
      <c r="J2236" s="14">
        <f t="shared" si="180"/>
        <v>0.77272727272727271</v>
      </c>
      <c r="K2236" s="56">
        <v>2.39</v>
      </c>
      <c r="L2236" s="15">
        <f t="shared" si="181"/>
        <v>0</v>
      </c>
      <c r="M2236" s="16">
        <f t="shared" si="182"/>
        <v>197.70653599999997</v>
      </c>
      <c r="N2236" s="17">
        <f t="shared" si="179"/>
        <v>2.39</v>
      </c>
      <c r="O2236" s="17">
        <f t="shared" si="183"/>
        <v>2629</v>
      </c>
      <c r="P2236" s="18">
        <f t="shared" si="184"/>
        <v>217477.18959999998</v>
      </c>
    </row>
    <row r="2237" spans="2:18" ht="12.75">
      <c r="B2237" s="10">
        <v>46170</v>
      </c>
      <c r="C2237" s="11">
        <f>VLOOKUP(B:B,'Курс валют'!A:D,4,0)</f>
        <v>82.722399999999993</v>
      </c>
      <c r="D2237" s="57" t="s">
        <v>772</v>
      </c>
      <c r="E2237" s="50" t="s">
        <v>15</v>
      </c>
      <c r="F2237" s="58">
        <v>1100</v>
      </c>
      <c r="G2237" s="13">
        <v>1108.5</v>
      </c>
      <c r="H2237" s="56">
        <v>0</v>
      </c>
      <c r="I2237" s="13">
        <f t="shared" si="178"/>
        <v>8.5</v>
      </c>
      <c r="J2237" s="14">
        <f t="shared" si="180"/>
        <v>0.77272727272727271</v>
      </c>
      <c r="K2237" s="56">
        <v>2.4</v>
      </c>
      <c r="L2237" s="15">
        <f t="shared" si="181"/>
        <v>0</v>
      </c>
      <c r="M2237" s="16">
        <f t="shared" si="182"/>
        <v>198.53375999999997</v>
      </c>
      <c r="N2237" s="17">
        <f t="shared" si="179"/>
        <v>2.4</v>
      </c>
      <c r="O2237" s="17">
        <f t="shared" si="183"/>
        <v>2640</v>
      </c>
      <c r="P2237" s="18">
        <f t="shared" si="184"/>
        <v>218387.13599999997</v>
      </c>
    </row>
    <row r="2238" spans="2:18" ht="12.75">
      <c r="B2238" s="10">
        <v>46170</v>
      </c>
      <c r="C2238" s="11">
        <f>VLOOKUP(B:B,'Курс валют'!A:D,4,0)</f>
        <v>82.722399999999993</v>
      </c>
      <c r="D2238" s="57" t="s">
        <v>773</v>
      </c>
      <c r="E2238" s="50" t="s">
        <v>15</v>
      </c>
      <c r="F2238" s="58">
        <v>1100</v>
      </c>
      <c r="G2238" s="13">
        <v>1108.5</v>
      </c>
      <c r="H2238" s="56">
        <v>0</v>
      </c>
      <c r="I2238" s="13">
        <f t="shared" si="178"/>
        <v>8.5</v>
      </c>
      <c r="J2238" s="14">
        <f t="shared" si="180"/>
        <v>0.77272727272727271</v>
      </c>
      <c r="K2238" s="56">
        <v>2.4</v>
      </c>
      <c r="L2238" s="15">
        <f t="shared" si="181"/>
        <v>0</v>
      </c>
      <c r="M2238" s="16">
        <f t="shared" si="182"/>
        <v>198.53375999999997</v>
      </c>
      <c r="N2238" s="17">
        <f t="shared" si="179"/>
        <v>2.4</v>
      </c>
      <c r="O2238" s="17">
        <f t="shared" si="183"/>
        <v>2640</v>
      </c>
      <c r="P2238" s="18">
        <f t="shared" si="184"/>
        <v>218387.13599999997</v>
      </c>
    </row>
    <row r="2239" spans="2:18" ht="12.75">
      <c r="B2239" s="10">
        <v>46171</v>
      </c>
      <c r="C2239" s="11">
        <f>VLOOKUP(B:B,'Курс валют'!A:D,4,0)</f>
        <v>83.6892</v>
      </c>
      <c r="D2239" s="57" t="s">
        <v>774</v>
      </c>
      <c r="E2239" s="50" t="s">
        <v>103</v>
      </c>
      <c r="F2239" s="58">
        <v>800</v>
      </c>
      <c r="G2239" s="13">
        <v>805</v>
      </c>
      <c r="H2239" s="56">
        <v>0</v>
      </c>
      <c r="I2239" s="13">
        <f t="shared" si="178"/>
        <v>5</v>
      </c>
      <c r="J2239" s="14">
        <f t="shared" si="180"/>
        <v>0.625</v>
      </c>
      <c r="K2239" s="56">
        <v>1.85</v>
      </c>
      <c r="L2239" s="15">
        <f t="shared" si="181"/>
        <v>0</v>
      </c>
      <c r="M2239" s="16">
        <f t="shared" si="182"/>
        <v>154.82501999999999</v>
      </c>
      <c r="N2239" s="17">
        <f t="shared" si="179"/>
        <v>1.85</v>
      </c>
      <c r="O2239" s="17">
        <f t="shared" si="183"/>
        <v>1480</v>
      </c>
      <c r="P2239" s="18">
        <f t="shared" si="184"/>
        <v>123860.016</v>
      </c>
    </row>
    <row r="2240" spans="2:18" ht="12.75">
      <c r="B2240" s="10">
        <v>46171</v>
      </c>
      <c r="C2240" s="11">
        <f>VLOOKUP(B:B,'Курс валют'!A:D,4,0)</f>
        <v>83.6892</v>
      </c>
      <c r="D2240" s="57" t="s">
        <v>775</v>
      </c>
      <c r="E2240" s="50" t="s">
        <v>103</v>
      </c>
      <c r="F2240" s="58">
        <v>800</v>
      </c>
      <c r="G2240" s="13">
        <v>805</v>
      </c>
      <c r="H2240" s="56">
        <v>0</v>
      </c>
      <c r="I2240" s="13">
        <f t="shared" si="178"/>
        <v>5</v>
      </c>
      <c r="J2240" s="14">
        <f t="shared" si="180"/>
        <v>0.625</v>
      </c>
      <c r="K2240" s="56">
        <v>1.85</v>
      </c>
      <c r="L2240" s="15">
        <f t="shared" si="181"/>
        <v>0</v>
      </c>
      <c r="M2240" s="16">
        <f t="shared" si="182"/>
        <v>154.82501999999999</v>
      </c>
      <c r="N2240" s="17">
        <f t="shared" si="179"/>
        <v>1.85</v>
      </c>
      <c r="O2240" s="17">
        <f t="shared" si="183"/>
        <v>1480</v>
      </c>
      <c r="P2240" s="18">
        <f t="shared" si="184"/>
        <v>123860.016</v>
      </c>
    </row>
    <row r="2241" spans="2:16" ht="12.75">
      <c r="B2241" s="10">
        <v>46171</v>
      </c>
      <c r="C2241" s="11">
        <f>VLOOKUP(B:B,'Курс валют'!A:D,4,0)</f>
        <v>83.6892</v>
      </c>
      <c r="D2241" s="57" t="s">
        <v>776</v>
      </c>
      <c r="E2241" s="50" t="s">
        <v>103</v>
      </c>
      <c r="F2241" s="58">
        <v>800</v>
      </c>
      <c r="G2241" s="13">
        <v>805</v>
      </c>
      <c r="H2241" s="56">
        <v>0</v>
      </c>
      <c r="I2241" s="13">
        <f t="shared" si="178"/>
        <v>5</v>
      </c>
      <c r="J2241" s="14">
        <f t="shared" si="180"/>
        <v>0.625</v>
      </c>
      <c r="K2241" s="56">
        <v>1.85</v>
      </c>
      <c r="L2241" s="15">
        <f t="shared" si="181"/>
        <v>0</v>
      </c>
      <c r="M2241" s="16">
        <f t="shared" si="182"/>
        <v>154.82501999999999</v>
      </c>
      <c r="N2241" s="17">
        <f t="shared" ref="N2241:N2249" si="185">(F2241*K2241-H2241*30.4)/F2241</f>
        <v>1.85</v>
      </c>
      <c r="O2241" s="17">
        <f t="shared" si="183"/>
        <v>1480</v>
      </c>
      <c r="P2241" s="18">
        <f t="shared" si="184"/>
        <v>123860.016</v>
      </c>
    </row>
    <row r="2242" spans="2:16" ht="12.75">
      <c r="B2242" s="10">
        <v>46171</v>
      </c>
      <c r="C2242" s="11">
        <f>VLOOKUP(B:B,'Курс валют'!A:D,4,0)</f>
        <v>83.6892</v>
      </c>
      <c r="D2242" s="57" t="s">
        <v>777</v>
      </c>
      <c r="E2242" s="50" t="s">
        <v>103</v>
      </c>
      <c r="F2242" s="58">
        <v>800</v>
      </c>
      <c r="G2242" s="13">
        <v>805</v>
      </c>
      <c r="H2242" s="56">
        <v>0</v>
      </c>
      <c r="I2242" s="13">
        <f t="shared" si="178"/>
        <v>5</v>
      </c>
      <c r="J2242" s="14">
        <f t="shared" si="180"/>
        <v>0.625</v>
      </c>
      <c r="K2242" s="56">
        <v>1.85</v>
      </c>
      <c r="L2242" s="15">
        <f t="shared" si="181"/>
        <v>0</v>
      </c>
      <c r="M2242" s="16">
        <f t="shared" si="182"/>
        <v>154.82501999999999</v>
      </c>
      <c r="N2242" s="17">
        <f t="shared" si="185"/>
        <v>1.85</v>
      </c>
      <c r="O2242" s="17">
        <f t="shared" si="183"/>
        <v>1480</v>
      </c>
      <c r="P2242" s="18">
        <f t="shared" si="184"/>
        <v>123860.016</v>
      </c>
    </row>
    <row r="2243" spans="2:16" ht="12.75">
      <c r="B2243" s="10">
        <v>46171</v>
      </c>
      <c r="C2243" s="11">
        <f>VLOOKUP(B:B,'Курс валют'!A:D,4,0)</f>
        <v>83.6892</v>
      </c>
      <c r="D2243" s="57" t="s">
        <v>778</v>
      </c>
      <c r="E2243" s="50" t="s">
        <v>103</v>
      </c>
      <c r="F2243" s="58">
        <v>800</v>
      </c>
      <c r="G2243" s="13">
        <v>805</v>
      </c>
      <c r="H2243" s="56">
        <v>0</v>
      </c>
      <c r="I2243" s="13">
        <f t="shared" si="178"/>
        <v>5</v>
      </c>
      <c r="J2243" s="14">
        <f t="shared" si="180"/>
        <v>0.625</v>
      </c>
      <c r="K2243" s="56">
        <v>1.85</v>
      </c>
      <c r="L2243" s="15">
        <f t="shared" si="181"/>
        <v>0</v>
      </c>
      <c r="M2243" s="16">
        <f t="shared" si="182"/>
        <v>154.82501999999999</v>
      </c>
      <c r="N2243" s="17">
        <f t="shared" si="185"/>
        <v>1.85</v>
      </c>
      <c r="O2243" s="17">
        <f t="shared" si="183"/>
        <v>1480</v>
      </c>
      <c r="P2243" s="18">
        <f t="shared" si="184"/>
        <v>123860.016</v>
      </c>
    </row>
    <row r="2244" spans="2:16" ht="12.75">
      <c r="B2244" s="10">
        <v>46171</v>
      </c>
      <c r="C2244" s="11">
        <f>VLOOKUP(B:B,'Курс валют'!A:D,4,0)</f>
        <v>83.6892</v>
      </c>
      <c r="D2244" s="57" t="s">
        <v>779</v>
      </c>
      <c r="E2244" s="50" t="s">
        <v>103</v>
      </c>
      <c r="F2244" s="58">
        <v>800</v>
      </c>
      <c r="G2244" s="13">
        <v>805</v>
      </c>
      <c r="H2244" s="56">
        <v>0</v>
      </c>
      <c r="I2244" s="13">
        <f t="shared" si="178"/>
        <v>5</v>
      </c>
      <c r="J2244" s="14">
        <f t="shared" si="180"/>
        <v>0.625</v>
      </c>
      <c r="K2244" s="56">
        <v>1.85</v>
      </c>
      <c r="L2244" s="15">
        <f t="shared" si="181"/>
        <v>0</v>
      </c>
      <c r="M2244" s="16">
        <f t="shared" si="182"/>
        <v>154.82501999999999</v>
      </c>
      <c r="N2244" s="17">
        <f t="shared" si="185"/>
        <v>1.85</v>
      </c>
      <c r="O2244" s="17">
        <f t="shared" si="183"/>
        <v>1480</v>
      </c>
      <c r="P2244" s="18">
        <f t="shared" si="184"/>
        <v>123860.016</v>
      </c>
    </row>
    <row r="2245" spans="2:16" ht="12.75">
      <c r="B2245" s="10">
        <v>46171</v>
      </c>
      <c r="C2245" s="11">
        <f>VLOOKUP(B:B,'Курс валют'!A:D,4,0)</f>
        <v>83.6892</v>
      </c>
      <c r="D2245" s="57" t="s">
        <v>780</v>
      </c>
      <c r="E2245" s="50" t="s">
        <v>103</v>
      </c>
      <c r="F2245" s="58">
        <v>800</v>
      </c>
      <c r="G2245" s="13">
        <v>805</v>
      </c>
      <c r="H2245" s="56">
        <v>0</v>
      </c>
      <c r="I2245" s="13">
        <f t="shared" si="178"/>
        <v>5</v>
      </c>
      <c r="J2245" s="14">
        <f t="shared" si="180"/>
        <v>0.625</v>
      </c>
      <c r="K2245" s="56">
        <v>1.85</v>
      </c>
      <c r="L2245" s="15">
        <f t="shared" si="181"/>
        <v>0</v>
      </c>
      <c r="M2245" s="16">
        <f t="shared" si="182"/>
        <v>154.82501999999999</v>
      </c>
      <c r="N2245" s="17">
        <f t="shared" si="185"/>
        <v>1.85</v>
      </c>
      <c r="O2245" s="17">
        <f t="shared" si="183"/>
        <v>1480</v>
      </c>
      <c r="P2245" s="18">
        <f t="shared" si="184"/>
        <v>123860.016</v>
      </c>
    </row>
    <row r="2246" spans="2:16" ht="12.75">
      <c r="B2246" s="10">
        <v>46171</v>
      </c>
      <c r="C2246" s="11">
        <f>VLOOKUP(B:B,'Курс валют'!A:D,4,0)</f>
        <v>83.6892</v>
      </c>
      <c r="D2246" s="57" t="s">
        <v>781</v>
      </c>
      <c r="E2246" s="50" t="s">
        <v>103</v>
      </c>
      <c r="F2246" s="58">
        <v>800</v>
      </c>
      <c r="G2246" s="13">
        <v>805</v>
      </c>
      <c r="H2246" s="56">
        <v>0</v>
      </c>
      <c r="I2246" s="13">
        <f t="shared" si="178"/>
        <v>5</v>
      </c>
      <c r="J2246" s="14">
        <f t="shared" si="180"/>
        <v>0.625</v>
      </c>
      <c r="K2246" s="56">
        <v>1.85</v>
      </c>
      <c r="L2246" s="15">
        <f t="shared" si="181"/>
        <v>0</v>
      </c>
      <c r="M2246" s="16">
        <f t="shared" si="182"/>
        <v>154.82501999999999</v>
      </c>
      <c r="N2246" s="17">
        <f t="shared" si="185"/>
        <v>1.85</v>
      </c>
      <c r="O2246" s="17">
        <f t="shared" si="183"/>
        <v>1480</v>
      </c>
      <c r="P2246" s="18">
        <f t="shared" si="184"/>
        <v>123860.016</v>
      </c>
    </row>
    <row r="2247" spans="2:16" ht="12.75">
      <c r="B2247" s="10">
        <v>46171</v>
      </c>
      <c r="C2247" s="11">
        <f>VLOOKUP(B:B,'Курс валют'!A:D,4,0)</f>
        <v>83.6892</v>
      </c>
      <c r="D2247" s="57" t="s">
        <v>782</v>
      </c>
      <c r="E2247" s="50" t="s">
        <v>103</v>
      </c>
      <c r="F2247" s="58">
        <v>800</v>
      </c>
      <c r="G2247" s="13">
        <v>805</v>
      </c>
      <c r="H2247" s="56">
        <v>0</v>
      </c>
      <c r="I2247" s="13">
        <f t="shared" si="178"/>
        <v>5</v>
      </c>
      <c r="J2247" s="14">
        <f t="shared" si="180"/>
        <v>0.625</v>
      </c>
      <c r="K2247" s="56">
        <v>1.85</v>
      </c>
      <c r="L2247" s="15">
        <f t="shared" si="181"/>
        <v>0</v>
      </c>
      <c r="M2247" s="16">
        <f t="shared" si="182"/>
        <v>154.82501999999999</v>
      </c>
      <c r="N2247" s="17">
        <f t="shared" si="185"/>
        <v>1.85</v>
      </c>
      <c r="O2247" s="17">
        <f t="shared" si="183"/>
        <v>1480</v>
      </c>
      <c r="P2247" s="18">
        <f t="shared" si="184"/>
        <v>123860.016</v>
      </c>
    </row>
    <row r="2248" spans="2:16" ht="12.75">
      <c r="B2248" s="10">
        <v>46171</v>
      </c>
      <c r="C2248" s="11">
        <f>VLOOKUP(B:B,'Курс валют'!A:D,4,0)</f>
        <v>83.6892</v>
      </c>
      <c r="D2248" s="57" t="s">
        <v>783</v>
      </c>
      <c r="E2248" s="50" t="s">
        <v>103</v>
      </c>
      <c r="F2248" s="58">
        <v>800</v>
      </c>
      <c r="G2248" s="13">
        <v>805</v>
      </c>
      <c r="H2248" s="56">
        <v>0</v>
      </c>
      <c r="I2248" s="13">
        <f t="shared" si="178"/>
        <v>5</v>
      </c>
      <c r="J2248" s="14">
        <f t="shared" si="180"/>
        <v>0.625</v>
      </c>
      <c r="K2248" s="56">
        <v>1.85</v>
      </c>
      <c r="L2248" s="15">
        <f t="shared" si="181"/>
        <v>0</v>
      </c>
      <c r="M2248" s="16">
        <f t="shared" si="182"/>
        <v>154.82501999999999</v>
      </c>
      <c r="N2248" s="17">
        <f t="shared" si="185"/>
        <v>1.85</v>
      </c>
      <c r="O2248" s="17">
        <f t="shared" si="183"/>
        <v>1480</v>
      </c>
      <c r="P2248" s="18">
        <f t="shared" si="184"/>
        <v>123860.016</v>
      </c>
    </row>
    <row r="2249" spans="2:16" ht="12.75">
      <c r="B2249" s="10">
        <v>46172</v>
      </c>
      <c r="C2249" s="11">
        <f>VLOOKUP(B:B,'Курс валют'!A:D,4,0)</f>
        <v>82.636899999999997</v>
      </c>
      <c r="D2249" s="57" t="s">
        <v>784</v>
      </c>
      <c r="E2249" s="50" t="s">
        <v>51</v>
      </c>
      <c r="F2249" s="58">
        <v>800</v>
      </c>
      <c r="G2249" s="13">
        <v>805.14</v>
      </c>
      <c r="H2249" s="56">
        <v>0</v>
      </c>
      <c r="I2249" s="13">
        <f t="shared" si="178"/>
        <v>5.1399999999999864</v>
      </c>
      <c r="J2249" s="14">
        <f t="shared" si="180"/>
        <v>0.64249999999999829</v>
      </c>
      <c r="K2249" s="56">
        <v>1.94</v>
      </c>
      <c r="L2249" s="15">
        <f t="shared" si="181"/>
        <v>0</v>
      </c>
      <c r="M2249" s="16">
        <f t="shared" si="182"/>
        <v>160.315586</v>
      </c>
      <c r="N2249" s="17">
        <f t="shared" si="185"/>
        <v>1.94</v>
      </c>
      <c r="O2249" s="17">
        <f t="shared" si="183"/>
        <v>1552</v>
      </c>
      <c r="P2249" s="18">
        <f t="shared" si="184"/>
        <v>128252.4688</v>
      </c>
    </row>
    <row r="2250" spans="2:16" ht="12.75">
      <c r="B2250" s="10">
        <v>46172</v>
      </c>
      <c r="C2250" s="11">
        <f>VLOOKUP(B:B,'Курс валют'!A:D,4,0)</f>
        <v>82.636899999999997</v>
      </c>
      <c r="D2250" s="57" t="s">
        <v>785</v>
      </c>
      <c r="E2250" s="50" t="s">
        <v>51</v>
      </c>
      <c r="F2250" s="58">
        <v>800</v>
      </c>
      <c r="G2250" s="13">
        <v>805.14</v>
      </c>
      <c r="H2250" s="56">
        <v>0</v>
      </c>
      <c r="I2250" s="13">
        <f t="shared" si="178"/>
        <v>5.1399999999999864</v>
      </c>
      <c r="J2250" s="14">
        <f t="shared" si="180"/>
        <v>0.64249999999999829</v>
      </c>
      <c r="K2250" s="56">
        <v>1.94</v>
      </c>
      <c r="L2250" s="15">
        <f t="shared" si="181"/>
        <v>0</v>
      </c>
      <c r="M2250" s="16">
        <f t="shared" si="182"/>
        <v>160.315586</v>
      </c>
      <c r="N2250" s="17">
        <f>(F2250*K2250-H2250*29.4)/F2250</f>
        <v>1.94</v>
      </c>
      <c r="O2250" s="17">
        <f t="shared" si="183"/>
        <v>1552</v>
      </c>
      <c r="P2250" s="18">
        <f t="shared" si="184"/>
        <v>128252.4688</v>
      </c>
    </row>
    <row r="2251" spans="2:16" ht="12.75">
      <c r="B2251" s="10">
        <v>46172</v>
      </c>
      <c r="C2251" s="11">
        <f>VLOOKUP(B:B,'Курс валют'!A:D,4,0)</f>
        <v>82.636899999999997</v>
      </c>
      <c r="D2251" s="57" t="s">
        <v>786</v>
      </c>
      <c r="E2251" s="50" t="s">
        <v>51</v>
      </c>
      <c r="F2251" s="58">
        <v>800</v>
      </c>
      <c r="G2251" s="13">
        <v>805.14</v>
      </c>
      <c r="H2251" s="56">
        <v>0</v>
      </c>
      <c r="I2251" s="13">
        <f t="shared" si="178"/>
        <v>5.1399999999999864</v>
      </c>
      <c r="J2251" s="14">
        <f t="shared" si="180"/>
        <v>0.64249999999999829</v>
      </c>
      <c r="K2251" s="56">
        <v>1.94</v>
      </c>
      <c r="L2251" s="15">
        <f t="shared" si="181"/>
        <v>0</v>
      </c>
      <c r="M2251" s="16">
        <f t="shared" si="182"/>
        <v>160.315586</v>
      </c>
      <c r="N2251" s="17">
        <f t="shared" ref="N2251:N2268" si="186">(F2251*K2251-H2251*3.04)/F2251</f>
        <v>1.94</v>
      </c>
      <c r="O2251" s="17">
        <f t="shared" si="183"/>
        <v>1552</v>
      </c>
      <c r="P2251" s="18">
        <f t="shared" si="184"/>
        <v>128252.4688</v>
      </c>
    </row>
    <row r="2252" spans="2:16" ht="12.75">
      <c r="B2252" s="10">
        <v>46172</v>
      </c>
      <c r="C2252" s="11">
        <f>VLOOKUP(B:B,'Курс валют'!A:D,4,0)</f>
        <v>82.636899999999997</v>
      </c>
      <c r="D2252" s="57" t="s">
        <v>787</v>
      </c>
      <c r="E2252" s="50" t="s">
        <v>51</v>
      </c>
      <c r="F2252" s="58">
        <v>800</v>
      </c>
      <c r="G2252" s="13">
        <v>805.14</v>
      </c>
      <c r="H2252" s="56">
        <v>0</v>
      </c>
      <c r="I2252" s="13">
        <f t="shared" si="178"/>
        <v>5.1399999999999864</v>
      </c>
      <c r="J2252" s="14">
        <f t="shared" si="180"/>
        <v>0.64249999999999829</v>
      </c>
      <c r="K2252" s="56">
        <v>1.94</v>
      </c>
      <c r="L2252" s="15">
        <f t="shared" si="181"/>
        <v>0</v>
      </c>
      <c r="M2252" s="16">
        <f t="shared" si="182"/>
        <v>160.315586</v>
      </c>
      <c r="N2252" s="17">
        <f t="shared" si="186"/>
        <v>1.94</v>
      </c>
      <c r="O2252" s="17">
        <f t="shared" si="183"/>
        <v>1552</v>
      </c>
      <c r="P2252" s="18">
        <f t="shared" si="184"/>
        <v>128252.4688</v>
      </c>
    </row>
    <row r="2253" spans="2:16" ht="12.75">
      <c r="B2253" s="10">
        <v>46172</v>
      </c>
      <c r="C2253" s="11">
        <f>VLOOKUP(B:B,'Курс валют'!A:D,4,0)</f>
        <v>82.636899999999997</v>
      </c>
      <c r="D2253" s="57" t="s">
        <v>788</v>
      </c>
      <c r="E2253" s="50" t="s">
        <v>51</v>
      </c>
      <c r="F2253" s="58">
        <v>800</v>
      </c>
      <c r="G2253" s="13">
        <v>805.14</v>
      </c>
      <c r="H2253" s="56">
        <v>0</v>
      </c>
      <c r="I2253" s="13">
        <f t="shared" si="178"/>
        <v>5.1399999999999864</v>
      </c>
      <c r="J2253" s="14">
        <f t="shared" si="180"/>
        <v>0.64249999999999829</v>
      </c>
      <c r="K2253" s="56">
        <v>1.94</v>
      </c>
      <c r="L2253" s="15">
        <f t="shared" si="181"/>
        <v>0</v>
      </c>
      <c r="M2253" s="16">
        <f t="shared" si="182"/>
        <v>160.315586</v>
      </c>
      <c r="N2253" s="17">
        <f t="shared" si="186"/>
        <v>1.94</v>
      </c>
      <c r="O2253" s="17">
        <f t="shared" si="183"/>
        <v>1552</v>
      </c>
      <c r="P2253" s="18">
        <f t="shared" si="184"/>
        <v>128252.4688</v>
      </c>
    </row>
    <row r="2254" spans="2:16" ht="12.75">
      <c r="B2254" s="10">
        <v>46172</v>
      </c>
      <c r="C2254" s="11">
        <f>VLOOKUP(B:B,'Курс валют'!A:D,4,0)</f>
        <v>82.636899999999997</v>
      </c>
      <c r="D2254" s="57" t="s">
        <v>789</v>
      </c>
      <c r="E2254" s="50" t="s">
        <v>51</v>
      </c>
      <c r="F2254" s="58">
        <v>800</v>
      </c>
      <c r="G2254" s="13">
        <v>805.14</v>
      </c>
      <c r="H2254" s="56">
        <v>0</v>
      </c>
      <c r="I2254" s="13">
        <f t="shared" si="178"/>
        <v>5.1399999999999864</v>
      </c>
      <c r="J2254" s="14">
        <f t="shared" si="180"/>
        <v>0.64249999999999829</v>
      </c>
      <c r="K2254" s="56">
        <v>1.94</v>
      </c>
      <c r="L2254" s="15">
        <f t="shared" si="181"/>
        <v>0</v>
      </c>
      <c r="M2254" s="16">
        <f t="shared" si="182"/>
        <v>160.315586</v>
      </c>
      <c r="N2254" s="17">
        <f t="shared" si="186"/>
        <v>1.94</v>
      </c>
      <c r="O2254" s="17">
        <f t="shared" si="183"/>
        <v>1552</v>
      </c>
      <c r="P2254" s="18">
        <f t="shared" si="184"/>
        <v>128252.4688</v>
      </c>
    </row>
    <row r="2255" spans="2:16" ht="12.75">
      <c r="B2255" s="10">
        <v>46172</v>
      </c>
      <c r="C2255" s="11">
        <f>VLOOKUP(B:B,'Курс валют'!A:D,4,0)</f>
        <v>82.636899999999997</v>
      </c>
      <c r="D2255" s="57" t="s">
        <v>790</v>
      </c>
      <c r="E2255" s="50" t="s">
        <v>51</v>
      </c>
      <c r="F2255" s="58">
        <v>800</v>
      </c>
      <c r="G2255" s="13">
        <v>805.14</v>
      </c>
      <c r="H2255" s="56">
        <v>0</v>
      </c>
      <c r="I2255" s="13">
        <f t="shared" si="178"/>
        <v>5.1399999999999864</v>
      </c>
      <c r="J2255" s="14">
        <f t="shared" si="180"/>
        <v>0.64249999999999829</v>
      </c>
      <c r="K2255" s="56">
        <v>1.94</v>
      </c>
      <c r="L2255" s="15">
        <f t="shared" si="181"/>
        <v>0</v>
      </c>
      <c r="M2255" s="16">
        <f t="shared" si="182"/>
        <v>160.315586</v>
      </c>
      <c r="N2255" s="17">
        <f t="shared" si="186"/>
        <v>1.94</v>
      </c>
      <c r="O2255" s="17">
        <f t="shared" si="183"/>
        <v>1552</v>
      </c>
      <c r="P2255" s="18">
        <f t="shared" si="184"/>
        <v>128252.4688</v>
      </c>
    </row>
    <row r="2256" spans="2:16" ht="12.75">
      <c r="B2256" s="10">
        <v>46172</v>
      </c>
      <c r="C2256" s="11">
        <f>VLOOKUP(B:B,'Курс валют'!A:D,4,0)</f>
        <v>82.636899999999997</v>
      </c>
      <c r="D2256" s="57" t="s">
        <v>791</v>
      </c>
      <c r="E2256" s="50" t="s">
        <v>51</v>
      </c>
      <c r="F2256" s="58">
        <v>800</v>
      </c>
      <c r="G2256" s="13">
        <v>805.14</v>
      </c>
      <c r="H2256" s="56">
        <v>0</v>
      </c>
      <c r="I2256" s="13">
        <f t="shared" si="178"/>
        <v>5.1399999999999864</v>
      </c>
      <c r="J2256" s="14">
        <f t="shared" si="180"/>
        <v>0.64249999999999829</v>
      </c>
      <c r="K2256" s="56">
        <v>1.94</v>
      </c>
      <c r="L2256" s="15">
        <f t="shared" si="181"/>
        <v>0</v>
      </c>
      <c r="M2256" s="16">
        <f t="shared" si="182"/>
        <v>160.315586</v>
      </c>
      <c r="N2256" s="17">
        <f t="shared" si="186"/>
        <v>1.94</v>
      </c>
      <c r="O2256" s="17">
        <f t="shared" si="183"/>
        <v>1552</v>
      </c>
      <c r="P2256" s="18">
        <f t="shared" si="184"/>
        <v>128252.4688</v>
      </c>
    </row>
    <row r="2257" spans="1:27" ht="12.75">
      <c r="B2257" s="10">
        <v>46172</v>
      </c>
      <c r="C2257" s="11">
        <f>VLOOKUP(B:B,'Курс валют'!A:D,4,0)</f>
        <v>82.636899999999997</v>
      </c>
      <c r="D2257" s="57" t="s">
        <v>792</v>
      </c>
      <c r="E2257" s="50" t="s">
        <v>51</v>
      </c>
      <c r="F2257" s="58">
        <v>800</v>
      </c>
      <c r="G2257" s="13">
        <v>805.14</v>
      </c>
      <c r="H2257" s="56">
        <v>0</v>
      </c>
      <c r="I2257" s="13">
        <f t="shared" si="178"/>
        <v>5.1399999999999864</v>
      </c>
      <c r="J2257" s="14">
        <f t="shared" si="180"/>
        <v>0.64249999999999829</v>
      </c>
      <c r="K2257" s="56">
        <v>1.94</v>
      </c>
      <c r="L2257" s="15">
        <f t="shared" si="181"/>
        <v>0</v>
      </c>
      <c r="M2257" s="16">
        <f t="shared" si="182"/>
        <v>160.315586</v>
      </c>
      <c r="N2257" s="17">
        <f t="shared" si="186"/>
        <v>1.94</v>
      </c>
      <c r="O2257" s="17">
        <f t="shared" si="183"/>
        <v>1552</v>
      </c>
      <c r="P2257" s="18">
        <f t="shared" si="184"/>
        <v>128252.4688</v>
      </c>
    </row>
    <row r="2258" spans="1:27" ht="12.75">
      <c r="B2258" s="10">
        <v>46172</v>
      </c>
      <c r="C2258" s="11">
        <f>VLOOKUP(B:B,'Курс валют'!A:D,4,0)</f>
        <v>82.636899999999997</v>
      </c>
      <c r="D2258" s="57" t="s">
        <v>793</v>
      </c>
      <c r="E2258" s="50" t="s">
        <v>51</v>
      </c>
      <c r="F2258" s="58">
        <v>800</v>
      </c>
      <c r="G2258" s="13">
        <v>805.14</v>
      </c>
      <c r="H2258" s="56">
        <v>0</v>
      </c>
      <c r="I2258" s="13">
        <f t="shared" si="178"/>
        <v>5.1399999999999864</v>
      </c>
      <c r="J2258" s="14">
        <f t="shared" si="180"/>
        <v>0.64249999999999829</v>
      </c>
      <c r="K2258" s="56">
        <v>1.94</v>
      </c>
      <c r="L2258" s="15">
        <f t="shared" si="181"/>
        <v>0</v>
      </c>
      <c r="M2258" s="16">
        <f t="shared" si="182"/>
        <v>160.315586</v>
      </c>
      <c r="N2258" s="17">
        <f t="shared" si="186"/>
        <v>1.94</v>
      </c>
      <c r="O2258" s="17">
        <f t="shared" si="183"/>
        <v>1552</v>
      </c>
      <c r="P2258" s="18">
        <f t="shared" si="184"/>
        <v>128252.4688</v>
      </c>
    </row>
    <row r="2259" spans="1:27" ht="12.75">
      <c r="B2259" s="10">
        <v>46173</v>
      </c>
      <c r="C2259" s="11">
        <f>VLOOKUP(B:B,'Курс валют'!A:D,4,0)</f>
        <v>82.636899999999997</v>
      </c>
      <c r="D2259" s="57" t="s">
        <v>794</v>
      </c>
      <c r="E2259" s="50" t="s">
        <v>117</v>
      </c>
      <c r="F2259" s="58">
        <v>20</v>
      </c>
      <c r="G2259" s="13">
        <v>21</v>
      </c>
      <c r="H2259" s="56">
        <v>0</v>
      </c>
      <c r="I2259" s="13">
        <f t="shared" ref="I2259:I2291" si="187">G2259-F2259</f>
        <v>1</v>
      </c>
      <c r="J2259" s="14">
        <f t="shared" si="180"/>
        <v>5</v>
      </c>
      <c r="K2259" s="56">
        <v>3.93</v>
      </c>
      <c r="L2259" s="15">
        <f t="shared" si="181"/>
        <v>0</v>
      </c>
      <c r="M2259" s="16">
        <f t="shared" si="182"/>
        <v>324.76301700000005</v>
      </c>
      <c r="N2259" s="17">
        <f t="shared" si="186"/>
        <v>3.9300000000000006</v>
      </c>
      <c r="O2259" s="17">
        <f t="shared" si="183"/>
        <v>78.600000000000009</v>
      </c>
      <c r="P2259" s="18">
        <f t="shared" si="184"/>
        <v>6495.2603400000007</v>
      </c>
    </row>
    <row r="2260" spans="1:27" ht="12.75">
      <c r="B2260" s="10">
        <v>46173</v>
      </c>
      <c r="C2260" s="11">
        <f>VLOOKUP(B:B,'Курс валют'!A:D,4,0)</f>
        <v>82.636899999999997</v>
      </c>
      <c r="D2260" s="57" t="s">
        <v>795</v>
      </c>
      <c r="E2260" s="50" t="s">
        <v>796</v>
      </c>
      <c r="F2260" s="58">
        <v>13</v>
      </c>
      <c r="G2260" s="13">
        <v>14.44</v>
      </c>
      <c r="H2260" s="56">
        <v>0</v>
      </c>
      <c r="I2260" s="13">
        <f t="shared" si="187"/>
        <v>1.4399999999999995</v>
      </c>
      <c r="J2260" s="14">
        <f t="shared" si="180"/>
        <v>11.076923076923073</v>
      </c>
      <c r="K2260" s="56">
        <v>3.56</v>
      </c>
      <c r="L2260" s="15">
        <f t="shared" si="181"/>
        <v>0</v>
      </c>
      <c r="M2260" s="16">
        <f t="shared" si="182"/>
        <v>294.187364</v>
      </c>
      <c r="N2260" s="17">
        <f t="shared" si="186"/>
        <v>3.56</v>
      </c>
      <c r="O2260" s="17">
        <f t="shared" si="183"/>
        <v>46.28</v>
      </c>
      <c r="P2260" s="18">
        <f t="shared" si="184"/>
        <v>3824.4357319999999</v>
      </c>
    </row>
    <row r="2261" spans="1:27" ht="12.75">
      <c r="B2261" s="10">
        <v>46173</v>
      </c>
      <c r="C2261" s="11">
        <f>VLOOKUP(B:B,'Курс валют'!A:D,4,0)</f>
        <v>82.636899999999997</v>
      </c>
      <c r="D2261" s="57" t="s">
        <v>795</v>
      </c>
      <c r="E2261" s="50" t="s">
        <v>796</v>
      </c>
      <c r="F2261" s="58">
        <v>5</v>
      </c>
      <c r="G2261" s="13">
        <v>5.56</v>
      </c>
      <c r="H2261" s="56">
        <v>0</v>
      </c>
      <c r="I2261" s="13">
        <f t="shared" si="187"/>
        <v>0.55999999999999961</v>
      </c>
      <c r="J2261" s="14">
        <f t="shared" si="180"/>
        <v>11.199999999999992</v>
      </c>
      <c r="K2261" s="56">
        <v>3.56</v>
      </c>
      <c r="L2261" s="15">
        <f t="shared" si="181"/>
        <v>0</v>
      </c>
      <c r="M2261" s="16">
        <f t="shared" si="182"/>
        <v>294.187364</v>
      </c>
      <c r="N2261" s="17">
        <f t="shared" si="186"/>
        <v>3.56</v>
      </c>
      <c r="O2261" s="17">
        <f t="shared" si="183"/>
        <v>17.8</v>
      </c>
      <c r="P2261" s="18">
        <f t="shared" si="184"/>
        <v>1470.9368199999999</v>
      </c>
    </row>
    <row r="2262" spans="1:27" ht="12.75">
      <c r="B2262" s="10">
        <v>46173</v>
      </c>
      <c r="C2262" s="11">
        <f>VLOOKUP(B:B,'Курс валют'!A:D,4,0)</f>
        <v>82.636899999999997</v>
      </c>
      <c r="D2262" s="57" t="s">
        <v>797</v>
      </c>
      <c r="E2262" s="50" t="s">
        <v>117</v>
      </c>
      <c r="F2262" s="58">
        <v>20</v>
      </c>
      <c r="G2262" s="13">
        <v>21</v>
      </c>
      <c r="H2262" s="56">
        <v>0</v>
      </c>
      <c r="I2262" s="13">
        <f t="shared" si="187"/>
        <v>1</v>
      </c>
      <c r="J2262" s="14">
        <f t="shared" si="180"/>
        <v>5</v>
      </c>
      <c r="K2262" s="56">
        <v>3.93</v>
      </c>
      <c r="L2262" s="15">
        <f t="shared" si="181"/>
        <v>0</v>
      </c>
      <c r="M2262" s="16">
        <f t="shared" si="182"/>
        <v>324.76301700000005</v>
      </c>
      <c r="N2262" s="17">
        <f t="shared" si="186"/>
        <v>3.9300000000000006</v>
      </c>
      <c r="O2262" s="17">
        <f t="shared" si="183"/>
        <v>78.600000000000009</v>
      </c>
      <c r="P2262" s="18">
        <f t="shared" si="184"/>
        <v>6495.2603400000007</v>
      </c>
    </row>
    <row r="2263" spans="1:27" ht="12.75">
      <c r="B2263" s="10">
        <v>46173</v>
      </c>
      <c r="C2263" s="11">
        <f>VLOOKUP(B:B,'Курс валют'!A:D,4,0)</f>
        <v>82.636899999999997</v>
      </c>
      <c r="D2263" s="57" t="s">
        <v>798</v>
      </c>
      <c r="E2263" s="50" t="s">
        <v>117</v>
      </c>
      <c r="F2263" s="58">
        <v>20</v>
      </c>
      <c r="G2263" s="13">
        <v>21</v>
      </c>
      <c r="H2263" s="56">
        <v>0</v>
      </c>
      <c r="I2263" s="13">
        <f t="shared" si="187"/>
        <v>1</v>
      </c>
      <c r="J2263" s="14">
        <f t="shared" si="180"/>
        <v>5</v>
      </c>
      <c r="K2263" s="56">
        <v>3.93</v>
      </c>
      <c r="L2263" s="15">
        <f t="shared" si="181"/>
        <v>0</v>
      </c>
      <c r="M2263" s="16">
        <f t="shared" si="182"/>
        <v>324.76301700000005</v>
      </c>
      <c r="N2263" s="17">
        <f t="shared" si="186"/>
        <v>3.9300000000000006</v>
      </c>
      <c r="O2263" s="17">
        <f t="shared" si="183"/>
        <v>78.600000000000009</v>
      </c>
      <c r="P2263" s="18">
        <f t="shared" si="184"/>
        <v>6495.2603400000007</v>
      </c>
    </row>
    <row r="2264" spans="1:27" ht="12.75">
      <c r="B2264" s="10">
        <v>46173</v>
      </c>
      <c r="C2264" s="11">
        <f>VLOOKUP(B:B,'Курс валют'!A:D,4,0)</f>
        <v>82.636899999999997</v>
      </c>
      <c r="D2264" s="57" t="s">
        <v>799</v>
      </c>
      <c r="E2264" s="50" t="s">
        <v>117</v>
      </c>
      <c r="F2264" s="58">
        <v>20</v>
      </c>
      <c r="G2264" s="13">
        <v>21</v>
      </c>
      <c r="H2264" s="56">
        <v>0</v>
      </c>
      <c r="I2264" s="13">
        <f t="shared" si="187"/>
        <v>1</v>
      </c>
      <c r="J2264" s="14">
        <f t="shared" si="180"/>
        <v>5</v>
      </c>
      <c r="K2264" s="56">
        <v>3.93</v>
      </c>
      <c r="L2264" s="15">
        <f t="shared" si="181"/>
        <v>0</v>
      </c>
      <c r="M2264" s="16">
        <f t="shared" si="182"/>
        <v>324.76301700000005</v>
      </c>
      <c r="N2264" s="17">
        <f t="shared" si="186"/>
        <v>3.9300000000000006</v>
      </c>
      <c r="O2264" s="17">
        <f t="shared" si="183"/>
        <v>78.600000000000009</v>
      </c>
      <c r="P2264" s="18">
        <f t="shared" si="184"/>
        <v>6495.2603400000007</v>
      </c>
    </row>
    <row r="2265" spans="1:27" ht="12.75">
      <c r="B2265" s="10">
        <v>46173</v>
      </c>
      <c r="C2265" s="11">
        <f>VLOOKUP(B:B,'Курс валют'!A:D,4,0)</f>
        <v>82.636899999999997</v>
      </c>
      <c r="D2265" s="57" t="s">
        <v>800</v>
      </c>
      <c r="E2265" s="50" t="s">
        <v>51</v>
      </c>
      <c r="F2265" s="58">
        <v>800</v>
      </c>
      <c r="G2265" s="13">
        <v>805.14</v>
      </c>
      <c r="H2265" s="56">
        <v>0</v>
      </c>
      <c r="I2265" s="13">
        <f t="shared" si="187"/>
        <v>5.1399999999999864</v>
      </c>
      <c r="J2265" s="14">
        <f t="shared" si="180"/>
        <v>0.64249999999999829</v>
      </c>
      <c r="K2265" s="56">
        <v>1.94</v>
      </c>
      <c r="L2265" s="15">
        <f t="shared" si="181"/>
        <v>0</v>
      </c>
      <c r="M2265" s="16">
        <f t="shared" si="182"/>
        <v>160.315586</v>
      </c>
      <c r="N2265" s="17">
        <f t="shared" si="186"/>
        <v>1.94</v>
      </c>
      <c r="O2265" s="17">
        <f t="shared" si="183"/>
        <v>1552</v>
      </c>
      <c r="P2265" s="18">
        <f t="shared" si="184"/>
        <v>128252.4688</v>
      </c>
    </row>
    <row r="2266" spans="1:27" ht="12.75">
      <c r="B2266" s="10">
        <v>46173</v>
      </c>
      <c r="C2266" s="11">
        <f>VLOOKUP(B:B,'Курс валют'!A:D,4,0)</f>
        <v>82.636899999999997</v>
      </c>
      <c r="D2266" s="57" t="s">
        <v>801</v>
      </c>
      <c r="E2266" s="50" t="s">
        <v>51</v>
      </c>
      <c r="F2266" s="58">
        <v>800</v>
      </c>
      <c r="G2266" s="13">
        <v>805.14</v>
      </c>
      <c r="H2266" s="56">
        <v>0</v>
      </c>
      <c r="I2266" s="13">
        <f t="shared" si="187"/>
        <v>5.1399999999999864</v>
      </c>
      <c r="J2266" s="14">
        <f t="shared" si="180"/>
        <v>0.64249999999999829</v>
      </c>
      <c r="K2266" s="56">
        <v>1.94</v>
      </c>
      <c r="L2266" s="15">
        <f t="shared" si="181"/>
        <v>0</v>
      </c>
      <c r="M2266" s="16">
        <f t="shared" si="182"/>
        <v>160.315586</v>
      </c>
      <c r="N2266" s="17">
        <f t="shared" si="186"/>
        <v>1.94</v>
      </c>
      <c r="O2266" s="17">
        <f t="shared" si="183"/>
        <v>1552</v>
      </c>
      <c r="P2266" s="18">
        <f t="shared" si="184"/>
        <v>128252.4688</v>
      </c>
    </row>
    <row r="2267" spans="1:27" ht="12.75">
      <c r="B2267" s="10">
        <v>46173</v>
      </c>
      <c r="C2267" s="11">
        <f>VLOOKUP(B:B,'Курс валют'!A:D,4,0)</f>
        <v>82.636899999999997</v>
      </c>
      <c r="D2267" s="57" t="s">
        <v>802</v>
      </c>
      <c r="E2267" s="50" t="s">
        <v>51</v>
      </c>
      <c r="F2267" s="58">
        <v>800</v>
      </c>
      <c r="G2267" s="13">
        <v>805.14</v>
      </c>
      <c r="H2267" s="56">
        <v>0</v>
      </c>
      <c r="I2267" s="13">
        <f t="shared" si="187"/>
        <v>5.1399999999999864</v>
      </c>
      <c r="J2267" s="14">
        <f t="shared" si="180"/>
        <v>0.64249999999999829</v>
      </c>
      <c r="K2267" s="56">
        <v>1.94</v>
      </c>
      <c r="L2267" s="15">
        <f t="shared" si="181"/>
        <v>0</v>
      </c>
      <c r="M2267" s="16">
        <f t="shared" si="182"/>
        <v>160.315586</v>
      </c>
      <c r="N2267" s="17">
        <f t="shared" si="186"/>
        <v>1.94</v>
      </c>
      <c r="O2267" s="17">
        <f t="shared" si="183"/>
        <v>1552</v>
      </c>
      <c r="P2267" s="18">
        <f t="shared" si="184"/>
        <v>128252.4688</v>
      </c>
    </row>
    <row r="2268" spans="1:27" ht="12.75">
      <c r="B2268" s="10">
        <v>46173</v>
      </c>
      <c r="C2268" s="11">
        <f>VLOOKUP(B:B,'Курс валют'!A:D,4,0)</f>
        <v>82.636899999999997</v>
      </c>
      <c r="D2268" s="57" t="s">
        <v>803</v>
      </c>
      <c r="E2268" s="50" t="s">
        <v>51</v>
      </c>
      <c r="F2268" s="58">
        <v>800</v>
      </c>
      <c r="G2268" s="13">
        <v>805.14</v>
      </c>
      <c r="H2268" s="56">
        <v>0</v>
      </c>
      <c r="I2268" s="13">
        <f t="shared" si="187"/>
        <v>5.1399999999999864</v>
      </c>
      <c r="J2268" s="14">
        <f t="shared" si="180"/>
        <v>0.64249999999999829</v>
      </c>
      <c r="K2268" s="56">
        <v>1.94</v>
      </c>
      <c r="L2268" s="15">
        <f t="shared" si="181"/>
        <v>0</v>
      </c>
      <c r="M2268" s="16">
        <f t="shared" si="182"/>
        <v>160.315586</v>
      </c>
      <c r="N2268" s="17">
        <f t="shared" si="186"/>
        <v>1.94</v>
      </c>
      <c r="O2268" s="17">
        <f t="shared" si="183"/>
        <v>1552</v>
      </c>
      <c r="P2268" s="18">
        <f t="shared" si="184"/>
        <v>128252.4688</v>
      </c>
    </row>
    <row r="2269" spans="1:27" ht="12.75">
      <c r="A2269" s="10"/>
      <c r="B2269" s="10">
        <v>46174</v>
      </c>
      <c r="C2269" s="11">
        <f>VLOOKUP(B:B,'Курс валют'!A:D,4,0)</f>
        <v>82.636899999999997</v>
      </c>
      <c r="D2269" s="45" t="s">
        <v>127</v>
      </c>
      <c r="E2269" s="50" t="s">
        <v>103</v>
      </c>
      <c r="F2269" s="11">
        <v>800</v>
      </c>
      <c r="G2269" s="15">
        <v>805</v>
      </c>
      <c r="H2269" s="56">
        <v>0</v>
      </c>
      <c r="I2269" s="13">
        <f t="shared" si="187"/>
        <v>5</v>
      </c>
      <c r="J2269" s="14">
        <f t="shared" ref="J2269:J2596" si="188">I2269/F2269*100</f>
        <v>0.625</v>
      </c>
      <c r="K2269" s="46">
        <v>1.85</v>
      </c>
      <c r="L2269" s="15">
        <f t="shared" ref="L2269:L2596" si="189">H2269/F2269*100</f>
        <v>0</v>
      </c>
      <c r="M2269" s="16">
        <f t="shared" ref="M2269:M2596" si="190">P2269/F2269</f>
        <v>152.878265</v>
      </c>
      <c r="N2269" s="17">
        <f>(F2269*K2269-H2269*3.04)/F2269</f>
        <v>1.85</v>
      </c>
      <c r="O2269" s="17">
        <f t="shared" ref="O2269:O2596" si="191">N2269*F2269</f>
        <v>1480</v>
      </c>
      <c r="P2269" s="18">
        <f t="shared" ref="P2269:P2596" si="192">O2269*C2269</f>
        <v>122302.61199999999</v>
      </c>
      <c r="R2269" s="66"/>
      <c r="S2269" s="19"/>
      <c r="T2269" s="20"/>
      <c r="U2269" s="20"/>
      <c r="V2269" s="20"/>
      <c r="W2269" s="20"/>
      <c r="X2269" s="20"/>
      <c r="Y2269" s="20"/>
      <c r="Z2269" s="20"/>
      <c r="AA2269" s="20"/>
    </row>
    <row r="2270" spans="1:27" ht="12.75">
      <c r="A2270" s="10"/>
      <c r="B2270" s="10">
        <v>46174</v>
      </c>
      <c r="C2270" s="11">
        <f>VLOOKUP(B:B,'Курс валют'!A:D,4,0)</f>
        <v>82.636899999999997</v>
      </c>
      <c r="D2270" s="45" t="s">
        <v>128</v>
      </c>
      <c r="E2270" s="50" t="s">
        <v>103</v>
      </c>
      <c r="F2270" s="11">
        <v>800</v>
      </c>
      <c r="G2270" s="15">
        <v>805</v>
      </c>
      <c r="H2270" s="56">
        <v>0</v>
      </c>
      <c r="I2270" s="13">
        <f t="shared" si="187"/>
        <v>5</v>
      </c>
      <c r="J2270" s="14">
        <f t="shared" si="188"/>
        <v>0.625</v>
      </c>
      <c r="K2270" s="56">
        <v>1.84</v>
      </c>
      <c r="L2270" s="15">
        <f t="shared" si="189"/>
        <v>0</v>
      </c>
      <c r="M2270" s="16">
        <f t="shared" si="190"/>
        <v>152.051896</v>
      </c>
      <c r="N2270" s="17">
        <f t="shared" ref="N2270:N2279" si="193">(F2270*K2270-H2270*30.4)/F2270</f>
        <v>1.84</v>
      </c>
      <c r="O2270" s="17">
        <f t="shared" si="191"/>
        <v>1472</v>
      </c>
      <c r="P2270" s="18">
        <f t="shared" si="192"/>
        <v>121641.5168</v>
      </c>
      <c r="R2270" s="66"/>
      <c r="S2270" s="19"/>
      <c r="T2270" s="20"/>
      <c r="U2270" s="20"/>
      <c r="V2270" s="20"/>
      <c r="W2270" s="20"/>
      <c r="X2270" s="20"/>
      <c r="Y2270" s="20"/>
      <c r="Z2270" s="20"/>
      <c r="AA2270" s="20"/>
    </row>
    <row r="2271" spans="1:27" ht="12.75">
      <c r="A2271" s="10"/>
      <c r="B2271" s="10">
        <v>46174</v>
      </c>
      <c r="C2271" s="11">
        <f>VLOOKUP(B:B,'Курс валют'!A:D,4,0)</f>
        <v>82.636899999999997</v>
      </c>
      <c r="D2271" s="45" t="s">
        <v>129</v>
      </c>
      <c r="E2271" s="50" t="s">
        <v>103</v>
      </c>
      <c r="F2271" s="11">
        <v>800</v>
      </c>
      <c r="G2271" s="15">
        <v>805</v>
      </c>
      <c r="H2271" s="56">
        <v>0</v>
      </c>
      <c r="I2271" s="13">
        <f t="shared" si="187"/>
        <v>5</v>
      </c>
      <c r="J2271" s="14">
        <f t="shared" si="188"/>
        <v>0.625</v>
      </c>
      <c r="K2271" s="56">
        <v>1.84</v>
      </c>
      <c r="L2271" s="15">
        <f t="shared" si="189"/>
        <v>0</v>
      </c>
      <c r="M2271" s="16">
        <f t="shared" si="190"/>
        <v>152.051896</v>
      </c>
      <c r="N2271" s="17">
        <f t="shared" si="193"/>
        <v>1.84</v>
      </c>
      <c r="O2271" s="17">
        <f t="shared" si="191"/>
        <v>1472</v>
      </c>
      <c r="P2271" s="18">
        <f t="shared" si="192"/>
        <v>121641.5168</v>
      </c>
      <c r="R2271" s="66"/>
      <c r="S2271" s="19"/>
      <c r="T2271" s="20"/>
      <c r="U2271" s="20"/>
      <c r="V2271" s="20"/>
      <c r="W2271" s="20"/>
      <c r="X2271" s="20"/>
      <c r="Y2271" s="20"/>
      <c r="Z2271" s="20"/>
      <c r="AA2271" s="20"/>
    </row>
    <row r="2272" spans="1:27" ht="12.75">
      <c r="A2272" s="10"/>
      <c r="B2272" s="10">
        <v>46174</v>
      </c>
      <c r="C2272" s="11">
        <f>VLOOKUP(B:B,'Курс валют'!A:D,4,0)</f>
        <v>82.636899999999997</v>
      </c>
      <c r="D2272" s="45" t="s">
        <v>130</v>
      </c>
      <c r="E2272" s="50" t="s">
        <v>103</v>
      </c>
      <c r="F2272" s="11">
        <v>800</v>
      </c>
      <c r="G2272" s="15">
        <v>805</v>
      </c>
      <c r="H2272" s="56">
        <v>0</v>
      </c>
      <c r="I2272" s="13">
        <f t="shared" si="187"/>
        <v>5</v>
      </c>
      <c r="J2272" s="14">
        <f t="shared" si="188"/>
        <v>0.625</v>
      </c>
      <c r="K2272" s="56">
        <v>1.84</v>
      </c>
      <c r="L2272" s="15">
        <f t="shared" si="189"/>
        <v>0</v>
      </c>
      <c r="M2272" s="16">
        <f t="shared" si="190"/>
        <v>152.051896</v>
      </c>
      <c r="N2272" s="17">
        <f t="shared" si="193"/>
        <v>1.84</v>
      </c>
      <c r="O2272" s="17">
        <f t="shared" si="191"/>
        <v>1472</v>
      </c>
      <c r="P2272" s="18">
        <f t="shared" si="192"/>
        <v>121641.5168</v>
      </c>
      <c r="R2272" s="66"/>
      <c r="S2272" s="19"/>
      <c r="T2272" s="20"/>
      <c r="U2272" s="20"/>
      <c r="V2272" s="20"/>
      <c r="W2272" s="20"/>
      <c r="X2272" s="20"/>
      <c r="Y2272" s="20"/>
      <c r="Z2272" s="20"/>
      <c r="AA2272" s="20"/>
    </row>
    <row r="2273" spans="1:27" ht="12.75">
      <c r="A2273" s="10"/>
      <c r="B2273" s="10">
        <v>46174</v>
      </c>
      <c r="C2273" s="11">
        <f>VLOOKUP(B:B,'Курс валют'!A:D,4,0)</f>
        <v>82.636899999999997</v>
      </c>
      <c r="D2273" s="45" t="s">
        <v>131</v>
      </c>
      <c r="E2273" s="50" t="s">
        <v>103</v>
      </c>
      <c r="F2273" s="11">
        <v>800</v>
      </c>
      <c r="G2273" s="15">
        <v>805</v>
      </c>
      <c r="H2273" s="56">
        <v>0</v>
      </c>
      <c r="I2273" s="13">
        <f t="shared" si="187"/>
        <v>5</v>
      </c>
      <c r="J2273" s="14">
        <f t="shared" si="188"/>
        <v>0.625</v>
      </c>
      <c r="K2273" s="56">
        <v>1.83</v>
      </c>
      <c r="L2273" s="15">
        <f t="shared" si="189"/>
        <v>0</v>
      </c>
      <c r="M2273" s="16">
        <f t="shared" si="190"/>
        <v>151.225527</v>
      </c>
      <c r="N2273" s="17">
        <f t="shared" si="193"/>
        <v>1.83</v>
      </c>
      <c r="O2273" s="17">
        <f t="shared" si="191"/>
        <v>1464</v>
      </c>
      <c r="P2273" s="18">
        <f t="shared" si="192"/>
        <v>120980.4216</v>
      </c>
      <c r="R2273" s="66"/>
      <c r="S2273" s="19"/>
      <c r="T2273" s="20"/>
      <c r="U2273" s="20"/>
      <c r="V2273" s="20"/>
      <c r="W2273" s="20"/>
      <c r="X2273" s="20"/>
      <c r="Y2273" s="20"/>
      <c r="Z2273" s="20"/>
      <c r="AA2273" s="20"/>
    </row>
    <row r="2274" spans="1:27" ht="12.75">
      <c r="A2274" s="10"/>
      <c r="B2274" s="10">
        <v>46174</v>
      </c>
      <c r="C2274" s="11">
        <f>VLOOKUP(B:B,'Курс валют'!A:D,4,0)</f>
        <v>82.636899999999997</v>
      </c>
      <c r="D2274" s="45" t="s">
        <v>132</v>
      </c>
      <c r="E2274" s="50" t="s">
        <v>103</v>
      </c>
      <c r="F2274" s="11">
        <v>800</v>
      </c>
      <c r="G2274" s="15">
        <v>805</v>
      </c>
      <c r="H2274" s="56">
        <v>0</v>
      </c>
      <c r="I2274" s="13">
        <f t="shared" si="187"/>
        <v>5</v>
      </c>
      <c r="J2274" s="14">
        <f t="shared" si="188"/>
        <v>0.625</v>
      </c>
      <c r="K2274" s="56">
        <v>1.84</v>
      </c>
      <c r="L2274" s="15">
        <f t="shared" si="189"/>
        <v>0</v>
      </c>
      <c r="M2274" s="16">
        <f t="shared" si="190"/>
        <v>152.051896</v>
      </c>
      <c r="N2274" s="17">
        <f t="shared" si="193"/>
        <v>1.84</v>
      </c>
      <c r="O2274" s="17">
        <f t="shared" si="191"/>
        <v>1472</v>
      </c>
      <c r="P2274" s="18">
        <f t="shared" si="192"/>
        <v>121641.5168</v>
      </c>
      <c r="R2274" s="66"/>
      <c r="S2274" s="19"/>
      <c r="T2274" s="20"/>
      <c r="U2274" s="20"/>
      <c r="V2274" s="20"/>
      <c r="W2274" s="20"/>
      <c r="X2274" s="20"/>
      <c r="Y2274" s="20"/>
      <c r="Z2274" s="20"/>
      <c r="AA2274" s="20"/>
    </row>
    <row r="2275" spans="1:27" ht="12.75">
      <c r="A2275" s="10"/>
      <c r="B2275" s="10">
        <v>46174</v>
      </c>
      <c r="C2275" s="11">
        <f>VLOOKUP(B:B,'Курс валют'!A:D,4,0)</f>
        <v>82.636899999999997</v>
      </c>
      <c r="D2275" s="45" t="s">
        <v>133</v>
      </c>
      <c r="E2275" s="50" t="s">
        <v>103</v>
      </c>
      <c r="F2275" s="11">
        <v>800</v>
      </c>
      <c r="G2275" s="15">
        <v>805</v>
      </c>
      <c r="H2275" s="56">
        <v>0</v>
      </c>
      <c r="I2275" s="13">
        <f t="shared" si="187"/>
        <v>5</v>
      </c>
      <c r="J2275" s="14">
        <f t="shared" si="188"/>
        <v>0.625</v>
      </c>
      <c r="K2275" s="56">
        <v>1.83</v>
      </c>
      <c r="L2275" s="15">
        <f t="shared" si="189"/>
        <v>0</v>
      </c>
      <c r="M2275" s="16">
        <f t="shared" si="190"/>
        <v>151.225527</v>
      </c>
      <c r="N2275" s="17">
        <f t="shared" si="193"/>
        <v>1.83</v>
      </c>
      <c r="O2275" s="17">
        <f t="shared" si="191"/>
        <v>1464</v>
      </c>
      <c r="P2275" s="18">
        <f t="shared" si="192"/>
        <v>120980.4216</v>
      </c>
      <c r="R2275" s="66"/>
      <c r="S2275" s="19"/>
      <c r="T2275" s="20"/>
      <c r="U2275" s="20"/>
      <c r="V2275" s="20"/>
      <c r="W2275" s="20"/>
      <c r="X2275" s="20"/>
      <c r="Y2275" s="20"/>
      <c r="Z2275" s="20"/>
      <c r="AA2275" s="20"/>
    </row>
    <row r="2276" spans="1:27" ht="12.75">
      <c r="A2276" s="10"/>
      <c r="B2276" s="10">
        <v>46174</v>
      </c>
      <c r="C2276" s="11">
        <f>VLOOKUP(B:B,'Курс валют'!A:D,4,0)</f>
        <v>82.636899999999997</v>
      </c>
      <c r="D2276" s="45" t="s">
        <v>134</v>
      </c>
      <c r="E2276" s="50" t="s">
        <v>103</v>
      </c>
      <c r="F2276" s="11">
        <v>800</v>
      </c>
      <c r="G2276" s="15">
        <v>805</v>
      </c>
      <c r="H2276" s="56">
        <v>0</v>
      </c>
      <c r="I2276" s="13">
        <f t="shared" si="187"/>
        <v>5</v>
      </c>
      <c r="J2276" s="14">
        <f t="shared" si="188"/>
        <v>0.625</v>
      </c>
      <c r="K2276" s="56">
        <v>1.84</v>
      </c>
      <c r="L2276" s="15">
        <f t="shared" si="189"/>
        <v>0</v>
      </c>
      <c r="M2276" s="16">
        <f t="shared" si="190"/>
        <v>152.051896</v>
      </c>
      <c r="N2276" s="17">
        <f t="shared" si="193"/>
        <v>1.84</v>
      </c>
      <c r="O2276" s="17">
        <f t="shared" si="191"/>
        <v>1472</v>
      </c>
      <c r="P2276" s="18">
        <f t="shared" si="192"/>
        <v>121641.5168</v>
      </c>
      <c r="R2276" s="66"/>
      <c r="S2276" s="19"/>
      <c r="T2276" s="20"/>
      <c r="U2276" s="20"/>
      <c r="V2276" s="20"/>
      <c r="W2276" s="20"/>
      <c r="X2276" s="20"/>
      <c r="Y2276" s="20"/>
      <c r="Z2276" s="20"/>
      <c r="AA2276" s="20"/>
    </row>
    <row r="2277" spans="1:27" ht="12.75">
      <c r="A2277" s="10"/>
      <c r="B2277" s="10">
        <v>46174</v>
      </c>
      <c r="C2277" s="11">
        <f>VLOOKUP(B:B,'Курс валют'!A:D,4,0)</f>
        <v>82.636899999999997</v>
      </c>
      <c r="D2277" s="45" t="s">
        <v>135</v>
      </c>
      <c r="E2277" s="50" t="s">
        <v>103</v>
      </c>
      <c r="F2277" s="11">
        <v>800</v>
      </c>
      <c r="G2277" s="15">
        <v>805</v>
      </c>
      <c r="H2277" s="56">
        <v>0</v>
      </c>
      <c r="I2277" s="13">
        <f t="shared" si="187"/>
        <v>5</v>
      </c>
      <c r="J2277" s="14">
        <f t="shared" si="188"/>
        <v>0.625</v>
      </c>
      <c r="K2277" s="56">
        <v>1.84</v>
      </c>
      <c r="L2277" s="15">
        <f t="shared" si="189"/>
        <v>0</v>
      </c>
      <c r="M2277" s="16">
        <f t="shared" si="190"/>
        <v>152.051896</v>
      </c>
      <c r="N2277" s="17">
        <f t="shared" si="193"/>
        <v>1.84</v>
      </c>
      <c r="O2277" s="17">
        <f t="shared" si="191"/>
        <v>1472</v>
      </c>
      <c r="P2277" s="18">
        <f t="shared" si="192"/>
        <v>121641.5168</v>
      </c>
      <c r="R2277" s="66"/>
      <c r="S2277" s="19"/>
      <c r="T2277" s="20"/>
      <c r="U2277" s="20"/>
      <c r="V2277" s="20"/>
      <c r="W2277" s="20"/>
      <c r="X2277" s="20"/>
      <c r="Y2277" s="20"/>
      <c r="Z2277" s="20"/>
      <c r="AA2277" s="20"/>
    </row>
    <row r="2278" spans="1:27" ht="12.75">
      <c r="A2278" s="10"/>
      <c r="B2278" s="10">
        <v>46174</v>
      </c>
      <c r="C2278" s="11">
        <f>VLOOKUP(B:B,'Курс валют'!A:D,4,0)</f>
        <v>82.636899999999997</v>
      </c>
      <c r="D2278" s="45" t="s">
        <v>136</v>
      </c>
      <c r="E2278" s="50" t="s">
        <v>103</v>
      </c>
      <c r="F2278" s="11">
        <v>800</v>
      </c>
      <c r="G2278" s="15">
        <v>805</v>
      </c>
      <c r="H2278" s="56">
        <v>0</v>
      </c>
      <c r="I2278" s="13">
        <f t="shared" si="187"/>
        <v>5</v>
      </c>
      <c r="J2278" s="14">
        <f t="shared" si="188"/>
        <v>0.625</v>
      </c>
      <c r="K2278" s="56">
        <v>1.83</v>
      </c>
      <c r="L2278" s="15">
        <f t="shared" si="189"/>
        <v>0</v>
      </c>
      <c r="M2278" s="16">
        <f t="shared" si="190"/>
        <v>151.225527</v>
      </c>
      <c r="N2278" s="17">
        <f t="shared" si="193"/>
        <v>1.83</v>
      </c>
      <c r="O2278" s="17">
        <f t="shared" si="191"/>
        <v>1464</v>
      </c>
      <c r="P2278" s="18">
        <f t="shared" si="192"/>
        <v>120980.4216</v>
      </c>
      <c r="R2278" s="66"/>
      <c r="S2278" s="19"/>
      <c r="T2278" s="20"/>
      <c r="U2278" s="20"/>
      <c r="V2278" s="20"/>
      <c r="W2278" s="20"/>
      <c r="X2278" s="20"/>
      <c r="Y2278" s="20"/>
      <c r="Z2278" s="20"/>
      <c r="AA2278" s="20"/>
    </row>
    <row r="2279" spans="1:27" ht="12.75">
      <c r="A2279" s="10"/>
      <c r="B2279" s="10">
        <v>46174</v>
      </c>
      <c r="C2279" s="11">
        <f>VLOOKUP(B:B,'Курс валют'!A:D,4,0)</f>
        <v>82.636899999999997</v>
      </c>
      <c r="D2279" s="57" t="s">
        <v>137</v>
      </c>
      <c r="E2279" s="12" t="s">
        <v>56</v>
      </c>
      <c r="F2279" s="58">
        <v>2000</v>
      </c>
      <c r="G2279" s="13">
        <v>2033.55</v>
      </c>
      <c r="H2279" s="56">
        <v>0</v>
      </c>
      <c r="I2279" s="13">
        <f t="shared" si="187"/>
        <v>33.549999999999955</v>
      </c>
      <c r="J2279" s="14">
        <f t="shared" si="188"/>
        <v>1.6774999999999978</v>
      </c>
      <c r="K2279" s="56">
        <v>2.4300000000000002</v>
      </c>
      <c r="L2279" s="15">
        <f t="shared" si="189"/>
        <v>0</v>
      </c>
      <c r="M2279" s="16">
        <f t="shared" si="190"/>
        <v>200.80766699999998</v>
      </c>
      <c r="N2279" s="17">
        <f t="shared" si="193"/>
        <v>2.4300000000000002</v>
      </c>
      <c r="O2279" s="17">
        <f t="shared" si="191"/>
        <v>4860</v>
      </c>
      <c r="P2279" s="18">
        <f t="shared" si="192"/>
        <v>401615.33399999997</v>
      </c>
      <c r="R2279" s="66"/>
      <c r="S2279" s="19"/>
      <c r="T2279" s="20"/>
      <c r="U2279" s="20"/>
      <c r="V2279" s="20"/>
      <c r="W2279" s="20"/>
      <c r="X2279" s="20"/>
      <c r="Y2279" s="20"/>
      <c r="Z2279" s="20"/>
      <c r="AA2279" s="20"/>
    </row>
    <row r="2280" spans="1:27" ht="12.75">
      <c r="A2280" s="10"/>
      <c r="B2280" s="10">
        <v>46175</v>
      </c>
      <c r="C2280" s="11">
        <f>VLOOKUP(B:B,'Курс валют'!A:D,4,0)</f>
        <v>86.249899999999997</v>
      </c>
      <c r="D2280" s="57" t="s">
        <v>138</v>
      </c>
      <c r="E2280" s="12" t="s">
        <v>51</v>
      </c>
      <c r="F2280" s="58">
        <v>800</v>
      </c>
      <c r="G2280" s="13">
        <v>806.14</v>
      </c>
      <c r="H2280" s="56">
        <v>0</v>
      </c>
      <c r="I2280" s="13">
        <f t="shared" si="187"/>
        <v>6.1399999999999864</v>
      </c>
      <c r="J2280" s="14">
        <f t="shared" si="188"/>
        <v>0.76749999999999829</v>
      </c>
      <c r="K2280" s="56">
        <v>1.93</v>
      </c>
      <c r="L2280" s="15">
        <f t="shared" si="189"/>
        <v>0</v>
      </c>
      <c r="M2280" s="16">
        <f t="shared" si="190"/>
        <v>166.46230700000001</v>
      </c>
      <c r="N2280" s="23">
        <f>(F2280*K2280-H2280*3.04)/F2280</f>
        <v>1.93</v>
      </c>
      <c r="O2280" s="17">
        <f t="shared" si="191"/>
        <v>1544</v>
      </c>
      <c r="P2280" s="18">
        <f t="shared" si="192"/>
        <v>133169.8456</v>
      </c>
      <c r="R2280" s="66"/>
      <c r="S2280" s="19"/>
      <c r="T2280" s="20"/>
      <c r="U2280" s="20"/>
      <c r="V2280" s="20"/>
      <c r="W2280" s="20"/>
      <c r="X2280" s="20"/>
      <c r="Y2280" s="20"/>
      <c r="Z2280" s="20"/>
      <c r="AA2280" s="20"/>
    </row>
    <row r="2281" spans="1:27" ht="12.75">
      <c r="A2281" s="10"/>
      <c r="B2281" s="10">
        <v>46175</v>
      </c>
      <c r="C2281" s="11">
        <f>VLOOKUP(B:B,'Курс валют'!A:D,4,0)</f>
        <v>86.249899999999997</v>
      </c>
      <c r="D2281" s="57" t="s">
        <v>139</v>
      </c>
      <c r="E2281" s="12" t="s">
        <v>51</v>
      </c>
      <c r="F2281" s="58">
        <v>800</v>
      </c>
      <c r="G2281" s="13">
        <v>806.14</v>
      </c>
      <c r="H2281" s="56">
        <v>0</v>
      </c>
      <c r="I2281" s="13">
        <f t="shared" si="187"/>
        <v>6.1399999999999864</v>
      </c>
      <c r="J2281" s="14">
        <f t="shared" si="188"/>
        <v>0.76749999999999829</v>
      </c>
      <c r="K2281" s="56">
        <v>1.92</v>
      </c>
      <c r="L2281" s="15">
        <f t="shared" si="189"/>
        <v>0</v>
      </c>
      <c r="M2281" s="16">
        <f t="shared" si="190"/>
        <v>165.59980799999997</v>
      </c>
      <c r="N2281" s="17">
        <f t="shared" ref="N2281:N2290" si="194">(F2281*K2281-H2281*30.4)/F2281</f>
        <v>1.92</v>
      </c>
      <c r="O2281" s="17">
        <f t="shared" si="191"/>
        <v>1536</v>
      </c>
      <c r="P2281" s="18">
        <f t="shared" si="192"/>
        <v>132479.84639999998</v>
      </c>
      <c r="R2281" s="66"/>
      <c r="S2281" s="19"/>
      <c r="T2281" s="20"/>
      <c r="U2281" s="20"/>
      <c r="V2281" s="20"/>
      <c r="W2281" s="20"/>
      <c r="X2281" s="20"/>
      <c r="Y2281" s="20"/>
      <c r="Z2281" s="20"/>
      <c r="AA2281" s="20"/>
    </row>
    <row r="2282" spans="1:27" ht="12.75">
      <c r="A2282" s="10"/>
      <c r="B2282" s="10">
        <v>46175</v>
      </c>
      <c r="C2282" s="11">
        <f>VLOOKUP(B:B,'Курс валют'!A:D,4,0)</f>
        <v>86.249899999999997</v>
      </c>
      <c r="D2282" s="57" t="s">
        <v>140</v>
      </c>
      <c r="E2282" s="12" t="s">
        <v>51</v>
      </c>
      <c r="F2282" s="58">
        <v>800</v>
      </c>
      <c r="G2282" s="13">
        <v>806.14</v>
      </c>
      <c r="H2282" s="56">
        <v>0</v>
      </c>
      <c r="I2282" s="13">
        <f t="shared" si="187"/>
        <v>6.1399999999999864</v>
      </c>
      <c r="J2282" s="14">
        <f t="shared" si="188"/>
        <v>0.76749999999999829</v>
      </c>
      <c r="K2282" s="56">
        <v>1.92</v>
      </c>
      <c r="L2282" s="15">
        <f t="shared" si="189"/>
        <v>0</v>
      </c>
      <c r="M2282" s="16">
        <f t="shared" si="190"/>
        <v>165.59980799999997</v>
      </c>
      <c r="N2282" s="17">
        <f t="shared" si="194"/>
        <v>1.92</v>
      </c>
      <c r="O2282" s="17">
        <f t="shared" si="191"/>
        <v>1536</v>
      </c>
      <c r="P2282" s="18">
        <f t="shared" si="192"/>
        <v>132479.84639999998</v>
      </c>
      <c r="R2282" s="66"/>
      <c r="S2282" s="19"/>
      <c r="T2282" s="20"/>
      <c r="U2282" s="20"/>
      <c r="V2282" s="20"/>
      <c r="W2282" s="20"/>
      <c r="X2282" s="20"/>
      <c r="Y2282" s="20"/>
      <c r="Z2282" s="20"/>
      <c r="AA2282" s="20"/>
    </row>
    <row r="2283" spans="1:27" ht="12.75">
      <c r="A2283" s="10"/>
      <c r="B2283" s="10">
        <v>46175</v>
      </c>
      <c r="C2283" s="11">
        <f>VLOOKUP(B:B,'Курс валют'!A:D,4,0)</f>
        <v>86.249899999999997</v>
      </c>
      <c r="D2283" s="57" t="s">
        <v>141</v>
      </c>
      <c r="E2283" s="12" t="s">
        <v>51</v>
      </c>
      <c r="F2283" s="58">
        <v>800</v>
      </c>
      <c r="G2283" s="13">
        <v>806.14</v>
      </c>
      <c r="H2283" s="56">
        <v>0</v>
      </c>
      <c r="I2283" s="13">
        <f t="shared" si="187"/>
        <v>6.1399999999999864</v>
      </c>
      <c r="J2283" s="14">
        <f t="shared" si="188"/>
        <v>0.76749999999999829</v>
      </c>
      <c r="K2283" s="56">
        <v>1.93</v>
      </c>
      <c r="L2283" s="15">
        <f t="shared" si="189"/>
        <v>0</v>
      </c>
      <c r="M2283" s="16">
        <f t="shared" si="190"/>
        <v>166.46230700000001</v>
      </c>
      <c r="N2283" s="17">
        <f t="shared" si="194"/>
        <v>1.93</v>
      </c>
      <c r="O2283" s="17">
        <f t="shared" si="191"/>
        <v>1544</v>
      </c>
      <c r="P2283" s="18">
        <f t="shared" si="192"/>
        <v>133169.8456</v>
      </c>
      <c r="R2283" s="66"/>
      <c r="S2283" s="19"/>
      <c r="T2283" s="20"/>
      <c r="U2283" s="20"/>
      <c r="V2283" s="20"/>
      <c r="W2283" s="20"/>
      <c r="X2283" s="20"/>
      <c r="Y2283" s="20"/>
      <c r="Z2283" s="20"/>
      <c r="AA2283" s="20"/>
    </row>
    <row r="2284" spans="1:27" ht="12.75">
      <c r="A2284" s="10"/>
      <c r="B2284" s="10">
        <v>46175</v>
      </c>
      <c r="C2284" s="11">
        <f>VLOOKUP(B:B,'Курс валют'!A:D,4,0)</f>
        <v>86.249899999999997</v>
      </c>
      <c r="D2284" s="57" t="s">
        <v>142</v>
      </c>
      <c r="E2284" s="12" t="s">
        <v>51</v>
      </c>
      <c r="F2284" s="58">
        <v>800</v>
      </c>
      <c r="G2284" s="13">
        <v>806.14</v>
      </c>
      <c r="H2284" s="56">
        <v>0</v>
      </c>
      <c r="I2284" s="13">
        <f t="shared" si="187"/>
        <v>6.1399999999999864</v>
      </c>
      <c r="J2284" s="14">
        <f t="shared" si="188"/>
        <v>0.76749999999999829</v>
      </c>
      <c r="K2284" s="56">
        <v>1.93</v>
      </c>
      <c r="L2284" s="15">
        <f t="shared" si="189"/>
        <v>0</v>
      </c>
      <c r="M2284" s="16">
        <f t="shared" si="190"/>
        <v>166.46230700000001</v>
      </c>
      <c r="N2284" s="17">
        <f t="shared" si="194"/>
        <v>1.93</v>
      </c>
      <c r="O2284" s="17">
        <f t="shared" si="191"/>
        <v>1544</v>
      </c>
      <c r="P2284" s="18">
        <f t="shared" si="192"/>
        <v>133169.8456</v>
      </c>
      <c r="R2284" s="66"/>
      <c r="S2284" s="19"/>
      <c r="T2284" s="20"/>
      <c r="U2284" s="20"/>
      <c r="V2284" s="20"/>
      <c r="W2284" s="20"/>
      <c r="X2284" s="20"/>
      <c r="Y2284" s="20"/>
      <c r="Z2284" s="20"/>
      <c r="AA2284" s="20"/>
    </row>
    <row r="2285" spans="1:27" ht="12.75">
      <c r="A2285" s="54"/>
      <c r="B2285" s="10">
        <v>46175</v>
      </c>
      <c r="C2285" s="11">
        <f>VLOOKUP(B:B,'Курс валют'!A:D,4,0)</f>
        <v>86.249899999999997</v>
      </c>
      <c r="D2285" s="57" t="s">
        <v>143</v>
      </c>
      <c r="E2285" s="12" t="s">
        <v>51</v>
      </c>
      <c r="F2285" s="58">
        <v>800</v>
      </c>
      <c r="G2285" s="13">
        <v>806.14</v>
      </c>
      <c r="H2285" s="56">
        <v>0</v>
      </c>
      <c r="I2285" s="13">
        <f t="shared" si="187"/>
        <v>6.1399999999999864</v>
      </c>
      <c r="J2285" s="14">
        <f t="shared" si="188"/>
        <v>0.76749999999999829</v>
      </c>
      <c r="K2285" s="56">
        <v>1.91</v>
      </c>
      <c r="L2285" s="15">
        <f t="shared" si="189"/>
        <v>0</v>
      </c>
      <c r="M2285" s="16">
        <f t="shared" si="190"/>
        <v>164.73730899999998</v>
      </c>
      <c r="N2285" s="17">
        <f t="shared" si="194"/>
        <v>1.91</v>
      </c>
      <c r="O2285" s="17">
        <f t="shared" si="191"/>
        <v>1528</v>
      </c>
      <c r="P2285" s="18">
        <f t="shared" si="192"/>
        <v>131789.84719999999</v>
      </c>
      <c r="R2285" s="65"/>
      <c r="S2285" s="19"/>
      <c r="T2285" s="24"/>
      <c r="U2285" s="24"/>
      <c r="V2285" s="24"/>
      <c r="W2285" s="24"/>
      <c r="X2285" s="24"/>
      <c r="Y2285" s="24"/>
      <c r="Z2285" s="24"/>
      <c r="AA2285" s="24"/>
    </row>
    <row r="2286" spans="1:27" ht="12.75">
      <c r="A2286" s="54"/>
      <c r="B2286" s="10">
        <v>46175</v>
      </c>
      <c r="C2286" s="11">
        <f>VLOOKUP(B:B,'Курс валют'!A:D,4,0)</f>
        <v>86.249899999999997</v>
      </c>
      <c r="D2286" s="57" t="s">
        <v>144</v>
      </c>
      <c r="E2286" s="12" t="s">
        <v>51</v>
      </c>
      <c r="F2286" s="58">
        <v>800</v>
      </c>
      <c r="G2286" s="13">
        <v>806.14</v>
      </c>
      <c r="H2286" s="56">
        <v>0</v>
      </c>
      <c r="I2286" s="13">
        <f t="shared" si="187"/>
        <v>6.1399999999999864</v>
      </c>
      <c r="J2286" s="14">
        <f t="shared" si="188"/>
        <v>0.76749999999999829</v>
      </c>
      <c r="K2286" s="56">
        <v>1.91</v>
      </c>
      <c r="L2286" s="15">
        <f t="shared" si="189"/>
        <v>0</v>
      </c>
      <c r="M2286" s="16">
        <f t="shared" si="190"/>
        <v>164.73730899999998</v>
      </c>
      <c r="N2286" s="17">
        <f t="shared" si="194"/>
        <v>1.91</v>
      </c>
      <c r="O2286" s="17">
        <f t="shared" si="191"/>
        <v>1528</v>
      </c>
      <c r="P2286" s="18">
        <f t="shared" si="192"/>
        <v>131789.84719999999</v>
      </c>
      <c r="R2286" s="65"/>
      <c r="S2286" s="19"/>
      <c r="T2286" s="20"/>
      <c r="U2286" s="20"/>
      <c r="V2286" s="20"/>
      <c r="W2286" s="20"/>
      <c r="X2286" s="20"/>
      <c r="Y2286" s="20"/>
      <c r="Z2286" s="20"/>
      <c r="AA2286" s="20"/>
    </row>
    <row r="2287" spans="1:27" ht="12.75">
      <c r="A2287" s="54"/>
      <c r="B2287" s="10">
        <v>46175</v>
      </c>
      <c r="C2287" s="11">
        <f>VLOOKUP(B:B,'Курс валют'!A:D,4,0)</f>
        <v>86.249899999999997</v>
      </c>
      <c r="D2287" s="57" t="s">
        <v>145</v>
      </c>
      <c r="E2287" s="12" t="s">
        <v>51</v>
      </c>
      <c r="F2287" s="58">
        <v>800</v>
      </c>
      <c r="G2287" s="13">
        <v>806.14</v>
      </c>
      <c r="H2287" s="56">
        <v>0</v>
      </c>
      <c r="I2287" s="13">
        <f t="shared" si="187"/>
        <v>6.1399999999999864</v>
      </c>
      <c r="J2287" s="14">
        <f t="shared" si="188"/>
        <v>0.76749999999999829</v>
      </c>
      <c r="K2287" s="56">
        <v>1.91</v>
      </c>
      <c r="L2287" s="15">
        <f t="shared" si="189"/>
        <v>0</v>
      </c>
      <c r="M2287" s="16">
        <f t="shared" si="190"/>
        <v>164.73730899999998</v>
      </c>
      <c r="N2287" s="17">
        <f t="shared" si="194"/>
        <v>1.91</v>
      </c>
      <c r="O2287" s="17">
        <f t="shared" si="191"/>
        <v>1528</v>
      </c>
      <c r="P2287" s="18">
        <f t="shared" si="192"/>
        <v>131789.84719999999</v>
      </c>
      <c r="R2287" s="65"/>
      <c r="S2287" s="19"/>
      <c r="T2287" s="20"/>
      <c r="U2287" s="20"/>
      <c r="V2287" s="20"/>
      <c r="W2287" s="20"/>
      <c r="X2287" s="20"/>
      <c r="Y2287" s="20"/>
      <c r="Z2287" s="20"/>
      <c r="AA2287" s="20"/>
    </row>
    <row r="2288" spans="1:27" ht="12.75">
      <c r="A2288" s="54"/>
      <c r="B2288" s="10">
        <v>46175</v>
      </c>
      <c r="C2288" s="11">
        <f>VLOOKUP(B:B,'Курс валют'!A:D,4,0)</f>
        <v>86.249899999999997</v>
      </c>
      <c r="D2288" s="57" t="s">
        <v>146</v>
      </c>
      <c r="E2288" s="12" t="s">
        <v>56</v>
      </c>
      <c r="F2288" s="58">
        <v>2000</v>
      </c>
      <c r="G2288" s="13">
        <v>2033.55</v>
      </c>
      <c r="H2288" s="56">
        <v>0</v>
      </c>
      <c r="I2288" s="13">
        <f t="shared" si="187"/>
        <v>33.549999999999955</v>
      </c>
      <c r="J2288" s="14">
        <f t="shared" si="188"/>
        <v>1.6774999999999978</v>
      </c>
      <c r="K2288" s="56">
        <v>2.44</v>
      </c>
      <c r="L2288" s="15">
        <f t="shared" si="189"/>
        <v>0</v>
      </c>
      <c r="M2288" s="16">
        <f t="shared" si="190"/>
        <v>210.44975600000001</v>
      </c>
      <c r="N2288" s="17">
        <f t="shared" si="194"/>
        <v>2.44</v>
      </c>
      <c r="O2288" s="17">
        <f t="shared" si="191"/>
        <v>4880</v>
      </c>
      <c r="P2288" s="18">
        <f t="shared" si="192"/>
        <v>420899.51199999999</v>
      </c>
      <c r="R2288" s="66"/>
      <c r="S2288" s="19"/>
      <c r="T2288" s="24"/>
      <c r="U2288" s="24"/>
      <c r="V2288" s="24"/>
      <c r="W2288" s="24"/>
      <c r="X2288" s="24"/>
      <c r="Y2288" s="24"/>
      <c r="Z2288" s="24"/>
      <c r="AA2288" s="24"/>
    </row>
    <row r="2289" spans="1:27" ht="12.75">
      <c r="A2289" s="54"/>
      <c r="B2289" s="10">
        <v>46175</v>
      </c>
      <c r="C2289" s="11">
        <f>VLOOKUP(B:B,'Курс валют'!A:D,4,0)</f>
        <v>86.249899999999997</v>
      </c>
      <c r="D2289" s="57" t="s">
        <v>147</v>
      </c>
      <c r="E2289" s="12" t="s">
        <v>51</v>
      </c>
      <c r="F2289" s="58">
        <v>800</v>
      </c>
      <c r="G2289" s="13">
        <v>806.14</v>
      </c>
      <c r="H2289" s="56">
        <v>0</v>
      </c>
      <c r="I2289" s="13">
        <f t="shared" si="187"/>
        <v>6.1399999999999864</v>
      </c>
      <c r="J2289" s="14">
        <f t="shared" si="188"/>
        <v>0.76749999999999829</v>
      </c>
      <c r="K2289" s="56">
        <v>1.91</v>
      </c>
      <c r="L2289" s="15">
        <f t="shared" si="189"/>
        <v>0</v>
      </c>
      <c r="M2289" s="16">
        <f t="shared" si="190"/>
        <v>164.73730899999998</v>
      </c>
      <c r="N2289" s="17">
        <f t="shared" si="194"/>
        <v>1.91</v>
      </c>
      <c r="O2289" s="17">
        <f t="shared" si="191"/>
        <v>1528</v>
      </c>
      <c r="P2289" s="18">
        <f t="shared" si="192"/>
        <v>131789.84719999999</v>
      </c>
      <c r="R2289" s="65"/>
      <c r="S2289" s="19"/>
      <c r="T2289" s="24"/>
      <c r="U2289" s="24"/>
      <c r="V2289" s="24"/>
      <c r="W2289" s="24"/>
      <c r="X2289" s="24"/>
      <c r="Y2289" s="24"/>
      <c r="Z2289" s="24"/>
      <c r="AA2289" s="24"/>
    </row>
    <row r="2290" spans="1:27" ht="12.75">
      <c r="A2290" s="54"/>
      <c r="B2290" s="10">
        <v>46175</v>
      </c>
      <c r="C2290" s="11">
        <f>VLOOKUP(B:B,'Курс валют'!A:D,4,0)</f>
        <v>86.249899999999997</v>
      </c>
      <c r="D2290" s="57" t="s">
        <v>148</v>
      </c>
      <c r="E2290" s="12" t="s">
        <v>51</v>
      </c>
      <c r="F2290" s="58">
        <v>800</v>
      </c>
      <c r="G2290" s="13">
        <v>806.14</v>
      </c>
      <c r="H2290" s="56">
        <v>0</v>
      </c>
      <c r="I2290" s="13">
        <f t="shared" si="187"/>
        <v>6.1399999999999864</v>
      </c>
      <c r="J2290" s="14">
        <f t="shared" si="188"/>
        <v>0.76749999999999829</v>
      </c>
      <c r="K2290" s="56">
        <v>1.92</v>
      </c>
      <c r="L2290" s="15">
        <f t="shared" si="189"/>
        <v>0</v>
      </c>
      <c r="M2290" s="16">
        <f t="shared" si="190"/>
        <v>165.59980799999997</v>
      </c>
      <c r="N2290" s="17">
        <f t="shared" si="194"/>
        <v>1.92</v>
      </c>
      <c r="O2290" s="17">
        <f t="shared" si="191"/>
        <v>1536</v>
      </c>
      <c r="P2290" s="18">
        <f t="shared" si="192"/>
        <v>132479.84639999998</v>
      </c>
      <c r="R2290" s="66"/>
      <c r="S2290" s="19"/>
      <c r="T2290" s="24"/>
      <c r="U2290" s="24"/>
      <c r="V2290" s="24"/>
      <c r="W2290" s="24"/>
      <c r="X2290" s="24"/>
      <c r="Y2290" s="24"/>
      <c r="Z2290" s="24"/>
      <c r="AA2290" s="24"/>
    </row>
    <row r="2291" spans="1:27" ht="12.75">
      <c r="A2291" s="54"/>
      <c r="B2291" s="10">
        <v>46176</v>
      </c>
      <c r="C2291" s="11">
        <f>VLOOKUP(B:B,'Курс валют'!A:D,4,0)</f>
        <v>84.6096</v>
      </c>
      <c r="D2291" s="57" t="s">
        <v>149</v>
      </c>
      <c r="E2291" s="12" t="s">
        <v>51</v>
      </c>
      <c r="F2291" s="58">
        <v>800</v>
      </c>
      <c r="G2291" s="13">
        <v>807.54</v>
      </c>
      <c r="H2291" s="56">
        <v>0</v>
      </c>
      <c r="I2291" s="13">
        <f t="shared" si="187"/>
        <v>7.5399999999999636</v>
      </c>
      <c r="J2291" s="14">
        <f t="shared" si="188"/>
        <v>0.94249999999999545</v>
      </c>
      <c r="K2291" s="56">
        <v>1.92</v>
      </c>
      <c r="L2291" s="15">
        <f t="shared" si="189"/>
        <v>0</v>
      </c>
      <c r="M2291" s="16">
        <f t="shared" si="190"/>
        <v>162.45043200000001</v>
      </c>
      <c r="N2291" s="17">
        <f t="shared" ref="N2291:N2303" si="195">(F2291*K2291-H2291*3.04)/F2291</f>
        <v>1.92</v>
      </c>
      <c r="O2291" s="17">
        <f t="shared" si="191"/>
        <v>1536</v>
      </c>
      <c r="P2291" s="18">
        <f t="shared" si="192"/>
        <v>129960.3456</v>
      </c>
      <c r="R2291" s="66"/>
      <c r="S2291" s="19"/>
      <c r="T2291" s="20"/>
      <c r="U2291" s="20"/>
      <c r="V2291" s="20"/>
      <c r="W2291" s="20"/>
      <c r="X2291" s="20"/>
      <c r="Y2291" s="20"/>
      <c r="Z2291" s="20"/>
      <c r="AA2291" s="20"/>
    </row>
    <row r="2292" spans="1:27" ht="12.75">
      <c r="A2292" s="54"/>
      <c r="B2292" s="10">
        <v>46176</v>
      </c>
      <c r="C2292" s="11">
        <f>VLOOKUP(B:B,'Курс валют'!A:D,4,0)</f>
        <v>84.6096</v>
      </c>
      <c r="D2292" s="57" t="s">
        <v>150</v>
      </c>
      <c r="E2292" s="12" t="s">
        <v>51</v>
      </c>
      <c r="F2292" s="58">
        <v>800</v>
      </c>
      <c r="G2292" s="13">
        <v>807.54</v>
      </c>
      <c r="H2292" s="56">
        <v>0</v>
      </c>
      <c r="I2292" s="58">
        <v>2.5</v>
      </c>
      <c r="J2292" s="14">
        <f t="shared" si="188"/>
        <v>0.3125</v>
      </c>
      <c r="K2292" s="56">
        <v>1.92</v>
      </c>
      <c r="L2292" s="15">
        <f t="shared" si="189"/>
        <v>0</v>
      </c>
      <c r="M2292" s="16">
        <f t="shared" si="190"/>
        <v>162.45043200000001</v>
      </c>
      <c r="N2292" s="17">
        <f t="shared" si="195"/>
        <v>1.92</v>
      </c>
      <c r="O2292" s="17">
        <f t="shared" si="191"/>
        <v>1536</v>
      </c>
      <c r="P2292" s="18">
        <f t="shared" si="192"/>
        <v>129960.3456</v>
      </c>
      <c r="R2292" s="66"/>
      <c r="S2292" s="19"/>
      <c r="T2292" s="20"/>
      <c r="U2292" s="20"/>
      <c r="V2292" s="20"/>
      <c r="W2292" s="20"/>
      <c r="X2292" s="20"/>
      <c r="Y2292" s="20"/>
      <c r="Z2292" s="20"/>
      <c r="AA2292" s="20"/>
    </row>
    <row r="2293" spans="1:27" ht="12.75">
      <c r="A2293" s="54"/>
      <c r="B2293" s="10">
        <v>46176</v>
      </c>
      <c r="C2293" s="11">
        <f>VLOOKUP(B:B,'Курс валют'!A:D,4,0)</f>
        <v>84.6096</v>
      </c>
      <c r="D2293" s="57" t="s">
        <v>151</v>
      </c>
      <c r="E2293" s="12" t="s">
        <v>51</v>
      </c>
      <c r="F2293" s="58">
        <v>800</v>
      </c>
      <c r="G2293" s="13">
        <v>807.54</v>
      </c>
      <c r="H2293" s="56">
        <v>0</v>
      </c>
      <c r="I2293" s="13">
        <f t="shared" ref="I2293:I2596" si="196">G2293-F2293</f>
        <v>7.5399999999999636</v>
      </c>
      <c r="J2293" s="14">
        <f t="shared" si="188"/>
        <v>0.94249999999999545</v>
      </c>
      <c r="K2293" s="56">
        <v>1.92</v>
      </c>
      <c r="L2293" s="15">
        <f t="shared" si="189"/>
        <v>0</v>
      </c>
      <c r="M2293" s="16">
        <f t="shared" si="190"/>
        <v>162.45043200000001</v>
      </c>
      <c r="N2293" s="17">
        <f t="shared" si="195"/>
        <v>1.92</v>
      </c>
      <c r="O2293" s="17">
        <f t="shared" si="191"/>
        <v>1536</v>
      </c>
      <c r="P2293" s="18">
        <f t="shared" si="192"/>
        <v>129960.3456</v>
      </c>
      <c r="R2293" s="66"/>
      <c r="S2293" s="19"/>
      <c r="T2293" s="20"/>
      <c r="U2293" s="20"/>
      <c r="V2293" s="20"/>
      <c r="W2293" s="20"/>
      <c r="X2293" s="20"/>
      <c r="Y2293" s="20"/>
      <c r="Z2293" s="20"/>
      <c r="AA2293" s="20"/>
    </row>
    <row r="2294" spans="1:27" ht="12.75">
      <c r="A2294" s="54"/>
      <c r="B2294" s="10">
        <v>46176</v>
      </c>
      <c r="C2294" s="11">
        <f>VLOOKUP(B:B,'Курс валют'!A:D,4,0)</f>
        <v>84.6096</v>
      </c>
      <c r="D2294" s="47" t="s">
        <v>152</v>
      </c>
      <c r="E2294" s="21" t="s">
        <v>60</v>
      </c>
      <c r="F2294" s="58">
        <v>1800</v>
      </c>
      <c r="G2294" s="13">
        <v>1841.1</v>
      </c>
      <c r="H2294" s="56">
        <v>0</v>
      </c>
      <c r="I2294" s="13">
        <f t="shared" si="196"/>
        <v>41.099999999999909</v>
      </c>
      <c r="J2294" s="14">
        <f t="shared" si="188"/>
        <v>2.2833333333333283</v>
      </c>
      <c r="K2294" s="56"/>
      <c r="L2294" s="15">
        <f t="shared" si="189"/>
        <v>0</v>
      </c>
      <c r="M2294" s="16">
        <f t="shared" si="190"/>
        <v>0</v>
      </c>
      <c r="N2294" s="17">
        <f t="shared" si="195"/>
        <v>0</v>
      </c>
      <c r="O2294" s="17">
        <f t="shared" si="191"/>
        <v>0</v>
      </c>
      <c r="P2294" s="18">
        <f t="shared" si="192"/>
        <v>0</v>
      </c>
      <c r="R2294" s="66" t="s">
        <v>153</v>
      </c>
      <c r="S2294" s="20"/>
      <c r="T2294" s="20"/>
      <c r="U2294" s="20"/>
      <c r="V2294" s="20"/>
      <c r="W2294" s="20"/>
      <c r="X2294" s="20"/>
      <c r="Y2294" s="20"/>
      <c r="Z2294" s="20"/>
      <c r="AA2294" s="20"/>
    </row>
    <row r="2295" spans="1:27" ht="15" customHeight="1">
      <c r="A2295" s="54"/>
      <c r="B2295" s="10">
        <v>46176</v>
      </c>
      <c r="C2295" s="11">
        <f>VLOOKUP(B:B,'Курс валют'!A:D,4,0)</f>
        <v>84.6096</v>
      </c>
      <c r="D2295" s="57" t="s">
        <v>154</v>
      </c>
      <c r="E2295" s="21" t="s">
        <v>51</v>
      </c>
      <c r="F2295" s="58">
        <v>800</v>
      </c>
      <c r="G2295" s="13">
        <v>807.54</v>
      </c>
      <c r="H2295" s="56">
        <v>0</v>
      </c>
      <c r="I2295" s="13">
        <f t="shared" si="196"/>
        <v>7.5399999999999636</v>
      </c>
      <c r="J2295" s="14">
        <f t="shared" si="188"/>
        <v>0.94249999999999545</v>
      </c>
      <c r="K2295" s="56">
        <v>1.92</v>
      </c>
      <c r="L2295" s="15">
        <f t="shared" si="189"/>
        <v>0</v>
      </c>
      <c r="M2295" s="16">
        <f t="shared" si="190"/>
        <v>162.45043200000001</v>
      </c>
      <c r="N2295" s="17">
        <f t="shared" si="195"/>
        <v>1.92</v>
      </c>
      <c r="O2295" s="17">
        <f t="shared" si="191"/>
        <v>1536</v>
      </c>
      <c r="P2295" s="18">
        <f t="shared" si="192"/>
        <v>129960.3456</v>
      </c>
      <c r="R2295" s="66"/>
      <c r="S2295" s="20"/>
      <c r="T2295" s="20"/>
      <c r="U2295" s="20"/>
      <c r="V2295" s="20"/>
      <c r="W2295" s="20"/>
      <c r="X2295" s="20"/>
      <c r="Y2295" s="20"/>
      <c r="Z2295" s="20"/>
      <c r="AA2295" s="20"/>
    </row>
    <row r="2296" spans="1:27" ht="12.75">
      <c r="A2296" s="54"/>
      <c r="B2296" s="10">
        <v>46176</v>
      </c>
      <c r="C2296" s="11">
        <f>VLOOKUP(B:B,'Курс валют'!A:D,4,0)</f>
        <v>84.6096</v>
      </c>
      <c r="D2296" s="57" t="s">
        <v>155</v>
      </c>
      <c r="E2296" s="21" t="s">
        <v>51</v>
      </c>
      <c r="F2296" s="58">
        <v>800</v>
      </c>
      <c r="G2296" s="13">
        <v>807.54</v>
      </c>
      <c r="H2296" s="56">
        <v>0</v>
      </c>
      <c r="I2296" s="13">
        <f t="shared" si="196"/>
        <v>7.5399999999999636</v>
      </c>
      <c r="J2296" s="14">
        <f t="shared" si="188"/>
        <v>0.94249999999999545</v>
      </c>
      <c r="K2296" s="56">
        <v>1.92</v>
      </c>
      <c r="L2296" s="15">
        <f t="shared" si="189"/>
        <v>0</v>
      </c>
      <c r="M2296" s="16">
        <f t="shared" si="190"/>
        <v>162.45043200000001</v>
      </c>
      <c r="N2296" s="17">
        <f t="shared" si="195"/>
        <v>1.92</v>
      </c>
      <c r="O2296" s="17">
        <f t="shared" si="191"/>
        <v>1536</v>
      </c>
      <c r="P2296" s="18">
        <f t="shared" si="192"/>
        <v>129960.3456</v>
      </c>
      <c r="R2296" s="66"/>
      <c r="S2296" s="20"/>
      <c r="T2296" s="20"/>
      <c r="U2296" s="20"/>
      <c r="V2296" s="20"/>
      <c r="W2296" s="20"/>
      <c r="X2296" s="20"/>
      <c r="Y2296" s="20"/>
      <c r="Z2296" s="20"/>
      <c r="AA2296" s="20"/>
    </row>
    <row r="2297" spans="1:27" ht="12.75">
      <c r="A2297" s="54"/>
      <c r="B2297" s="10">
        <v>46176</v>
      </c>
      <c r="C2297" s="11">
        <f>VLOOKUP(B:B,'Курс валют'!A:D,4,0)</f>
        <v>84.6096</v>
      </c>
      <c r="D2297" s="57" t="s">
        <v>156</v>
      </c>
      <c r="E2297" s="21" t="s">
        <v>51</v>
      </c>
      <c r="F2297" s="58">
        <v>800</v>
      </c>
      <c r="G2297" s="13">
        <v>807.54</v>
      </c>
      <c r="H2297" s="56">
        <v>0</v>
      </c>
      <c r="I2297" s="13">
        <f t="shared" si="196"/>
        <v>7.5399999999999636</v>
      </c>
      <c r="J2297" s="14">
        <f t="shared" si="188"/>
        <v>0.94249999999999545</v>
      </c>
      <c r="K2297" s="56">
        <v>1.92</v>
      </c>
      <c r="L2297" s="15">
        <f t="shared" si="189"/>
        <v>0</v>
      </c>
      <c r="M2297" s="16">
        <f t="shared" si="190"/>
        <v>162.45043200000001</v>
      </c>
      <c r="N2297" s="17">
        <f t="shared" si="195"/>
        <v>1.92</v>
      </c>
      <c r="O2297" s="17">
        <f t="shared" si="191"/>
        <v>1536</v>
      </c>
      <c r="P2297" s="18">
        <f t="shared" si="192"/>
        <v>129960.3456</v>
      </c>
      <c r="R2297" s="66"/>
      <c r="S2297" s="48"/>
      <c r="T2297" s="20"/>
      <c r="U2297" s="20"/>
      <c r="V2297" s="20"/>
      <c r="W2297" s="20"/>
      <c r="X2297" s="20"/>
      <c r="Y2297" s="20"/>
      <c r="Z2297" s="20"/>
      <c r="AA2297" s="20"/>
    </row>
    <row r="2298" spans="1:27" ht="12.75">
      <c r="A2298" s="54"/>
      <c r="B2298" s="10">
        <v>46176</v>
      </c>
      <c r="C2298" s="11">
        <f>VLOOKUP(B:B,'Курс валют'!A:D,4,0)</f>
        <v>84.6096</v>
      </c>
      <c r="D2298" s="57" t="s">
        <v>157</v>
      </c>
      <c r="E2298" s="21" t="s">
        <v>51</v>
      </c>
      <c r="F2298" s="58">
        <v>800</v>
      </c>
      <c r="G2298" s="13">
        <v>807.54</v>
      </c>
      <c r="H2298" s="56">
        <v>0</v>
      </c>
      <c r="I2298" s="13">
        <f t="shared" si="196"/>
        <v>7.5399999999999636</v>
      </c>
      <c r="J2298" s="14">
        <f t="shared" si="188"/>
        <v>0.94249999999999545</v>
      </c>
      <c r="K2298" s="56">
        <v>1.92</v>
      </c>
      <c r="L2298" s="15">
        <f t="shared" si="189"/>
        <v>0</v>
      </c>
      <c r="M2298" s="16">
        <f t="shared" si="190"/>
        <v>162.45043200000001</v>
      </c>
      <c r="N2298" s="17">
        <f t="shared" si="195"/>
        <v>1.92</v>
      </c>
      <c r="O2298" s="17">
        <f t="shared" si="191"/>
        <v>1536</v>
      </c>
      <c r="P2298" s="18">
        <f t="shared" si="192"/>
        <v>129960.3456</v>
      </c>
      <c r="R2298" s="66"/>
      <c r="S2298" s="48"/>
      <c r="T2298" s="20"/>
      <c r="U2298" s="20"/>
      <c r="V2298" s="20"/>
      <c r="W2298" s="20"/>
      <c r="X2298" s="20"/>
      <c r="Y2298" s="20"/>
      <c r="Z2298" s="20"/>
      <c r="AA2298" s="20"/>
    </row>
    <row r="2299" spans="1:27" ht="12.75">
      <c r="A2299" s="54"/>
      <c r="B2299" s="10">
        <v>46176</v>
      </c>
      <c r="C2299" s="11">
        <f>VLOOKUP(B:B,'Курс валют'!A:D,4,0)</f>
        <v>84.6096</v>
      </c>
      <c r="D2299" s="57" t="s">
        <v>158</v>
      </c>
      <c r="E2299" s="21" t="s">
        <v>51</v>
      </c>
      <c r="F2299" s="58">
        <v>800</v>
      </c>
      <c r="G2299" s="13">
        <v>807.54</v>
      </c>
      <c r="H2299" s="56">
        <v>0</v>
      </c>
      <c r="I2299" s="13">
        <f t="shared" si="196"/>
        <v>7.5399999999999636</v>
      </c>
      <c r="J2299" s="14">
        <f t="shared" si="188"/>
        <v>0.94249999999999545</v>
      </c>
      <c r="K2299" s="56">
        <v>1.92</v>
      </c>
      <c r="L2299" s="15">
        <f t="shared" si="189"/>
        <v>0</v>
      </c>
      <c r="M2299" s="16">
        <f t="shared" si="190"/>
        <v>162.45043200000001</v>
      </c>
      <c r="N2299" s="17">
        <f t="shared" si="195"/>
        <v>1.92</v>
      </c>
      <c r="O2299" s="17">
        <f t="shared" si="191"/>
        <v>1536</v>
      </c>
      <c r="P2299" s="18">
        <f t="shared" si="192"/>
        <v>129960.3456</v>
      </c>
      <c r="R2299" s="66"/>
      <c r="S2299" s="48"/>
      <c r="T2299" s="20"/>
      <c r="U2299" s="20"/>
      <c r="V2299" s="20"/>
      <c r="W2299" s="20"/>
      <c r="X2299" s="20"/>
      <c r="Y2299" s="20"/>
      <c r="Z2299" s="20"/>
      <c r="AA2299" s="20"/>
    </row>
    <row r="2300" spans="1:27" ht="12.75">
      <c r="A2300" s="54"/>
      <c r="B2300" s="10">
        <v>46176</v>
      </c>
      <c r="C2300" s="11">
        <f>VLOOKUP(B:B,'Курс валют'!A:D,4,0)</f>
        <v>84.6096</v>
      </c>
      <c r="D2300" s="57" t="s">
        <v>159</v>
      </c>
      <c r="E2300" s="21" t="s">
        <v>51</v>
      </c>
      <c r="F2300" s="58">
        <v>800</v>
      </c>
      <c r="G2300" s="13">
        <v>807.54</v>
      </c>
      <c r="H2300" s="56">
        <v>0</v>
      </c>
      <c r="I2300" s="13">
        <f t="shared" si="196"/>
        <v>7.5399999999999636</v>
      </c>
      <c r="J2300" s="14">
        <f t="shared" si="188"/>
        <v>0.94249999999999545</v>
      </c>
      <c r="K2300" s="56">
        <v>1.92</v>
      </c>
      <c r="L2300" s="15">
        <f t="shared" si="189"/>
        <v>0</v>
      </c>
      <c r="M2300" s="16">
        <f t="shared" si="190"/>
        <v>162.45043200000001</v>
      </c>
      <c r="N2300" s="17">
        <f t="shared" si="195"/>
        <v>1.92</v>
      </c>
      <c r="O2300" s="17">
        <f t="shared" si="191"/>
        <v>1536</v>
      </c>
      <c r="P2300" s="18">
        <f t="shared" si="192"/>
        <v>129960.3456</v>
      </c>
      <c r="R2300" s="66"/>
      <c r="S2300" s="48"/>
      <c r="T2300" s="20"/>
      <c r="U2300" s="20"/>
      <c r="V2300" s="20"/>
      <c r="W2300" s="20"/>
      <c r="X2300" s="20"/>
      <c r="Y2300" s="20"/>
      <c r="Z2300" s="20"/>
      <c r="AA2300" s="20"/>
    </row>
    <row r="2301" spans="1:27" ht="12.75">
      <c r="A2301" s="54"/>
      <c r="B2301" s="10">
        <v>46176</v>
      </c>
      <c r="C2301" s="11">
        <f>VLOOKUP(B:B,'Курс валют'!A:D,4,0)</f>
        <v>84.6096</v>
      </c>
      <c r="D2301" s="57" t="s">
        <v>160</v>
      </c>
      <c r="E2301" s="21" t="s">
        <v>51</v>
      </c>
      <c r="F2301" s="58">
        <v>800</v>
      </c>
      <c r="G2301" s="13">
        <v>807.54</v>
      </c>
      <c r="H2301" s="56">
        <v>0</v>
      </c>
      <c r="I2301" s="13">
        <f t="shared" si="196"/>
        <v>7.5399999999999636</v>
      </c>
      <c r="J2301" s="14">
        <f t="shared" si="188"/>
        <v>0.94249999999999545</v>
      </c>
      <c r="K2301" s="56">
        <v>1.92</v>
      </c>
      <c r="L2301" s="15">
        <f t="shared" si="189"/>
        <v>0</v>
      </c>
      <c r="M2301" s="16">
        <f t="shared" si="190"/>
        <v>162.45043200000001</v>
      </c>
      <c r="N2301" s="17">
        <f t="shared" si="195"/>
        <v>1.92</v>
      </c>
      <c r="O2301" s="17">
        <f t="shared" si="191"/>
        <v>1536</v>
      </c>
      <c r="P2301" s="18">
        <f t="shared" si="192"/>
        <v>129960.3456</v>
      </c>
      <c r="R2301" s="66"/>
      <c r="S2301" s="48"/>
      <c r="T2301" s="20"/>
      <c r="U2301" s="20"/>
      <c r="V2301" s="20"/>
      <c r="W2301" s="20"/>
      <c r="X2301" s="20"/>
      <c r="Y2301" s="20"/>
      <c r="Z2301" s="20"/>
      <c r="AA2301" s="20"/>
    </row>
    <row r="2302" spans="1:27" ht="12.75">
      <c r="A2302" s="54"/>
      <c r="B2302" s="10">
        <v>46177</v>
      </c>
      <c r="C2302" s="11">
        <f>VLOOKUP(B:B,'Курс валют'!A:D,4,0)</f>
        <v>85.124300000000005</v>
      </c>
      <c r="D2302" s="57" t="s">
        <v>161</v>
      </c>
      <c r="E2302" s="21" t="s">
        <v>50</v>
      </c>
      <c r="F2302" s="58">
        <v>800</v>
      </c>
      <c r="G2302" s="13">
        <v>806.62</v>
      </c>
      <c r="H2302" s="56">
        <v>0</v>
      </c>
      <c r="I2302" s="13">
        <f t="shared" si="196"/>
        <v>6.6200000000000045</v>
      </c>
      <c r="J2302" s="14">
        <f t="shared" si="188"/>
        <v>0.82750000000000068</v>
      </c>
      <c r="K2302" s="56">
        <v>1.9</v>
      </c>
      <c r="L2302" s="15">
        <f t="shared" si="189"/>
        <v>0</v>
      </c>
      <c r="M2302" s="16">
        <f t="shared" si="190"/>
        <v>161.73617000000002</v>
      </c>
      <c r="N2302" s="17">
        <f t="shared" si="195"/>
        <v>1.9</v>
      </c>
      <c r="O2302" s="17">
        <f t="shared" si="191"/>
        <v>1520</v>
      </c>
      <c r="P2302" s="18">
        <f t="shared" si="192"/>
        <v>129388.936</v>
      </c>
      <c r="R2302" s="66"/>
      <c r="S2302" s="48"/>
      <c r="T2302" s="20"/>
      <c r="U2302" s="20"/>
      <c r="V2302" s="20"/>
      <c r="W2302" s="20"/>
      <c r="X2302" s="20"/>
      <c r="Y2302" s="20"/>
      <c r="Z2302" s="20"/>
      <c r="AA2302" s="20"/>
    </row>
    <row r="2303" spans="1:27" ht="12.75">
      <c r="A2303" s="54"/>
      <c r="B2303" s="10">
        <v>46177</v>
      </c>
      <c r="C2303" s="11">
        <f>VLOOKUP(B:B,'Курс валют'!A:D,4,0)</f>
        <v>85.124300000000005</v>
      </c>
      <c r="D2303" s="57" t="s">
        <v>162</v>
      </c>
      <c r="E2303" s="21" t="s">
        <v>50</v>
      </c>
      <c r="F2303" s="58">
        <v>800</v>
      </c>
      <c r="G2303" s="13">
        <v>806.62</v>
      </c>
      <c r="H2303" s="56">
        <v>0</v>
      </c>
      <c r="I2303" s="13">
        <f t="shared" si="196"/>
        <v>6.6200000000000045</v>
      </c>
      <c r="J2303" s="14">
        <f t="shared" si="188"/>
        <v>0.82750000000000068</v>
      </c>
      <c r="K2303" s="49">
        <v>1.89</v>
      </c>
      <c r="L2303" s="15">
        <f t="shared" si="189"/>
        <v>0</v>
      </c>
      <c r="M2303" s="16">
        <f t="shared" si="190"/>
        <v>160.884927</v>
      </c>
      <c r="N2303" s="17">
        <f t="shared" si="195"/>
        <v>1.89</v>
      </c>
      <c r="O2303" s="17">
        <f t="shared" si="191"/>
        <v>1512</v>
      </c>
      <c r="P2303" s="18">
        <f t="shared" si="192"/>
        <v>128707.94160000001</v>
      </c>
      <c r="R2303" s="66"/>
      <c r="S2303" s="20"/>
      <c r="T2303" s="20"/>
      <c r="U2303" s="20"/>
      <c r="V2303" s="20"/>
      <c r="W2303" s="20"/>
      <c r="X2303" s="20"/>
      <c r="Y2303" s="20"/>
      <c r="Z2303" s="20"/>
      <c r="AA2303" s="20"/>
    </row>
    <row r="2304" spans="1:27" ht="12.75">
      <c r="A2304" s="54"/>
      <c r="B2304" s="10">
        <v>46177</v>
      </c>
      <c r="C2304" s="11">
        <f>VLOOKUP(B:B,'Курс валют'!A:D,4,0)</f>
        <v>85.124300000000005</v>
      </c>
      <c r="D2304" s="57" t="s">
        <v>163</v>
      </c>
      <c r="E2304" s="21" t="s">
        <v>50</v>
      </c>
      <c r="F2304" s="58">
        <v>800</v>
      </c>
      <c r="G2304" s="13">
        <v>806.62</v>
      </c>
      <c r="H2304" s="56">
        <v>0</v>
      </c>
      <c r="I2304" s="13">
        <f t="shared" si="196"/>
        <v>6.6200000000000045</v>
      </c>
      <c r="J2304" s="14">
        <f t="shared" si="188"/>
        <v>0.82750000000000068</v>
      </c>
      <c r="K2304" s="49">
        <v>1.89</v>
      </c>
      <c r="L2304" s="15">
        <f t="shared" si="189"/>
        <v>0</v>
      </c>
      <c r="M2304" s="16">
        <f t="shared" si="190"/>
        <v>160.884927</v>
      </c>
      <c r="N2304" s="17">
        <f>(F2304*K2304-H2304*22.5)/F2304</f>
        <v>1.89</v>
      </c>
      <c r="O2304" s="17">
        <f t="shared" si="191"/>
        <v>1512</v>
      </c>
      <c r="P2304" s="18">
        <f t="shared" si="192"/>
        <v>128707.94160000001</v>
      </c>
      <c r="R2304" s="66"/>
      <c r="S2304" s="20"/>
      <c r="T2304" s="20"/>
      <c r="U2304" s="20"/>
      <c r="V2304" s="20"/>
      <c r="W2304" s="20"/>
      <c r="X2304" s="20"/>
      <c r="Y2304" s="20"/>
      <c r="Z2304" s="20"/>
      <c r="AA2304" s="20"/>
    </row>
    <row r="2305" spans="1:27" ht="12.75">
      <c r="A2305" s="54"/>
      <c r="B2305" s="10">
        <v>46177</v>
      </c>
      <c r="C2305" s="11">
        <f>VLOOKUP(B:B,'Курс валют'!A:D,4,0)</f>
        <v>85.124300000000005</v>
      </c>
      <c r="D2305" s="57" t="s">
        <v>164</v>
      </c>
      <c r="E2305" s="21" t="s">
        <v>50</v>
      </c>
      <c r="F2305" s="58">
        <v>800</v>
      </c>
      <c r="G2305" s="13">
        <v>806.62</v>
      </c>
      <c r="H2305" s="56">
        <v>0</v>
      </c>
      <c r="I2305" s="13">
        <f t="shared" si="196"/>
        <v>6.6200000000000045</v>
      </c>
      <c r="J2305" s="14">
        <f t="shared" si="188"/>
        <v>0.82750000000000068</v>
      </c>
      <c r="K2305" s="49">
        <v>1.89</v>
      </c>
      <c r="L2305" s="15">
        <f t="shared" si="189"/>
        <v>0</v>
      </c>
      <c r="M2305" s="16">
        <f t="shared" si="190"/>
        <v>160.884927</v>
      </c>
      <c r="N2305" s="17">
        <f t="shared" ref="N2305:N2529" si="197">(F2305*K2305-H2305*3.04)/F2305</f>
        <v>1.89</v>
      </c>
      <c r="O2305" s="17">
        <f t="shared" si="191"/>
        <v>1512</v>
      </c>
      <c r="P2305" s="18">
        <f t="shared" si="192"/>
        <v>128707.94160000001</v>
      </c>
      <c r="R2305" s="66"/>
      <c r="S2305" s="19"/>
      <c r="T2305" s="20"/>
      <c r="U2305" s="20"/>
      <c r="V2305" s="20"/>
      <c r="W2305" s="20"/>
      <c r="X2305" s="20"/>
      <c r="Y2305" s="20"/>
      <c r="Z2305" s="20"/>
      <c r="AA2305" s="20"/>
    </row>
    <row r="2306" spans="1:27" ht="12.75">
      <c r="A2306" s="54"/>
      <c r="B2306" s="10">
        <v>46177</v>
      </c>
      <c r="C2306" s="11">
        <f>VLOOKUP(B:B,'Курс валют'!A:D,4,0)</f>
        <v>85.124300000000005</v>
      </c>
      <c r="D2306" s="57" t="s">
        <v>165</v>
      </c>
      <c r="E2306" s="21" t="s">
        <v>50</v>
      </c>
      <c r="F2306" s="58">
        <v>800</v>
      </c>
      <c r="G2306" s="13">
        <v>806.62</v>
      </c>
      <c r="H2306" s="56">
        <v>0</v>
      </c>
      <c r="I2306" s="13">
        <f t="shared" si="196"/>
        <v>6.6200000000000045</v>
      </c>
      <c r="J2306" s="14">
        <f t="shared" si="188"/>
        <v>0.82750000000000068</v>
      </c>
      <c r="K2306" s="49">
        <v>1.9</v>
      </c>
      <c r="L2306" s="15">
        <f t="shared" si="189"/>
        <v>0</v>
      </c>
      <c r="M2306" s="16">
        <f t="shared" si="190"/>
        <v>161.73617000000002</v>
      </c>
      <c r="N2306" s="17">
        <f t="shared" si="197"/>
        <v>1.9</v>
      </c>
      <c r="O2306" s="17">
        <f t="shared" si="191"/>
        <v>1520</v>
      </c>
      <c r="P2306" s="18">
        <f t="shared" si="192"/>
        <v>129388.936</v>
      </c>
      <c r="R2306" s="66"/>
      <c r="S2306" s="19"/>
      <c r="T2306" s="20"/>
      <c r="U2306" s="20"/>
      <c r="V2306" s="20"/>
      <c r="W2306" s="20"/>
      <c r="X2306" s="20"/>
      <c r="Y2306" s="20"/>
      <c r="Z2306" s="20"/>
      <c r="AA2306" s="20"/>
    </row>
    <row r="2307" spans="1:27" ht="12.75">
      <c r="A2307" s="54"/>
      <c r="B2307" s="10">
        <v>46177</v>
      </c>
      <c r="C2307" s="11">
        <f>VLOOKUP(B:B,'Курс валют'!A:D,4,0)</f>
        <v>85.124300000000005</v>
      </c>
      <c r="D2307" s="57" t="s">
        <v>166</v>
      </c>
      <c r="E2307" s="50" t="s">
        <v>167</v>
      </c>
      <c r="F2307" s="58">
        <v>99</v>
      </c>
      <c r="G2307" s="51">
        <v>99</v>
      </c>
      <c r="H2307" s="56">
        <v>0</v>
      </c>
      <c r="I2307" s="13">
        <f t="shared" si="196"/>
        <v>0</v>
      </c>
      <c r="J2307" s="14">
        <f t="shared" si="188"/>
        <v>0</v>
      </c>
      <c r="K2307" s="49">
        <v>2.42</v>
      </c>
      <c r="L2307" s="15">
        <f t="shared" si="189"/>
        <v>0</v>
      </c>
      <c r="M2307" s="16">
        <f t="shared" si="190"/>
        <v>206.00080600000001</v>
      </c>
      <c r="N2307" s="17">
        <f t="shared" si="197"/>
        <v>2.42</v>
      </c>
      <c r="O2307" s="17">
        <f t="shared" si="191"/>
        <v>239.57999999999998</v>
      </c>
      <c r="P2307" s="18">
        <f t="shared" si="192"/>
        <v>20394.079794000001</v>
      </c>
      <c r="R2307" s="66" t="s">
        <v>168</v>
      </c>
      <c r="S2307" s="19"/>
      <c r="T2307" s="20"/>
      <c r="U2307" s="20"/>
      <c r="V2307" s="20"/>
      <c r="W2307" s="20"/>
      <c r="X2307" s="20"/>
      <c r="Y2307" s="20"/>
      <c r="Z2307" s="20"/>
      <c r="AA2307" s="20"/>
    </row>
    <row r="2308" spans="1:27" ht="12.75">
      <c r="A2308" s="54"/>
      <c r="B2308" s="10">
        <v>46177</v>
      </c>
      <c r="C2308" s="11">
        <f>VLOOKUP(B:B,'Курс валют'!A:D,4,0)</f>
        <v>85.124300000000005</v>
      </c>
      <c r="D2308" s="57" t="s">
        <v>169</v>
      </c>
      <c r="E2308" s="50" t="s">
        <v>50</v>
      </c>
      <c r="F2308" s="58">
        <v>800</v>
      </c>
      <c r="G2308" s="51">
        <v>806.62</v>
      </c>
      <c r="H2308" s="56">
        <v>0</v>
      </c>
      <c r="I2308" s="13">
        <f t="shared" si="196"/>
        <v>6.6200000000000045</v>
      </c>
      <c r="J2308" s="14">
        <f t="shared" si="188"/>
        <v>0.82750000000000068</v>
      </c>
      <c r="K2308" s="49">
        <v>1.89</v>
      </c>
      <c r="L2308" s="15">
        <f t="shared" si="189"/>
        <v>0</v>
      </c>
      <c r="M2308" s="16">
        <f t="shared" si="190"/>
        <v>160.884927</v>
      </c>
      <c r="N2308" s="17">
        <f t="shared" si="197"/>
        <v>1.89</v>
      </c>
      <c r="O2308" s="17">
        <f t="shared" si="191"/>
        <v>1512</v>
      </c>
      <c r="P2308" s="18">
        <f t="shared" si="192"/>
        <v>128707.94160000001</v>
      </c>
      <c r="R2308" s="66"/>
      <c r="S2308" s="19"/>
      <c r="T2308" s="20"/>
      <c r="U2308" s="20"/>
      <c r="V2308" s="20"/>
      <c r="W2308" s="20"/>
      <c r="X2308" s="20"/>
      <c r="Y2308" s="20"/>
      <c r="Z2308" s="20"/>
      <c r="AA2308" s="20"/>
    </row>
    <row r="2309" spans="1:27" ht="12.75">
      <c r="A2309" s="54"/>
      <c r="B2309" s="10">
        <v>46177</v>
      </c>
      <c r="C2309" s="11">
        <f>VLOOKUP(B:B,'Курс валют'!A:D,4,0)</f>
        <v>85.124300000000005</v>
      </c>
      <c r="D2309" s="57" t="s">
        <v>170</v>
      </c>
      <c r="E2309" s="50" t="s">
        <v>171</v>
      </c>
      <c r="F2309" s="58">
        <v>40</v>
      </c>
      <c r="G2309" s="51">
        <v>40</v>
      </c>
      <c r="H2309" s="56">
        <v>0</v>
      </c>
      <c r="I2309" s="13">
        <f t="shared" si="196"/>
        <v>0</v>
      </c>
      <c r="J2309" s="14">
        <f t="shared" si="188"/>
        <v>0</v>
      </c>
      <c r="K2309" s="49">
        <v>3.32</v>
      </c>
      <c r="L2309" s="15">
        <f t="shared" si="189"/>
        <v>0</v>
      </c>
      <c r="M2309" s="16">
        <f t="shared" si="190"/>
        <v>282.61267599999996</v>
      </c>
      <c r="N2309" s="17">
        <f t="shared" si="197"/>
        <v>3.3199999999999994</v>
      </c>
      <c r="O2309" s="17">
        <f t="shared" si="191"/>
        <v>132.79999999999998</v>
      </c>
      <c r="P2309" s="18">
        <f t="shared" si="192"/>
        <v>11304.507039999999</v>
      </c>
      <c r="R2309" s="66" t="s">
        <v>172</v>
      </c>
      <c r="S2309" s="19"/>
      <c r="T2309" s="20"/>
      <c r="U2309" s="20"/>
      <c r="V2309" s="20"/>
      <c r="W2309" s="20"/>
      <c r="X2309" s="20"/>
      <c r="Y2309" s="20"/>
      <c r="Z2309" s="20"/>
      <c r="AA2309" s="20"/>
    </row>
    <row r="2310" spans="1:27" ht="12.75">
      <c r="A2310" s="54"/>
      <c r="B2310" s="10">
        <v>46177</v>
      </c>
      <c r="C2310" s="11">
        <f>VLOOKUP(B:B,'Курс валют'!A:D,4,0)</f>
        <v>85.124300000000005</v>
      </c>
      <c r="D2310" s="57" t="s">
        <v>173</v>
      </c>
      <c r="E2310" s="50" t="s">
        <v>50</v>
      </c>
      <c r="F2310" s="58">
        <v>800</v>
      </c>
      <c r="G2310" s="51">
        <v>806.62</v>
      </c>
      <c r="H2310" s="56">
        <v>0</v>
      </c>
      <c r="I2310" s="13">
        <f t="shared" si="196"/>
        <v>6.6200000000000045</v>
      </c>
      <c r="J2310" s="14">
        <f t="shared" si="188"/>
        <v>0.82750000000000068</v>
      </c>
      <c r="K2310" s="49">
        <v>1.89</v>
      </c>
      <c r="L2310" s="15">
        <f t="shared" si="189"/>
        <v>0</v>
      </c>
      <c r="M2310" s="16">
        <f t="shared" si="190"/>
        <v>160.884927</v>
      </c>
      <c r="N2310" s="17">
        <f t="shared" si="197"/>
        <v>1.89</v>
      </c>
      <c r="O2310" s="17">
        <f t="shared" si="191"/>
        <v>1512</v>
      </c>
      <c r="P2310" s="18">
        <f t="shared" si="192"/>
        <v>128707.94160000001</v>
      </c>
      <c r="R2310" s="66"/>
      <c r="S2310" s="19"/>
      <c r="T2310" s="20"/>
      <c r="U2310" s="20"/>
      <c r="V2310" s="20"/>
      <c r="W2310" s="20"/>
      <c r="X2310" s="20"/>
      <c r="Y2310" s="20"/>
      <c r="Z2310" s="20"/>
      <c r="AA2310" s="20"/>
    </row>
    <row r="2311" spans="1:27" ht="12.75">
      <c r="A2311" s="54"/>
      <c r="B2311" s="10">
        <v>46177</v>
      </c>
      <c r="C2311" s="11">
        <f>VLOOKUP(B:B,'Курс валют'!A:D,4,0)</f>
        <v>85.124300000000005</v>
      </c>
      <c r="D2311" s="57" t="s">
        <v>174</v>
      </c>
      <c r="E2311" s="50" t="s">
        <v>50</v>
      </c>
      <c r="F2311" s="58">
        <v>800</v>
      </c>
      <c r="G2311" s="51">
        <v>806.62</v>
      </c>
      <c r="H2311" s="56">
        <v>0</v>
      </c>
      <c r="I2311" s="13">
        <f t="shared" si="196"/>
        <v>6.6200000000000045</v>
      </c>
      <c r="J2311" s="14">
        <f t="shared" si="188"/>
        <v>0.82750000000000068</v>
      </c>
      <c r="K2311" s="49">
        <v>1.89</v>
      </c>
      <c r="L2311" s="15">
        <f t="shared" si="189"/>
        <v>0</v>
      </c>
      <c r="M2311" s="16">
        <f t="shared" si="190"/>
        <v>160.884927</v>
      </c>
      <c r="N2311" s="17">
        <f t="shared" si="197"/>
        <v>1.89</v>
      </c>
      <c r="O2311" s="17">
        <f t="shared" si="191"/>
        <v>1512</v>
      </c>
      <c r="P2311" s="18">
        <f t="shared" si="192"/>
        <v>128707.94160000001</v>
      </c>
      <c r="R2311" s="66"/>
      <c r="S2311" s="19"/>
      <c r="T2311" s="20"/>
      <c r="U2311" s="20"/>
      <c r="V2311" s="20"/>
      <c r="W2311" s="20"/>
      <c r="X2311" s="20"/>
      <c r="Y2311" s="20"/>
      <c r="Z2311" s="20"/>
      <c r="AA2311" s="20"/>
    </row>
    <row r="2312" spans="1:27" ht="12.75">
      <c r="A2312" s="54"/>
      <c r="B2312" s="10">
        <v>46177</v>
      </c>
      <c r="C2312" s="11">
        <f>VLOOKUP(B:B,'Курс валют'!A:D,4,0)</f>
        <v>85.124300000000005</v>
      </c>
      <c r="D2312" s="57" t="s">
        <v>175</v>
      </c>
      <c r="E2312" s="50" t="s">
        <v>60</v>
      </c>
      <c r="F2312" s="58">
        <v>2250</v>
      </c>
      <c r="G2312" s="51">
        <v>2295.4</v>
      </c>
      <c r="H2312" s="56">
        <v>0</v>
      </c>
      <c r="I2312" s="13">
        <f t="shared" si="196"/>
        <v>45.400000000000091</v>
      </c>
      <c r="J2312" s="14">
        <f t="shared" si="188"/>
        <v>2.0177777777777819</v>
      </c>
      <c r="K2312" s="56">
        <v>2.1800000000000002</v>
      </c>
      <c r="L2312" s="15">
        <f t="shared" si="189"/>
        <v>0</v>
      </c>
      <c r="M2312" s="16">
        <f t="shared" si="190"/>
        <v>185.57097400000001</v>
      </c>
      <c r="N2312" s="17">
        <f t="shared" si="197"/>
        <v>2.1800000000000002</v>
      </c>
      <c r="O2312" s="17">
        <f t="shared" si="191"/>
        <v>4905</v>
      </c>
      <c r="P2312" s="18">
        <f t="shared" si="192"/>
        <v>417534.69150000002</v>
      </c>
      <c r="R2312" s="66"/>
      <c r="S2312" s="20"/>
      <c r="T2312" s="20"/>
      <c r="U2312" s="20"/>
      <c r="V2312" s="20"/>
      <c r="W2312" s="20"/>
      <c r="X2312" s="20"/>
      <c r="Y2312" s="20"/>
      <c r="Z2312" s="20"/>
      <c r="AA2312" s="20"/>
    </row>
    <row r="2313" spans="1:27" ht="12.75">
      <c r="A2313" s="54"/>
      <c r="B2313" s="10">
        <v>46177</v>
      </c>
      <c r="C2313" s="11">
        <f>VLOOKUP(B:B,'Курс валют'!A:D,4,0)</f>
        <v>85.124300000000005</v>
      </c>
      <c r="D2313" s="57" t="s">
        <v>176</v>
      </c>
      <c r="E2313" s="50" t="s">
        <v>50</v>
      </c>
      <c r="F2313" s="58">
        <v>800</v>
      </c>
      <c r="G2313" s="51">
        <v>806.62</v>
      </c>
      <c r="H2313" s="56">
        <v>0</v>
      </c>
      <c r="I2313" s="13">
        <f t="shared" si="196"/>
        <v>6.6200000000000045</v>
      </c>
      <c r="J2313" s="14">
        <f t="shared" si="188"/>
        <v>0.82750000000000068</v>
      </c>
      <c r="K2313" s="49">
        <v>1.9</v>
      </c>
      <c r="L2313" s="15">
        <f t="shared" si="189"/>
        <v>0</v>
      </c>
      <c r="M2313" s="16">
        <f t="shared" si="190"/>
        <v>161.73617000000002</v>
      </c>
      <c r="N2313" s="17">
        <f t="shared" si="197"/>
        <v>1.9</v>
      </c>
      <c r="O2313" s="17">
        <f t="shared" si="191"/>
        <v>1520</v>
      </c>
      <c r="P2313" s="18">
        <f t="shared" si="192"/>
        <v>129388.936</v>
      </c>
      <c r="R2313" s="66"/>
      <c r="S2313" s="20"/>
      <c r="T2313" s="20"/>
      <c r="U2313" s="20"/>
      <c r="V2313" s="20"/>
      <c r="W2313" s="20"/>
      <c r="X2313" s="20"/>
      <c r="Y2313" s="20"/>
      <c r="Z2313" s="20"/>
      <c r="AA2313" s="20"/>
    </row>
    <row r="2314" spans="1:27" ht="12.75">
      <c r="A2314" s="54"/>
      <c r="B2314" s="10">
        <v>46177</v>
      </c>
      <c r="C2314" s="11">
        <f>VLOOKUP(B:B,'Курс валют'!A:D,4,0)</f>
        <v>85.124300000000005</v>
      </c>
      <c r="D2314" s="57" t="s">
        <v>177</v>
      </c>
      <c r="E2314" s="50" t="s">
        <v>50</v>
      </c>
      <c r="F2314" s="58">
        <v>800</v>
      </c>
      <c r="G2314" s="51">
        <v>806.62</v>
      </c>
      <c r="H2314" s="56">
        <v>0</v>
      </c>
      <c r="I2314" s="13">
        <f t="shared" si="196"/>
        <v>6.6200000000000045</v>
      </c>
      <c r="J2314" s="14">
        <f t="shared" si="188"/>
        <v>0.82750000000000068</v>
      </c>
      <c r="K2314" s="49">
        <v>1.89</v>
      </c>
      <c r="L2314" s="15">
        <f t="shared" si="189"/>
        <v>0</v>
      </c>
      <c r="M2314" s="16">
        <f t="shared" si="190"/>
        <v>160.884927</v>
      </c>
      <c r="N2314" s="17">
        <f t="shared" si="197"/>
        <v>1.89</v>
      </c>
      <c r="O2314" s="17">
        <f t="shared" si="191"/>
        <v>1512</v>
      </c>
      <c r="P2314" s="18">
        <f t="shared" si="192"/>
        <v>128707.94160000001</v>
      </c>
      <c r="R2314" s="66"/>
      <c r="S2314" s="19"/>
      <c r="T2314" s="20"/>
      <c r="U2314" s="20"/>
      <c r="V2314" s="20"/>
      <c r="W2314" s="20"/>
      <c r="X2314" s="20"/>
      <c r="Y2314" s="20"/>
      <c r="Z2314" s="20"/>
      <c r="AA2314" s="20"/>
    </row>
    <row r="2315" spans="1:27" ht="12.75">
      <c r="A2315" s="54"/>
      <c r="B2315" s="10">
        <v>46178</v>
      </c>
      <c r="C2315" s="11">
        <f>VLOOKUP(B:B,'Курс валют'!A:D,4,0)</f>
        <v>86.271199999999993</v>
      </c>
      <c r="D2315" s="57" t="s">
        <v>178</v>
      </c>
      <c r="E2315" s="50" t="s">
        <v>68</v>
      </c>
      <c r="F2315" s="58">
        <v>200</v>
      </c>
      <c r="G2315" s="52">
        <v>200</v>
      </c>
      <c r="H2315" s="56">
        <v>0</v>
      </c>
      <c r="I2315" s="13">
        <f t="shared" si="196"/>
        <v>0</v>
      </c>
      <c r="J2315" s="14">
        <f t="shared" si="188"/>
        <v>0</v>
      </c>
      <c r="K2315" s="56">
        <v>2.2999999999999998</v>
      </c>
      <c r="L2315" s="15">
        <f t="shared" si="189"/>
        <v>0</v>
      </c>
      <c r="M2315" s="16">
        <f t="shared" si="190"/>
        <v>198.42375999999996</v>
      </c>
      <c r="N2315" s="17">
        <f t="shared" si="197"/>
        <v>2.2999999999999998</v>
      </c>
      <c r="O2315" s="17">
        <f t="shared" si="191"/>
        <v>459.99999999999994</v>
      </c>
      <c r="P2315" s="18">
        <f t="shared" si="192"/>
        <v>39684.751999999993</v>
      </c>
      <c r="R2315" s="66" t="s">
        <v>179</v>
      </c>
      <c r="S2315" s="19"/>
      <c r="T2315" s="20"/>
      <c r="U2315" s="20"/>
      <c r="V2315" s="20"/>
      <c r="W2315" s="20"/>
      <c r="X2315" s="20"/>
      <c r="Y2315" s="20"/>
      <c r="Z2315" s="20"/>
      <c r="AA2315" s="20"/>
    </row>
    <row r="2316" spans="1:27" ht="12.75">
      <c r="A2316" s="54"/>
      <c r="B2316" s="10">
        <v>46178</v>
      </c>
      <c r="C2316" s="11">
        <f>VLOOKUP(B:B,'Курс валют'!A:D,4,0)</f>
        <v>86.271199999999993</v>
      </c>
      <c r="D2316" s="57" t="s">
        <v>180</v>
      </c>
      <c r="E2316" s="50" t="s">
        <v>68</v>
      </c>
      <c r="F2316" s="58">
        <v>200</v>
      </c>
      <c r="G2316" s="52">
        <v>200</v>
      </c>
      <c r="H2316" s="56">
        <v>0</v>
      </c>
      <c r="I2316" s="13">
        <f t="shared" si="196"/>
        <v>0</v>
      </c>
      <c r="J2316" s="14">
        <f t="shared" si="188"/>
        <v>0</v>
      </c>
      <c r="K2316" s="56">
        <v>2.2999999999999998</v>
      </c>
      <c r="L2316" s="15">
        <f t="shared" si="189"/>
        <v>0</v>
      </c>
      <c r="M2316" s="16">
        <f t="shared" si="190"/>
        <v>198.42375999999996</v>
      </c>
      <c r="N2316" s="17">
        <f t="shared" si="197"/>
        <v>2.2999999999999998</v>
      </c>
      <c r="O2316" s="17">
        <f t="shared" si="191"/>
        <v>459.99999999999994</v>
      </c>
      <c r="P2316" s="18">
        <f t="shared" si="192"/>
        <v>39684.751999999993</v>
      </c>
      <c r="R2316" s="66" t="s">
        <v>179</v>
      </c>
      <c r="S2316" s="19"/>
      <c r="T2316" s="20"/>
      <c r="U2316" s="20"/>
      <c r="V2316" s="20"/>
      <c r="W2316" s="20"/>
      <c r="X2316" s="20"/>
      <c r="Y2316" s="20"/>
      <c r="Z2316" s="20"/>
      <c r="AA2316" s="20"/>
    </row>
    <row r="2317" spans="1:27" ht="12.75">
      <c r="A2317" s="54"/>
      <c r="B2317" s="10">
        <v>46178</v>
      </c>
      <c r="C2317" s="11">
        <f>VLOOKUP(B:B,'Курс валют'!A:D,4,0)</f>
        <v>86.271199999999993</v>
      </c>
      <c r="D2317" s="57" t="s">
        <v>181</v>
      </c>
      <c r="E2317" s="50" t="s">
        <v>68</v>
      </c>
      <c r="F2317" s="58">
        <v>200</v>
      </c>
      <c r="G2317" s="52">
        <v>200</v>
      </c>
      <c r="H2317" s="56">
        <v>0</v>
      </c>
      <c r="I2317" s="13">
        <f t="shared" si="196"/>
        <v>0</v>
      </c>
      <c r="J2317" s="14">
        <f t="shared" si="188"/>
        <v>0</v>
      </c>
      <c r="K2317" s="56">
        <v>2.2999999999999998</v>
      </c>
      <c r="L2317" s="15">
        <f t="shared" si="189"/>
        <v>0</v>
      </c>
      <c r="M2317" s="16">
        <f t="shared" si="190"/>
        <v>198.42375999999996</v>
      </c>
      <c r="N2317" s="17">
        <f t="shared" si="197"/>
        <v>2.2999999999999998</v>
      </c>
      <c r="O2317" s="17">
        <f t="shared" si="191"/>
        <v>459.99999999999994</v>
      </c>
      <c r="P2317" s="18">
        <f t="shared" si="192"/>
        <v>39684.751999999993</v>
      </c>
      <c r="R2317" s="66" t="s">
        <v>179</v>
      </c>
      <c r="S2317" s="19"/>
      <c r="T2317" s="20"/>
      <c r="U2317" s="20"/>
      <c r="V2317" s="20"/>
      <c r="W2317" s="20"/>
      <c r="X2317" s="20"/>
      <c r="Y2317" s="20"/>
      <c r="Z2317" s="20"/>
      <c r="AA2317" s="20"/>
    </row>
    <row r="2318" spans="1:27" ht="12.75">
      <c r="A2318" s="54"/>
      <c r="B2318" s="10">
        <v>46178</v>
      </c>
      <c r="C2318" s="11">
        <f>VLOOKUP(B:B,'Курс валют'!A:D,4,0)</f>
        <v>86.271199999999993</v>
      </c>
      <c r="D2318" s="57" t="s">
        <v>182</v>
      </c>
      <c r="E2318" s="50" t="s">
        <v>68</v>
      </c>
      <c r="F2318" s="58">
        <v>200</v>
      </c>
      <c r="G2318" s="52">
        <v>200</v>
      </c>
      <c r="H2318" s="56">
        <v>0</v>
      </c>
      <c r="I2318" s="13">
        <f t="shared" si="196"/>
        <v>0</v>
      </c>
      <c r="J2318" s="14">
        <f t="shared" si="188"/>
        <v>0</v>
      </c>
      <c r="K2318" s="56">
        <v>2.2999999999999998</v>
      </c>
      <c r="L2318" s="15">
        <f t="shared" si="189"/>
        <v>0</v>
      </c>
      <c r="M2318" s="16">
        <f t="shared" si="190"/>
        <v>198.42375999999996</v>
      </c>
      <c r="N2318" s="17">
        <f t="shared" si="197"/>
        <v>2.2999999999999998</v>
      </c>
      <c r="O2318" s="17">
        <f t="shared" si="191"/>
        <v>459.99999999999994</v>
      </c>
      <c r="P2318" s="18">
        <f t="shared" si="192"/>
        <v>39684.751999999993</v>
      </c>
      <c r="R2318" s="66" t="s">
        <v>179</v>
      </c>
      <c r="S2318" s="19"/>
      <c r="T2318" s="20"/>
      <c r="U2318" s="20"/>
      <c r="V2318" s="20"/>
      <c r="W2318" s="20"/>
      <c r="X2318" s="20"/>
      <c r="Y2318" s="20"/>
      <c r="Z2318" s="20"/>
      <c r="AA2318" s="20"/>
    </row>
    <row r="2319" spans="1:27" ht="12.75">
      <c r="A2319" s="54"/>
      <c r="B2319" s="10">
        <v>46178</v>
      </c>
      <c r="C2319" s="11">
        <f>VLOOKUP(B:B,'Курс валют'!A:D,4,0)</f>
        <v>86.271199999999993</v>
      </c>
      <c r="D2319" s="57" t="s">
        <v>183</v>
      </c>
      <c r="E2319" s="50" t="s">
        <v>68</v>
      </c>
      <c r="F2319" s="58">
        <v>200</v>
      </c>
      <c r="G2319" s="52">
        <v>200</v>
      </c>
      <c r="H2319" s="56">
        <v>0</v>
      </c>
      <c r="I2319" s="13">
        <f t="shared" si="196"/>
        <v>0</v>
      </c>
      <c r="J2319" s="14">
        <f t="shared" si="188"/>
        <v>0</v>
      </c>
      <c r="K2319" s="56">
        <v>2.2999999999999998</v>
      </c>
      <c r="L2319" s="15">
        <f t="shared" si="189"/>
        <v>0</v>
      </c>
      <c r="M2319" s="16">
        <f t="shared" si="190"/>
        <v>198.42375999999996</v>
      </c>
      <c r="N2319" s="17">
        <f t="shared" si="197"/>
        <v>2.2999999999999998</v>
      </c>
      <c r="O2319" s="17">
        <f t="shared" si="191"/>
        <v>459.99999999999994</v>
      </c>
      <c r="P2319" s="18">
        <f t="shared" si="192"/>
        <v>39684.751999999993</v>
      </c>
      <c r="R2319" s="66" t="s">
        <v>179</v>
      </c>
      <c r="S2319" s="19"/>
      <c r="T2319" s="20"/>
      <c r="U2319" s="20"/>
      <c r="V2319" s="20"/>
      <c r="W2319" s="20"/>
      <c r="X2319" s="20"/>
      <c r="Y2319" s="20"/>
      <c r="Z2319" s="20"/>
      <c r="AA2319" s="20"/>
    </row>
    <row r="2320" spans="1:27" ht="12.75">
      <c r="A2320" s="54"/>
      <c r="B2320" s="10">
        <v>46178</v>
      </c>
      <c r="C2320" s="11">
        <f>VLOOKUP(B:B,'Курс валют'!A:D,4,0)</f>
        <v>86.271199999999993</v>
      </c>
      <c r="D2320" s="57" t="s">
        <v>184</v>
      </c>
      <c r="E2320" s="50" t="s">
        <v>68</v>
      </c>
      <c r="F2320" s="58">
        <v>971</v>
      </c>
      <c r="G2320" s="52">
        <v>1000</v>
      </c>
      <c r="H2320" s="56">
        <v>0</v>
      </c>
      <c r="I2320" s="13">
        <f t="shared" si="196"/>
        <v>29</v>
      </c>
      <c r="J2320" s="14">
        <f t="shared" si="188"/>
        <v>2.9866117404737382</v>
      </c>
      <c r="K2320" s="53">
        <v>2.4900000000000002</v>
      </c>
      <c r="L2320" s="15">
        <f t="shared" si="189"/>
        <v>0</v>
      </c>
      <c r="M2320" s="16">
        <f t="shared" si="190"/>
        <v>214.81528800000001</v>
      </c>
      <c r="N2320" s="17">
        <f t="shared" si="197"/>
        <v>2.4900000000000002</v>
      </c>
      <c r="O2320" s="17">
        <f t="shared" si="191"/>
        <v>2417.7900000000004</v>
      </c>
      <c r="P2320" s="18">
        <f t="shared" si="192"/>
        <v>208585.64464800002</v>
      </c>
      <c r="R2320" s="66" t="s">
        <v>185</v>
      </c>
      <c r="S2320" s="19"/>
      <c r="T2320" s="20"/>
      <c r="U2320" s="20"/>
      <c r="V2320" s="20"/>
      <c r="W2320" s="20"/>
      <c r="X2320" s="20"/>
      <c r="Y2320" s="20"/>
      <c r="Z2320" s="20"/>
      <c r="AA2320" s="20"/>
    </row>
    <row r="2321" spans="1:27" ht="12.75">
      <c r="A2321" s="54"/>
      <c r="B2321" s="10">
        <v>46178</v>
      </c>
      <c r="C2321" s="11">
        <f>VLOOKUP(B:B,'Курс валют'!A:D,4,0)</f>
        <v>86.271199999999993</v>
      </c>
      <c r="D2321" s="57" t="s">
        <v>186</v>
      </c>
      <c r="E2321" s="50" t="s">
        <v>15</v>
      </c>
      <c r="F2321" s="58">
        <v>1100</v>
      </c>
      <c r="G2321" s="52">
        <v>1108.5</v>
      </c>
      <c r="H2321" s="49">
        <v>0</v>
      </c>
      <c r="I2321" s="13">
        <f t="shared" si="196"/>
        <v>8.5</v>
      </c>
      <c r="J2321" s="14">
        <f t="shared" si="188"/>
        <v>0.77272727272727271</v>
      </c>
      <c r="K2321" s="53">
        <v>2.81</v>
      </c>
      <c r="L2321" s="15">
        <f t="shared" si="189"/>
        <v>0</v>
      </c>
      <c r="M2321" s="16">
        <f t="shared" si="190"/>
        <v>242.42207199999999</v>
      </c>
      <c r="N2321" s="17">
        <f t="shared" si="197"/>
        <v>2.81</v>
      </c>
      <c r="O2321" s="17">
        <f t="shared" si="191"/>
        <v>3091</v>
      </c>
      <c r="P2321" s="18">
        <f t="shared" si="192"/>
        <v>266664.27919999999</v>
      </c>
      <c r="R2321" s="66"/>
      <c r="S2321" s="19"/>
      <c r="T2321" s="20"/>
      <c r="U2321" s="20"/>
      <c r="V2321" s="20"/>
      <c r="W2321" s="20"/>
      <c r="X2321" s="20"/>
      <c r="Y2321" s="20"/>
      <c r="Z2321" s="20"/>
      <c r="AA2321" s="20"/>
    </row>
    <row r="2322" spans="1:27" ht="12.75">
      <c r="A2322" s="54"/>
      <c r="B2322" s="10">
        <v>46178</v>
      </c>
      <c r="C2322" s="11">
        <f>VLOOKUP(B:B,'Курс валют'!A:D,4,0)</f>
        <v>86.271199999999993</v>
      </c>
      <c r="D2322" s="57" t="s">
        <v>187</v>
      </c>
      <c r="E2322" s="50" t="s">
        <v>15</v>
      </c>
      <c r="F2322" s="58">
        <v>1100</v>
      </c>
      <c r="G2322" s="52">
        <v>1108.5</v>
      </c>
      <c r="H2322" s="56">
        <v>0</v>
      </c>
      <c r="I2322" s="13">
        <f t="shared" si="196"/>
        <v>8.5</v>
      </c>
      <c r="J2322" s="14">
        <f t="shared" si="188"/>
        <v>0.77272727272727271</v>
      </c>
      <c r="K2322" s="56">
        <v>2.41</v>
      </c>
      <c r="L2322" s="15">
        <f t="shared" si="189"/>
        <v>0</v>
      </c>
      <c r="M2322" s="16">
        <f t="shared" si="190"/>
        <v>207.91359199999999</v>
      </c>
      <c r="N2322" s="17">
        <f t="shared" si="197"/>
        <v>2.41</v>
      </c>
      <c r="O2322" s="17">
        <f t="shared" si="191"/>
        <v>2651</v>
      </c>
      <c r="P2322" s="18">
        <f t="shared" si="192"/>
        <v>228704.95119999998</v>
      </c>
      <c r="R2322" s="66"/>
      <c r="S2322" s="20"/>
      <c r="T2322" s="20"/>
      <c r="U2322" s="20"/>
      <c r="V2322" s="20"/>
      <c r="W2322" s="20"/>
      <c r="X2322" s="20"/>
      <c r="Y2322" s="20"/>
      <c r="Z2322" s="20"/>
      <c r="AA2322" s="20"/>
    </row>
    <row r="2323" spans="1:27" ht="12.75">
      <c r="A2323" s="54"/>
      <c r="B2323" s="10">
        <v>46178</v>
      </c>
      <c r="C2323" s="11">
        <f>VLOOKUP(B:B,'Курс валют'!A:D,4,0)</f>
        <v>86.271199999999993</v>
      </c>
      <c r="D2323" s="57" t="s">
        <v>188</v>
      </c>
      <c r="E2323" s="50" t="s">
        <v>15</v>
      </c>
      <c r="F2323" s="58">
        <v>1100</v>
      </c>
      <c r="G2323" s="52">
        <v>1108.5</v>
      </c>
      <c r="H2323" s="49">
        <v>0</v>
      </c>
      <c r="I2323" s="13">
        <f t="shared" si="196"/>
        <v>8.5</v>
      </c>
      <c r="J2323" s="14">
        <f t="shared" si="188"/>
        <v>0.77272727272727271</v>
      </c>
      <c r="K2323" s="56">
        <v>2.41</v>
      </c>
      <c r="L2323" s="15">
        <f t="shared" si="189"/>
        <v>0</v>
      </c>
      <c r="M2323" s="16">
        <f t="shared" si="190"/>
        <v>207.91359199999999</v>
      </c>
      <c r="N2323" s="17">
        <f t="shared" si="197"/>
        <v>2.41</v>
      </c>
      <c r="O2323" s="17">
        <f t="shared" si="191"/>
        <v>2651</v>
      </c>
      <c r="P2323" s="18">
        <f t="shared" si="192"/>
        <v>228704.95119999998</v>
      </c>
      <c r="R2323" s="66"/>
      <c r="S2323" s="20"/>
      <c r="T2323" s="20"/>
      <c r="U2323" s="20"/>
      <c r="V2323" s="20"/>
      <c r="W2323" s="20"/>
      <c r="X2323" s="20"/>
      <c r="Y2323" s="20"/>
      <c r="Z2323" s="20"/>
      <c r="AA2323" s="20"/>
    </row>
    <row r="2324" spans="1:27" ht="12.75">
      <c r="A2324" s="54"/>
      <c r="B2324" s="10">
        <v>46178</v>
      </c>
      <c r="C2324" s="11">
        <f>VLOOKUP(B:B,'Курс валют'!A:D,4,0)</f>
        <v>86.271199999999993</v>
      </c>
      <c r="D2324" s="57" t="s">
        <v>189</v>
      </c>
      <c r="E2324" s="50" t="s">
        <v>15</v>
      </c>
      <c r="F2324" s="58">
        <v>1100</v>
      </c>
      <c r="G2324" s="52">
        <v>1108.5</v>
      </c>
      <c r="H2324" s="56">
        <v>0</v>
      </c>
      <c r="I2324" s="13">
        <f t="shared" si="196"/>
        <v>8.5</v>
      </c>
      <c r="J2324" s="14">
        <f t="shared" si="188"/>
        <v>0.77272727272727271</v>
      </c>
      <c r="K2324" s="56">
        <v>2.41</v>
      </c>
      <c r="L2324" s="15">
        <f t="shared" si="189"/>
        <v>0</v>
      </c>
      <c r="M2324" s="16">
        <f t="shared" si="190"/>
        <v>207.91359199999999</v>
      </c>
      <c r="N2324" s="17">
        <f t="shared" si="197"/>
        <v>2.41</v>
      </c>
      <c r="O2324" s="17">
        <f t="shared" si="191"/>
        <v>2651</v>
      </c>
      <c r="P2324" s="18">
        <f t="shared" si="192"/>
        <v>228704.95119999998</v>
      </c>
      <c r="R2324" s="66"/>
      <c r="S2324" s="20"/>
      <c r="T2324" s="20"/>
      <c r="U2324" s="20"/>
      <c r="V2324" s="20"/>
      <c r="W2324" s="20"/>
      <c r="X2324" s="20"/>
      <c r="Y2324" s="20"/>
      <c r="Z2324" s="20"/>
      <c r="AA2324" s="20"/>
    </row>
    <row r="2325" spans="1:27" ht="12.75">
      <c r="A2325" s="54"/>
      <c r="B2325" s="10">
        <v>46178</v>
      </c>
      <c r="C2325" s="11">
        <f>VLOOKUP(B:B,'Курс валют'!A:D,4,0)</f>
        <v>86.271199999999993</v>
      </c>
      <c r="D2325" s="57" t="s">
        <v>190</v>
      </c>
      <c r="E2325" s="50" t="s">
        <v>15</v>
      </c>
      <c r="F2325" s="58">
        <v>1100</v>
      </c>
      <c r="G2325" s="52">
        <v>1108.5</v>
      </c>
      <c r="H2325" s="49">
        <v>0</v>
      </c>
      <c r="I2325" s="13">
        <f t="shared" si="196"/>
        <v>8.5</v>
      </c>
      <c r="J2325" s="14">
        <f t="shared" si="188"/>
        <v>0.77272727272727271</v>
      </c>
      <c r="K2325" s="56">
        <v>2.41</v>
      </c>
      <c r="L2325" s="15">
        <f t="shared" si="189"/>
        <v>0</v>
      </c>
      <c r="M2325" s="16">
        <f t="shared" si="190"/>
        <v>207.91359199999999</v>
      </c>
      <c r="N2325" s="17">
        <f t="shared" si="197"/>
        <v>2.41</v>
      </c>
      <c r="O2325" s="17">
        <f t="shared" si="191"/>
        <v>2651</v>
      </c>
      <c r="P2325" s="18">
        <f t="shared" si="192"/>
        <v>228704.95119999998</v>
      </c>
      <c r="R2325" s="66"/>
      <c r="S2325" s="20"/>
      <c r="T2325" s="20"/>
      <c r="U2325" s="20"/>
      <c r="V2325" s="20"/>
      <c r="W2325" s="20"/>
      <c r="X2325" s="20"/>
      <c r="Y2325" s="20"/>
      <c r="Z2325" s="20"/>
      <c r="AA2325" s="20"/>
    </row>
    <row r="2326" spans="1:27" ht="12.75">
      <c r="A2326" s="54"/>
      <c r="B2326" s="10">
        <v>46178</v>
      </c>
      <c r="C2326" s="11">
        <f>VLOOKUP(B:B,'Курс валют'!A:D,4,0)</f>
        <v>86.271199999999993</v>
      </c>
      <c r="D2326" s="58" t="s">
        <v>191</v>
      </c>
      <c r="E2326" s="50" t="s">
        <v>15</v>
      </c>
      <c r="F2326" s="58">
        <v>1100</v>
      </c>
      <c r="G2326" s="52">
        <v>1108.5</v>
      </c>
      <c r="H2326" s="56">
        <v>0</v>
      </c>
      <c r="I2326" s="13">
        <f t="shared" si="196"/>
        <v>8.5</v>
      </c>
      <c r="J2326" s="14">
        <f t="shared" si="188"/>
        <v>0.77272727272727271</v>
      </c>
      <c r="K2326" s="56">
        <v>2.41</v>
      </c>
      <c r="L2326" s="15">
        <f t="shared" si="189"/>
        <v>0</v>
      </c>
      <c r="M2326" s="16">
        <f t="shared" si="190"/>
        <v>207.91359199999999</v>
      </c>
      <c r="N2326" s="17">
        <f t="shared" si="197"/>
        <v>2.41</v>
      </c>
      <c r="O2326" s="17">
        <f t="shared" si="191"/>
        <v>2651</v>
      </c>
      <c r="P2326" s="18">
        <f t="shared" si="192"/>
        <v>228704.95119999998</v>
      </c>
      <c r="R2326" s="66"/>
      <c r="S2326" s="19"/>
      <c r="T2326" s="20"/>
      <c r="U2326" s="20"/>
      <c r="V2326" s="20"/>
      <c r="W2326" s="20"/>
      <c r="X2326" s="20"/>
      <c r="Y2326" s="20"/>
      <c r="Z2326" s="20"/>
      <c r="AA2326" s="20"/>
    </row>
    <row r="2327" spans="1:27" ht="12.75">
      <c r="A2327" s="54"/>
      <c r="B2327" s="10">
        <v>46178</v>
      </c>
      <c r="C2327" s="11">
        <f>VLOOKUP(B:B,'Курс валют'!A:D,4,0)</f>
        <v>86.271199999999993</v>
      </c>
      <c r="D2327" s="58" t="s">
        <v>192</v>
      </c>
      <c r="E2327" s="50" t="s">
        <v>15</v>
      </c>
      <c r="F2327" s="58">
        <v>1100</v>
      </c>
      <c r="G2327" s="52">
        <v>1108.5</v>
      </c>
      <c r="H2327" s="49">
        <v>0</v>
      </c>
      <c r="I2327" s="13">
        <f t="shared" si="196"/>
        <v>8.5</v>
      </c>
      <c r="J2327" s="14">
        <f t="shared" si="188"/>
        <v>0.77272727272727271</v>
      </c>
      <c r="K2327" s="56">
        <v>2.41</v>
      </c>
      <c r="L2327" s="15">
        <f t="shared" si="189"/>
        <v>0</v>
      </c>
      <c r="M2327" s="16">
        <f t="shared" si="190"/>
        <v>207.91359199999999</v>
      </c>
      <c r="N2327" s="17">
        <f t="shared" si="197"/>
        <v>2.41</v>
      </c>
      <c r="O2327" s="17">
        <f t="shared" si="191"/>
        <v>2651</v>
      </c>
      <c r="P2327" s="18">
        <f t="shared" si="192"/>
        <v>228704.95119999998</v>
      </c>
      <c r="R2327" s="66"/>
      <c r="S2327" s="19"/>
      <c r="T2327" s="20"/>
      <c r="U2327" s="20"/>
      <c r="V2327" s="20"/>
      <c r="W2327" s="20"/>
      <c r="X2327" s="20"/>
      <c r="Y2327" s="20"/>
      <c r="Z2327" s="20"/>
      <c r="AA2327" s="20"/>
    </row>
    <row r="2328" spans="1:27" ht="12.75">
      <c r="A2328" s="54"/>
      <c r="B2328" s="10">
        <v>46178</v>
      </c>
      <c r="C2328" s="11">
        <f>VLOOKUP(B:B,'Курс валют'!A:D,4,0)</f>
        <v>86.271199999999993</v>
      </c>
      <c r="D2328" s="58" t="s">
        <v>193</v>
      </c>
      <c r="E2328" s="50" t="s">
        <v>60</v>
      </c>
      <c r="F2328" s="58">
        <v>2250</v>
      </c>
      <c r="G2328" s="52">
        <v>2295.4</v>
      </c>
      <c r="H2328" s="56">
        <v>0</v>
      </c>
      <c r="I2328" s="13">
        <f t="shared" si="196"/>
        <v>45.400000000000091</v>
      </c>
      <c r="J2328" s="14">
        <f t="shared" si="188"/>
        <v>2.0177777777777819</v>
      </c>
      <c r="K2328" s="56">
        <v>2.16</v>
      </c>
      <c r="L2328" s="15">
        <f t="shared" si="189"/>
        <v>0</v>
      </c>
      <c r="M2328" s="16">
        <f t="shared" si="190"/>
        <v>186.34579199999999</v>
      </c>
      <c r="N2328" s="17">
        <f t="shared" si="197"/>
        <v>2.16</v>
      </c>
      <c r="O2328" s="17">
        <f t="shared" si="191"/>
        <v>4860</v>
      </c>
      <c r="P2328" s="18">
        <f t="shared" si="192"/>
        <v>419278.03199999995</v>
      </c>
      <c r="R2328" s="66"/>
      <c r="S2328" s="19"/>
      <c r="T2328" s="20"/>
      <c r="U2328" s="20"/>
      <c r="V2328" s="20"/>
      <c r="W2328" s="20"/>
      <c r="X2328" s="20"/>
      <c r="Y2328" s="20"/>
      <c r="Z2328" s="20"/>
      <c r="AA2328" s="20"/>
    </row>
    <row r="2329" spans="1:27" ht="12.75">
      <c r="A2329" s="54"/>
      <c r="B2329" s="10">
        <v>46178</v>
      </c>
      <c r="C2329" s="11">
        <f>VLOOKUP(B:B,'Курс валют'!A:D,4,0)</f>
        <v>86.271199999999993</v>
      </c>
      <c r="D2329" s="58" t="s">
        <v>194</v>
      </c>
      <c r="E2329" s="50" t="s">
        <v>15</v>
      </c>
      <c r="F2329" s="58">
        <v>1100</v>
      </c>
      <c r="G2329" s="52">
        <v>1108.5</v>
      </c>
      <c r="H2329" s="49">
        <v>0</v>
      </c>
      <c r="I2329" s="13">
        <f t="shared" si="196"/>
        <v>8.5</v>
      </c>
      <c r="J2329" s="14">
        <f t="shared" si="188"/>
        <v>0.77272727272727271</v>
      </c>
      <c r="K2329" s="56">
        <v>2.41</v>
      </c>
      <c r="L2329" s="15">
        <f t="shared" si="189"/>
        <v>0</v>
      </c>
      <c r="M2329" s="16">
        <f t="shared" si="190"/>
        <v>207.91359199999999</v>
      </c>
      <c r="N2329" s="17">
        <f t="shared" si="197"/>
        <v>2.41</v>
      </c>
      <c r="O2329" s="17">
        <f t="shared" si="191"/>
        <v>2651</v>
      </c>
      <c r="P2329" s="18">
        <f t="shared" si="192"/>
        <v>228704.95119999998</v>
      </c>
      <c r="R2329" s="66"/>
      <c r="S2329" s="19"/>
      <c r="T2329" s="20"/>
      <c r="U2329" s="20"/>
      <c r="V2329" s="20"/>
      <c r="W2329" s="20"/>
      <c r="X2329" s="20"/>
      <c r="Y2329" s="20"/>
      <c r="Z2329" s="20"/>
      <c r="AA2329" s="20"/>
    </row>
    <row r="2330" spans="1:27" ht="12.75">
      <c r="A2330" s="54"/>
      <c r="B2330" s="10">
        <v>46178</v>
      </c>
      <c r="C2330" s="11">
        <f>VLOOKUP(B:B,'Курс валют'!A:D,4,0)</f>
        <v>86.271199999999993</v>
      </c>
      <c r="D2330" s="58" t="s">
        <v>195</v>
      </c>
      <c r="E2330" s="50" t="s">
        <v>15</v>
      </c>
      <c r="F2330" s="58">
        <v>1100</v>
      </c>
      <c r="G2330" s="52">
        <v>1108.5</v>
      </c>
      <c r="H2330" s="56">
        <v>0</v>
      </c>
      <c r="I2330" s="13">
        <f t="shared" si="196"/>
        <v>8.5</v>
      </c>
      <c r="J2330" s="14">
        <f t="shared" si="188"/>
        <v>0.77272727272727271</v>
      </c>
      <c r="K2330" s="56">
        <v>2.41</v>
      </c>
      <c r="L2330" s="15">
        <f t="shared" si="189"/>
        <v>0</v>
      </c>
      <c r="M2330" s="16">
        <f t="shared" si="190"/>
        <v>207.91359199999999</v>
      </c>
      <c r="N2330" s="17">
        <f t="shared" si="197"/>
        <v>2.41</v>
      </c>
      <c r="O2330" s="17">
        <f t="shared" si="191"/>
        <v>2651</v>
      </c>
      <c r="P2330" s="18">
        <f t="shared" si="192"/>
        <v>228704.95119999998</v>
      </c>
      <c r="R2330" s="66"/>
      <c r="S2330" s="19"/>
      <c r="T2330" s="20"/>
      <c r="U2330" s="20"/>
      <c r="V2330" s="20"/>
      <c r="W2330" s="20"/>
      <c r="X2330" s="20"/>
      <c r="Y2330" s="20"/>
      <c r="Z2330" s="20"/>
      <c r="AA2330" s="20"/>
    </row>
    <row r="2331" spans="1:27" ht="12.75">
      <c r="A2331" s="54"/>
      <c r="B2331" s="10">
        <v>46178</v>
      </c>
      <c r="C2331" s="11">
        <f>VLOOKUP(B:B,'Курс валют'!A:D,4,0)</f>
        <v>86.271199999999993</v>
      </c>
      <c r="D2331" s="58" t="s">
        <v>196</v>
      </c>
      <c r="E2331" s="50" t="s">
        <v>15</v>
      </c>
      <c r="F2331" s="58">
        <v>1100</v>
      </c>
      <c r="G2331" s="52">
        <v>1108.5</v>
      </c>
      <c r="H2331" s="49">
        <v>0</v>
      </c>
      <c r="I2331" s="13">
        <f t="shared" si="196"/>
        <v>8.5</v>
      </c>
      <c r="J2331" s="14">
        <f t="shared" si="188"/>
        <v>0.77272727272727271</v>
      </c>
      <c r="K2331" s="56">
        <v>2.41</v>
      </c>
      <c r="L2331" s="15">
        <f t="shared" si="189"/>
        <v>0</v>
      </c>
      <c r="M2331" s="16">
        <f t="shared" si="190"/>
        <v>207.91359199999999</v>
      </c>
      <c r="N2331" s="17">
        <f t="shared" si="197"/>
        <v>2.41</v>
      </c>
      <c r="O2331" s="17">
        <f t="shared" si="191"/>
        <v>2651</v>
      </c>
      <c r="P2331" s="18">
        <f t="shared" si="192"/>
        <v>228704.95119999998</v>
      </c>
      <c r="R2331" s="66"/>
      <c r="S2331" s="19"/>
      <c r="T2331" s="20"/>
      <c r="U2331" s="20"/>
      <c r="V2331" s="20"/>
      <c r="W2331" s="20"/>
      <c r="X2331" s="20"/>
      <c r="Y2331" s="20"/>
      <c r="Z2331" s="20"/>
      <c r="AA2331" s="20"/>
    </row>
    <row r="2332" spans="1:27" ht="12.75">
      <c r="A2332" s="54"/>
      <c r="B2332" s="10">
        <v>46179</v>
      </c>
      <c r="C2332" s="11">
        <f>VLOOKUP(B:B,'Курс валют'!A:D,4,0)</f>
        <v>85.558199999999999</v>
      </c>
      <c r="D2332" s="47" t="s">
        <v>197</v>
      </c>
      <c r="E2332" s="50" t="s">
        <v>60</v>
      </c>
      <c r="F2332" s="58">
        <v>2250</v>
      </c>
      <c r="G2332" s="52">
        <v>2295.4</v>
      </c>
      <c r="H2332" s="22">
        <v>0</v>
      </c>
      <c r="I2332" s="13">
        <f t="shared" si="196"/>
        <v>45.400000000000091</v>
      </c>
      <c r="J2332" s="14">
        <f t="shared" si="188"/>
        <v>2.0177777777777819</v>
      </c>
      <c r="K2332" s="56">
        <v>2.16</v>
      </c>
      <c r="L2332" s="15">
        <f t="shared" si="189"/>
        <v>0</v>
      </c>
      <c r="M2332" s="16">
        <f t="shared" si="190"/>
        <v>184.805712</v>
      </c>
      <c r="N2332" s="17">
        <f t="shared" si="197"/>
        <v>2.16</v>
      </c>
      <c r="O2332" s="17">
        <f t="shared" si="191"/>
        <v>4860</v>
      </c>
      <c r="P2332" s="18">
        <f t="shared" si="192"/>
        <v>415812.85200000001</v>
      </c>
      <c r="R2332" s="66"/>
      <c r="S2332" s="19"/>
      <c r="T2332" s="20"/>
      <c r="U2332" s="20"/>
      <c r="V2332" s="20"/>
      <c r="W2332" s="20"/>
      <c r="X2332" s="20"/>
      <c r="Y2332" s="20"/>
      <c r="Z2332" s="20"/>
      <c r="AA2332" s="20"/>
    </row>
    <row r="2333" spans="1:27" ht="12.75">
      <c r="A2333" s="54"/>
      <c r="B2333" s="10">
        <v>46179</v>
      </c>
      <c r="C2333" s="11">
        <f>VLOOKUP(B:B,'Курс валют'!A:D,4,0)</f>
        <v>85.558199999999999</v>
      </c>
      <c r="D2333" s="58" t="s">
        <v>198</v>
      </c>
      <c r="E2333" s="50" t="s">
        <v>15</v>
      </c>
      <c r="F2333" s="58">
        <v>1100</v>
      </c>
      <c r="G2333" s="52">
        <v>1108.5</v>
      </c>
      <c r="H2333" s="49">
        <v>0</v>
      </c>
      <c r="I2333" s="13">
        <f t="shared" si="196"/>
        <v>8.5</v>
      </c>
      <c r="J2333" s="14">
        <f t="shared" si="188"/>
        <v>0.77272727272727271</v>
      </c>
      <c r="K2333" s="56">
        <v>2.41</v>
      </c>
      <c r="L2333" s="15">
        <f t="shared" si="189"/>
        <v>0</v>
      </c>
      <c r="M2333" s="16">
        <f t="shared" si="190"/>
        <v>206.19526200000001</v>
      </c>
      <c r="N2333" s="17">
        <f t="shared" si="197"/>
        <v>2.41</v>
      </c>
      <c r="O2333" s="17">
        <f t="shared" si="191"/>
        <v>2651</v>
      </c>
      <c r="P2333" s="18">
        <f t="shared" si="192"/>
        <v>226814.78820000001</v>
      </c>
      <c r="R2333" s="66"/>
      <c r="S2333" s="19"/>
      <c r="T2333" s="20"/>
      <c r="U2333" s="20"/>
      <c r="V2333" s="20"/>
      <c r="W2333" s="20"/>
      <c r="X2333" s="20"/>
      <c r="Y2333" s="20"/>
      <c r="Z2333" s="20"/>
      <c r="AA2333" s="20"/>
    </row>
    <row r="2334" spans="1:27" ht="12.75">
      <c r="A2334" s="54"/>
      <c r="B2334" s="10">
        <v>46179</v>
      </c>
      <c r="C2334" s="11">
        <f>VLOOKUP(B:B,'Курс валют'!A:D,4,0)</f>
        <v>85.558199999999999</v>
      </c>
      <c r="D2334" s="58" t="s">
        <v>199</v>
      </c>
      <c r="E2334" s="50" t="s">
        <v>15</v>
      </c>
      <c r="F2334" s="58">
        <v>1100</v>
      </c>
      <c r="G2334" s="52">
        <v>1108.5</v>
      </c>
      <c r="H2334" s="49">
        <v>0</v>
      </c>
      <c r="I2334" s="13">
        <f t="shared" si="196"/>
        <v>8.5</v>
      </c>
      <c r="J2334" s="14">
        <f t="shared" si="188"/>
        <v>0.77272727272727271</v>
      </c>
      <c r="K2334" s="56">
        <v>2.41</v>
      </c>
      <c r="L2334" s="15">
        <f t="shared" si="189"/>
        <v>0</v>
      </c>
      <c r="M2334" s="16">
        <f t="shared" si="190"/>
        <v>206.19526200000001</v>
      </c>
      <c r="N2334" s="17">
        <f t="shared" si="197"/>
        <v>2.41</v>
      </c>
      <c r="O2334" s="17">
        <f t="shared" si="191"/>
        <v>2651</v>
      </c>
      <c r="P2334" s="18">
        <f t="shared" si="192"/>
        <v>226814.78820000001</v>
      </c>
      <c r="R2334" s="66"/>
      <c r="S2334" s="19"/>
      <c r="T2334" s="20"/>
      <c r="U2334" s="20"/>
      <c r="V2334" s="20"/>
      <c r="W2334" s="20"/>
      <c r="X2334" s="20"/>
      <c r="Y2334" s="20"/>
      <c r="Z2334" s="20"/>
      <c r="AA2334" s="20"/>
    </row>
    <row r="2335" spans="1:27" ht="12.75">
      <c r="A2335" s="54"/>
      <c r="B2335" s="10">
        <v>46179</v>
      </c>
      <c r="C2335" s="11">
        <f>VLOOKUP(B:B,'Курс валют'!A:D,4,0)</f>
        <v>85.558199999999999</v>
      </c>
      <c r="D2335" s="58" t="s">
        <v>200</v>
      </c>
      <c r="E2335" s="50" t="s">
        <v>15</v>
      </c>
      <c r="F2335" s="58">
        <v>1100</v>
      </c>
      <c r="G2335" s="52">
        <v>1108.5</v>
      </c>
      <c r="H2335" s="49">
        <v>0</v>
      </c>
      <c r="I2335" s="13">
        <f t="shared" si="196"/>
        <v>8.5</v>
      </c>
      <c r="J2335" s="14">
        <f t="shared" si="188"/>
        <v>0.77272727272727271</v>
      </c>
      <c r="K2335" s="56">
        <v>2.41</v>
      </c>
      <c r="L2335" s="15">
        <f t="shared" si="189"/>
        <v>0</v>
      </c>
      <c r="M2335" s="16">
        <f t="shared" si="190"/>
        <v>206.19526200000001</v>
      </c>
      <c r="N2335" s="17">
        <f t="shared" si="197"/>
        <v>2.41</v>
      </c>
      <c r="O2335" s="17">
        <f t="shared" si="191"/>
        <v>2651</v>
      </c>
      <c r="P2335" s="18">
        <f t="shared" si="192"/>
        <v>226814.78820000001</v>
      </c>
      <c r="R2335" s="66"/>
      <c r="S2335" s="19"/>
      <c r="T2335" s="20"/>
      <c r="U2335" s="20"/>
      <c r="V2335" s="20"/>
      <c r="W2335" s="20"/>
      <c r="X2335" s="20"/>
      <c r="Y2335" s="20"/>
      <c r="Z2335" s="20"/>
      <c r="AA2335" s="20"/>
    </row>
    <row r="2336" spans="1:27" ht="12.75">
      <c r="A2336" s="54"/>
      <c r="B2336" s="10">
        <v>46179</v>
      </c>
      <c r="C2336" s="11">
        <f>VLOOKUP(B:B,'Курс валют'!A:D,4,0)</f>
        <v>85.558199999999999</v>
      </c>
      <c r="D2336" s="58" t="s">
        <v>201</v>
      </c>
      <c r="E2336" s="50" t="s">
        <v>15</v>
      </c>
      <c r="F2336" s="58">
        <v>1100</v>
      </c>
      <c r="G2336" s="52">
        <v>1108.5</v>
      </c>
      <c r="H2336" s="49">
        <v>0</v>
      </c>
      <c r="I2336" s="13">
        <f t="shared" si="196"/>
        <v>8.5</v>
      </c>
      <c r="J2336" s="14">
        <f t="shared" si="188"/>
        <v>0.77272727272727271</v>
      </c>
      <c r="K2336" s="56">
        <v>2.41</v>
      </c>
      <c r="L2336" s="15">
        <f t="shared" si="189"/>
        <v>0</v>
      </c>
      <c r="M2336" s="16">
        <f t="shared" si="190"/>
        <v>206.19526200000001</v>
      </c>
      <c r="N2336" s="17">
        <f t="shared" si="197"/>
        <v>2.41</v>
      </c>
      <c r="O2336" s="17">
        <f t="shared" si="191"/>
        <v>2651</v>
      </c>
      <c r="P2336" s="18">
        <f t="shared" si="192"/>
        <v>226814.78820000001</v>
      </c>
      <c r="R2336" s="66"/>
      <c r="S2336" s="20"/>
      <c r="T2336" s="20"/>
      <c r="U2336" s="20"/>
      <c r="V2336" s="20"/>
      <c r="W2336" s="20"/>
      <c r="X2336" s="20"/>
      <c r="Y2336" s="20"/>
      <c r="Z2336" s="20"/>
      <c r="AA2336" s="20"/>
    </row>
    <row r="2337" spans="1:27" ht="12.75">
      <c r="A2337" s="54"/>
      <c r="B2337" s="10">
        <v>46179</v>
      </c>
      <c r="C2337" s="11">
        <f>VLOOKUP(B:B,'Курс валют'!A:D,4,0)</f>
        <v>85.558199999999999</v>
      </c>
      <c r="D2337" s="58" t="s">
        <v>202</v>
      </c>
      <c r="E2337" s="50" t="s">
        <v>15</v>
      </c>
      <c r="F2337" s="58">
        <v>1100</v>
      </c>
      <c r="G2337" s="52">
        <v>1108.5</v>
      </c>
      <c r="H2337" s="49">
        <v>0</v>
      </c>
      <c r="I2337" s="13">
        <f t="shared" si="196"/>
        <v>8.5</v>
      </c>
      <c r="J2337" s="14">
        <f t="shared" si="188"/>
        <v>0.77272727272727271</v>
      </c>
      <c r="K2337" s="56">
        <v>2.41</v>
      </c>
      <c r="L2337" s="15">
        <f t="shared" si="189"/>
        <v>0</v>
      </c>
      <c r="M2337" s="16">
        <f t="shared" si="190"/>
        <v>206.19526200000001</v>
      </c>
      <c r="N2337" s="17">
        <f t="shared" si="197"/>
        <v>2.41</v>
      </c>
      <c r="O2337" s="17">
        <f t="shared" si="191"/>
        <v>2651</v>
      </c>
      <c r="P2337" s="18">
        <f t="shared" si="192"/>
        <v>226814.78820000001</v>
      </c>
      <c r="R2337" s="66"/>
      <c r="S2337" s="20"/>
      <c r="T2337" s="20"/>
      <c r="U2337" s="20"/>
      <c r="V2337" s="20"/>
      <c r="W2337" s="20"/>
      <c r="X2337" s="20"/>
      <c r="Y2337" s="20"/>
      <c r="Z2337" s="20"/>
      <c r="AA2337" s="20"/>
    </row>
    <row r="2338" spans="1:27" ht="12.75">
      <c r="A2338" s="54"/>
      <c r="B2338" s="10">
        <v>46179</v>
      </c>
      <c r="C2338" s="11">
        <f>VLOOKUP(B:B,'Курс валют'!A:D,4,0)</f>
        <v>85.558199999999999</v>
      </c>
      <c r="D2338" s="58" t="s">
        <v>203</v>
      </c>
      <c r="E2338" s="50" t="s">
        <v>204</v>
      </c>
      <c r="F2338" s="58">
        <v>220</v>
      </c>
      <c r="G2338" s="52">
        <v>220</v>
      </c>
      <c r="H2338" s="49">
        <v>0</v>
      </c>
      <c r="I2338" s="13">
        <f t="shared" si="196"/>
        <v>0</v>
      </c>
      <c r="J2338" s="14">
        <f t="shared" si="188"/>
        <v>0</v>
      </c>
      <c r="K2338" s="56">
        <v>2.61</v>
      </c>
      <c r="L2338" s="15">
        <f t="shared" si="189"/>
        <v>0</v>
      </c>
      <c r="M2338" s="16">
        <f t="shared" si="190"/>
        <v>223.30690199999998</v>
      </c>
      <c r="N2338" s="17">
        <f t="shared" si="197"/>
        <v>2.61</v>
      </c>
      <c r="O2338" s="17">
        <f t="shared" si="191"/>
        <v>574.19999999999993</v>
      </c>
      <c r="P2338" s="18">
        <f t="shared" si="192"/>
        <v>49127.518439999993</v>
      </c>
      <c r="R2338" s="66" t="s">
        <v>205</v>
      </c>
      <c r="S2338" s="20"/>
      <c r="T2338" s="20"/>
      <c r="U2338" s="20"/>
      <c r="V2338" s="20"/>
      <c r="W2338" s="20"/>
      <c r="X2338" s="20"/>
      <c r="Y2338" s="20"/>
      <c r="Z2338" s="20"/>
      <c r="AA2338" s="20"/>
    </row>
    <row r="2339" spans="1:27" ht="12.75">
      <c r="A2339" s="54"/>
      <c r="B2339" s="10">
        <v>46179</v>
      </c>
      <c r="C2339" s="11">
        <f>VLOOKUP(B:B,'Курс валют'!A:D,4,0)</f>
        <v>85.558199999999999</v>
      </c>
      <c r="D2339" s="58" t="s">
        <v>206</v>
      </c>
      <c r="E2339" s="50" t="s">
        <v>207</v>
      </c>
      <c r="F2339" s="58">
        <v>200</v>
      </c>
      <c r="G2339" s="52">
        <v>200</v>
      </c>
      <c r="H2339" s="49">
        <v>0</v>
      </c>
      <c r="I2339" s="13">
        <f t="shared" si="196"/>
        <v>0</v>
      </c>
      <c r="J2339" s="14">
        <f t="shared" si="188"/>
        <v>0</v>
      </c>
      <c r="K2339" s="56">
        <v>2.85</v>
      </c>
      <c r="L2339" s="15">
        <f t="shared" si="189"/>
        <v>0</v>
      </c>
      <c r="M2339" s="16">
        <f t="shared" si="190"/>
        <v>243.84087</v>
      </c>
      <c r="N2339" s="17">
        <f t="shared" si="197"/>
        <v>2.85</v>
      </c>
      <c r="O2339" s="17">
        <f t="shared" si="191"/>
        <v>570</v>
      </c>
      <c r="P2339" s="18">
        <f t="shared" si="192"/>
        <v>48768.173999999999</v>
      </c>
      <c r="R2339" s="66" t="s">
        <v>205</v>
      </c>
      <c r="S2339" s="20"/>
      <c r="T2339" s="20"/>
      <c r="U2339" s="20"/>
      <c r="V2339" s="20"/>
      <c r="W2339" s="20"/>
      <c r="X2339" s="20"/>
      <c r="Y2339" s="20"/>
      <c r="Z2339" s="20"/>
      <c r="AA2339" s="20"/>
    </row>
    <row r="2340" spans="1:27" ht="12.75">
      <c r="A2340" s="54"/>
      <c r="B2340" s="10">
        <v>46179</v>
      </c>
      <c r="C2340" s="11">
        <f>VLOOKUP(B:B,'Курс валют'!A:D,4,0)</f>
        <v>85.558199999999999</v>
      </c>
      <c r="D2340" s="58" t="s">
        <v>208</v>
      </c>
      <c r="E2340" s="50" t="s">
        <v>15</v>
      </c>
      <c r="F2340" s="58">
        <v>1100</v>
      </c>
      <c r="G2340" s="52">
        <v>1108.5</v>
      </c>
      <c r="H2340" s="49">
        <v>0</v>
      </c>
      <c r="I2340" s="13">
        <f t="shared" si="196"/>
        <v>8.5</v>
      </c>
      <c r="J2340" s="14">
        <f t="shared" si="188"/>
        <v>0.77272727272727271</v>
      </c>
      <c r="K2340" s="56">
        <v>2.41</v>
      </c>
      <c r="L2340" s="15">
        <f t="shared" si="189"/>
        <v>0</v>
      </c>
      <c r="M2340" s="16">
        <f t="shared" si="190"/>
        <v>206.19526200000001</v>
      </c>
      <c r="N2340" s="17">
        <f t="shared" si="197"/>
        <v>2.41</v>
      </c>
      <c r="O2340" s="17">
        <f t="shared" si="191"/>
        <v>2651</v>
      </c>
      <c r="P2340" s="18">
        <f t="shared" si="192"/>
        <v>226814.78820000001</v>
      </c>
      <c r="R2340" s="66"/>
      <c r="S2340" s="20"/>
      <c r="T2340" s="20"/>
      <c r="U2340" s="20"/>
      <c r="V2340" s="20"/>
      <c r="W2340" s="20"/>
      <c r="X2340" s="20"/>
      <c r="Y2340" s="20"/>
      <c r="Z2340" s="20"/>
      <c r="AA2340" s="20"/>
    </row>
    <row r="2341" spans="1:27" ht="12.75">
      <c r="A2341" s="54"/>
      <c r="B2341" s="10">
        <v>46179</v>
      </c>
      <c r="C2341" s="11">
        <f>VLOOKUP(B:B,'Курс валют'!A:D,4,0)</f>
        <v>85.558199999999999</v>
      </c>
      <c r="D2341" s="58" t="s">
        <v>209</v>
      </c>
      <c r="E2341" s="50" t="s">
        <v>15</v>
      </c>
      <c r="F2341" s="58">
        <v>1100</v>
      </c>
      <c r="G2341" s="52">
        <v>1108.5</v>
      </c>
      <c r="H2341" s="49">
        <v>0</v>
      </c>
      <c r="I2341" s="13">
        <f t="shared" si="196"/>
        <v>8.5</v>
      </c>
      <c r="J2341" s="14">
        <f t="shared" si="188"/>
        <v>0.77272727272727271</v>
      </c>
      <c r="K2341" s="56">
        <v>2.41</v>
      </c>
      <c r="L2341" s="15">
        <f t="shared" si="189"/>
        <v>0</v>
      </c>
      <c r="M2341" s="16">
        <f t="shared" si="190"/>
        <v>206.19526200000001</v>
      </c>
      <c r="N2341" s="17">
        <f t="shared" si="197"/>
        <v>2.41</v>
      </c>
      <c r="O2341" s="17">
        <f t="shared" si="191"/>
        <v>2651</v>
      </c>
      <c r="P2341" s="18">
        <f t="shared" si="192"/>
        <v>226814.78820000001</v>
      </c>
      <c r="R2341" s="66"/>
      <c r="S2341" s="20"/>
      <c r="T2341" s="20"/>
      <c r="U2341" s="20"/>
      <c r="V2341" s="20"/>
      <c r="W2341" s="20"/>
      <c r="X2341" s="20"/>
      <c r="Y2341" s="20"/>
      <c r="Z2341" s="20"/>
      <c r="AA2341" s="20"/>
    </row>
    <row r="2342" spans="1:27" ht="12.75">
      <c r="A2342" s="54"/>
      <c r="B2342" s="10">
        <v>46179</v>
      </c>
      <c r="C2342" s="11">
        <f>VLOOKUP(B:B,'Курс валют'!A:D,4,0)</f>
        <v>85.558199999999999</v>
      </c>
      <c r="D2342" s="58" t="s">
        <v>210</v>
      </c>
      <c r="E2342" s="50" t="s">
        <v>15</v>
      </c>
      <c r="F2342" s="58">
        <v>1100</v>
      </c>
      <c r="G2342" s="52">
        <v>1108.5</v>
      </c>
      <c r="H2342" s="49">
        <v>0</v>
      </c>
      <c r="I2342" s="13">
        <f t="shared" si="196"/>
        <v>8.5</v>
      </c>
      <c r="J2342" s="14">
        <f t="shared" si="188"/>
        <v>0.77272727272727271</v>
      </c>
      <c r="K2342" s="56">
        <v>2.41</v>
      </c>
      <c r="L2342" s="15">
        <f t="shared" si="189"/>
        <v>0</v>
      </c>
      <c r="M2342" s="16">
        <f t="shared" si="190"/>
        <v>206.19526200000001</v>
      </c>
      <c r="N2342" s="17">
        <f t="shared" si="197"/>
        <v>2.41</v>
      </c>
      <c r="O2342" s="17">
        <f t="shared" si="191"/>
        <v>2651</v>
      </c>
      <c r="P2342" s="18">
        <f t="shared" si="192"/>
        <v>226814.78820000001</v>
      </c>
      <c r="R2342" s="66"/>
      <c r="S2342" s="20"/>
      <c r="T2342" s="20"/>
      <c r="U2342" s="20"/>
      <c r="V2342" s="20"/>
      <c r="W2342" s="20"/>
      <c r="X2342" s="20"/>
      <c r="Y2342" s="20"/>
      <c r="Z2342" s="20"/>
      <c r="AA2342" s="20"/>
    </row>
    <row r="2343" spans="1:27" ht="12.75">
      <c r="A2343" s="54"/>
      <c r="B2343" s="10">
        <v>46179</v>
      </c>
      <c r="C2343" s="11">
        <f>VLOOKUP(B:B,'Курс валют'!A:D,4,0)</f>
        <v>85.558199999999999</v>
      </c>
      <c r="D2343" s="58" t="s">
        <v>211</v>
      </c>
      <c r="E2343" s="50" t="s">
        <v>15</v>
      </c>
      <c r="F2343" s="58">
        <v>1100</v>
      </c>
      <c r="G2343" s="52">
        <v>1108.5</v>
      </c>
      <c r="H2343" s="49">
        <v>0</v>
      </c>
      <c r="I2343" s="13">
        <f t="shared" si="196"/>
        <v>8.5</v>
      </c>
      <c r="J2343" s="14">
        <f t="shared" si="188"/>
        <v>0.77272727272727271</v>
      </c>
      <c r="K2343" s="56">
        <v>2.41</v>
      </c>
      <c r="L2343" s="15">
        <f t="shared" si="189"/>
        <v>0</v>
      </c>
      <c r="M2343" s="16">
        <f t="shared" si="190"/>
        <v>206.19526200000001</v>
      </c>
      <c r="N2343" s="17">
        <f t="shared" si="197"/>
        <v>2.41</v>
      </c>
      <c r="O2343" s="17">
        <f t="shared" si="191"/>
        <v>2651</v>
      </c>
      <c r="P2343" s="18">
        <f t="shared" si="192"/>
        <v>226814.78820000001</v>
      </c>
      <c r="R2343" s="66"/>
      <c r="S2343" s="20"/>
      <c r="T2343" s="20"/>
      <c r="U2343" s="20"/>
      <c r="V2343" s="20"/>
      <c r="W2343" s="20"/>
      <c r="X2343" s="20"/>
      <c r="Y2343" s="20"/>
      <c r="Z2343" s="20"/>
      <c r="AA2343" s="20"/>
    </row>
    <row r="2344" spans="1:27" ht="12.75">
      <c r="A2344" s="54"/>
      <c r="B2344" s="10">
        <v>46179</v>
      </c>
      <c r="C2344" s="11">
        <f>VLOOKUP(B:B,'Курс валют'!A:D,4,0)</f>
        <v>85.558199999999999</v>
      </c>
      <c r="D2344" s="58" t="s">
        <v>212</v>
      </c>
      <c r="E2344" s="50" t="s">
        <v>15</v>
      </c>
      <c r="F2344" s="58">
        <v>1100</v>
      </c>
      <c r="G2344" s="52">
        <v>1108.5</v>
      </c>
      <c r="H2344" s="49">
        <v>0</v>
      </c>
      <c r="I2344" s="13">
        <f t="shared" si="196"/>
        <v>8.5</v>
      </c>
      <c r="J2344" s="14">
        <f t="shared" si="188"/>
        <v>0.77272727272727271</v>
      </c>
      <c r="K2344" s="56">
        <v>2.41</v>
      </c>
      <c r="L2344" s="15">
        <f t="shared" si="189"/>
        <v>0</v>
      </c>
      <c r="M2344" s="16">
        <f t="shared" si="190"/>
        <v>206.19526200000001</v>
      </c>
      <c r="N2344" s="17">
        <f t="shared" si="197"/>
        <v>2.41</v>
      </c>
      <c r="O2344" s="17">
        <f t="shared" si="191"/>
        <v>2651</v>
      </c>
      <c r="P2344" s="18">
        <f t="shared" si="192"/>
        <v>226814.78820000001</v>
      </c>
      <c r="R2344" s="66"/>
      <c r="S2344" s="20"/>
      <c r="T2344" s="20"/>
      <c r="U2344" s="20"/>
      <c r="V2344" s="20"/>
      <c r="W2344" s="20"/>
      <c r="X2344" s="20"/>
      <c r="Y2344" s="20"/>
      <c r="Z2344" s="20"/>
      <c r="AA2344" s="20"/>
    </row>
    <row r="2345" spans="1:27" ht="12.75">
      <c r="A2345" s="54"/>
      <c r="B2345" s="10">
        <v>46180</v>
      </c>
      <c r="C2345" s="11">
        <f>VLOOKUP(B:B,'Курс валют'!A:D,4,0)</f>
        <v>85.558199999999999</v>
      </c>
      <c r="D2345" s="47" t="s">
        <v>213</v>
      </c>
      <c r="E2345" s="50" t="s">
        <v>60</v>
      </c>
      <c r="F2345" s="58">
        <v>2250</v>
      </c>
      <c r="G2345" s="52">
        <v>2295.4</v>
      </c>
      <c r="H2345" s="56">
        <v>0</v>
      </c>
      <c r="I2345" s="13">
        <f t="shared" si="196"/>
        <v>45.400000000000091</v>
      </c>
      <c r="J2345" s="14">
        <f t="shared" si="188"/>
        <v>2.0177777777777819</v>
      </c>
      <c r="K2345" s="56">
        <v>2.16</v>
      </c>
      <c r="L2345" s="15">
        <f t="shared" si="189"/>
        <v>0</v>
      </c>
      <c r="M2345" s="16">
        <f t="shared" si="190"/>
        <v>184.805712</v>
      </c>
      <c r="N2345" s="17">
        <f t="shared" si="197"/>
        <v>2.16</v>
      </c>
      <c r="O2345" s="17">
        <f t="shared" si="191"/>
        <v>4860</v>
      </c>
      <c r="P2345" s="18">
        <f t="shared" si="192"/>
        <v>415812.85200000001</v>
      </c>
      <c r="R2345" s="66"/>
      <c r="S2345" s="20"/>
      <c r="T2345" s="20"/>
      <c r="U2345" s="20"/>
      <c r="V2345" s="20"/>
      <c r="W2345" s="20"/>
      <c r="X2345" s="20"/>
      <c r="Y2345" s="20"/>
      <c r="Z2345" s="20"/>
      <c r="AA2345" s="20"/>
    </row>
    <row r="2346" spans="1:27" ht="12.75">
      <c r="A2346" s="54"/>
      <c r="B2346" s="10">
        <v>46180</v>
      </c>
      <c r="C2346" s="11">
        <f>VLOOKUP(B:B,'Курс валют'!A:D,4,0)</f>
        <v>85.558199999999999</v>
      </c>
      <c r="D2346" s="58" t="s">
        <v>214</v>
      </c>
      <c r="E2346" s="50" t="s">
        <v>15</v>
      </c>
      <c r="F2346" s="58">
        <v>1100</v>
      </c>
      <c r="G2346" s="52">
        <v>1108.5</v>
      </c>
      <c r="H2346" s="49">
        <v>0</v>
      </c>
      <c r="I2346" s="13">
        <f t="shared" si="196"/>
        <v>8.5</v>
      </c>
      <c r="J2346" s="14">
        <f t="shared" si="188"/>
        <v>0.77272727272727271</v>
      </c>
      <c r="K2346" s="56">
        <v>2.4</v>
      </c>
      <c r="L2346" s="15">
        <f t="shared" si="189"/>
        <v>0</v>
      </c>
      <c r="M2346" s="16">
        <f t="shared" si="190"/>
        <v>205.33967999999999</v>
      </c>
      <c r="N2346" s="17">
        <f t="shared" si="197"/>
        <v>2.4</v>
      </c>
      <c r="O2346" s="17">
        <f t="shared" si="191"/>
        <v>2640</v>
      </c>
      <c r="P2346" s="18">
        <f t="shared" si="192"/>
        <v>225873.64799999999</v>
      </c>
      <c r="R2346" s="66"/>
      <c r="S2346" s="20"/>
      <c r="T2346" s="20"/>
      <c r="U2346" s="20"/>
      <c r="V2346" s="20"/>
      <c r="W2346" s="20"/>
      <c r="X2346" s="20"/>
      <c r="Y2346" s="20"/>
      <c r="Z2346" s="20"/>
      <c r="AA2346" s="20"/>
    </row>
    <row r="2347" spans="1:27" ht="12.75">
      <c r="A2347" s="54"/>
      <c r="B2347" s="10">
        <v>46180</v>
      </c>
      <c r="C2347" s="11">
        <f>VLOOKUP(B:B,'Курс валют'!A:D,4,0)</f>
        <v>85.558199999999999</v>
      </c>
      <c r="D2347" s="58" t="s">
        <v>215</v>
      </c>
      <c r="E2347" s="50" t="s">
        <v>15</v>
      </c>
      <c r="F2347" s="58">
        <v>1100</v>
      </c>
      <c r="G2347" s="52">
        <v>1108.5</v>
      </c>
      <c r="H2347" s="56">
        <v>0</v>
      </c>
      <c r="I2347" s="13">
        <f t="shared" si="196"/>
        <v>8.5</v>
      </c>
      <c r="J2347" s="14">
        <f t="shared" si="188"/>
        <v>0.77272727272727271</v>
      </c>
      <c r="K2347" s="56">
        <v>2.4</v>
      </c>
      <c r="L2347" s="15">
        <f t="shared" si="189"/>
        <v>0</v>
      </c>
      <c r="M2347" s="16">
        <f t="shared" si="190"/>
        <v>205.33967999999999</v>
      </c>
      <c r="N2347" s="17">
        <f t="shared" si="197"/>
        <v>2.4</v>
      </c>
      <c r="O2347" s="17">
        <f t="shared" si="191"/>
        <v>2640</v>
      </c>
      <c r="P2347" s="18">
        <f t="shared" si="192"/>
        <v>225873.64799999999</v>
      </c>
      <c r="R2347" s="66"/>
      <c r="S2347" s="20"/>
      <c r="T2347" s="20"/>
      <c r="U2347" s="20"/>
      <c r="V2347" s="20"/>
      <c r="W2347" s="20"/>
      <c r="X2347" s="20"/>
      <c r="Y2347" s="20"/>
      <c r="Z2347" s="20"/>
      <c r="AA2347" s="20"/>
    </row>
    <row r="2348" spans="1:27" ht="12.75">
      <c r="A2348" s="54"/>
      <c r="B2348" s="10">
        <v>46180</v>
      </c>
      <c r="C2348" s="11">
        <f>VLOOKUP(B:B,'Курс валют'!A:D,4,0)</f>
        <v>85.558199999999999</v>
      </c>
      <c r="D2348" s="58" t="s">
        <v>216</v>
      </c>
      <c r="E2348" s="50" t="s">
        <v>15</v>
      </c>
      <c r="F2348" s="58">
        <v>1100</v>
      </c>
      <c r="G2348" s="52">
        <v>1108.5</v>
      </c>
      <c r="H2348" s="49">
        <v>0</v>
      </c>
      <c r="I2348" s="13">
        <f t="shared" si="196"/>
        <v>8.5</v>
      </c>
      <c r="J2348" s="14">
        <f t="shared" si="188"/>
        <v>0.77272727272727271</v>
      </c>
      <c r="K2348" s="56">
        <v>2.4</v>
      </c>
      <c r="L2348" s="15">
        <f t="shared" si="189"/>
        <v>0</v>
      </c>
      <c r="M2348" s="16">
        <f t="shared" si="190"/>
        <v>205.33967999999999</v>
      </c>
      <c r="N2348" s="17">
        <f t="shared" si="197"/>
        <v>2.4</v>
      </c>
      <c r="O2348" s="17">
        <f t="shared" si="191"/>
        <v>2640</v>
      </c>
      <c r="P2348" s="18">
        <f t="shared" si="192"/>
        <v>225873.64799999999</v>
      </c>
      <c r="R2348" s="66"/>
      <c r="S2348" s="20"/>
      <c r="T2348" s="20"/>
      <c r="U2348" s="20"/>
      <c r="V2348" s="20"/>
      <c r="W2348" s="20"/>
      <c r="X2348" s="20"/>
      <c r="Y2348" s="20"/>
      <c r="Z2348" s="20"/>
      <c r="AA2348" s="20"/>
    </row>
    <row r="2349" spans="1:27" ht="12.75">
      <c r="A2349" s="54"/>
      <c r="B2349" s="10">
        <v>46180</v>
      </c>
      <c r="C2349" s="11">
        <f>VLOOKUP(B:B,'Курс валют'!A:D,4,0)</f>
        <v>85.558199999999999</v>
      </c>
      <c r="D2349" s="58" t="s">
        <v>217</v>
      </c>
      <c r="E2349" s="50" t="s">
        <v>15</v>
      </c>
      <c r="F2349" s="58">
        <v>1100</v>
      </c>
      <c r="G2349" s="52">
        <v>1108.5</v>
      </c>
      <c r="H2349" s="56">
        <v>0</v>
      </c>
      <c r="I2349" s="13">
        <f t="shared" si="196"/>
        <v>8.5</v>
      </c>
      <c r="J2349" s="14">
        <f t="shared" si="188"/>
        <v>0.77272727272727271</v>
      </c>
      <c r="K2349" s="56">
        <v>2.4</v>
      </c>
      <c r="L2349" s="15">
        <f t="shared" si="189"/>
        <v>0</v>
      </c>
      <c r="M2349" s="16">
        <f t="shared" si="190"/>
        <v>205.33967999999999</v>
      </c>
      <c r="N2349" s="17">
        <f t="shared" si="197"/>
        <v>2.4</v>
      </c>
      <c r="O2349" s="17">
        <f t="shared" si="191"/>
        <v>2640</v>
      </c>
      <c r="P2349" s="18">
        <f t="shared" si="192"/>
        <v>225873.64799999999</v>
      </c>
      <c r="R2349" s="66"/>
      <c r="S2349" s="20"/>
      <c r="T2349" s="20"/>
      <c r="U2349" s="20"/>
      <c r="V2349" s="20"/>
      <c r="W2349" s="20"/>
      <c r="X2349" s="20"/>
      <c r="Y2349" s="20"/>
      <c r="Z2349" s="20"/>
      <c r="AA2349" s="20"/>
    </row>
    <row r="2350" spans="1:27" ht="12.75">
      <c r="A2350" s="54"/>
      <c r="B2350" s="10">
        <v>46180</v>
      </c>
      <c r="C2350" s="11">
        <f>VLOOKUP(B:B,'Курс валют'!A:D,4,0)</f>
        <v>85.558199999999999</v>
      </c>
      <c r="D2350" s="58" t="s">
        <v>218</v>
      </c>
      <c r="E2350" s="50" t="s">
        <v>15</v>
      </c>
      <c r="F2350" s="58">
        <v>1100</v>
      </c>
      <c r="G2350" s="52">
        <v>1108.5</v>
      </c>
      <c r="H2350" s="49">
        <v>0</v>
      </c>
      <c r="I2350" s="13">
        <f t="shared" si="196"/>
        <v>8.5</v>
      </c>
      <c r="J2350" s="14">
        <f t="shared" si="188"/>
        <v>0.77272727272727271</v>
      </c>
      <c r="K2350" s="56">
        <v>2.4</v>
      </c>
      <c r="L2350" s="15">
        <f t="shared" si="189"/>
        <v>0</v>
      </c>
      <c r="M2350" s="16">
        <f t="shared" si="190"/>
        <v>205.33967999999999</v>
      </c>
      <c r="N2350" s="17">
        <f t="shared" si="197"/>
        <v>2.4</v>
      </c>
      <c r="O2350" s="17">
        <f t="shared" si="191"/>
        <v>2640</v>
      </c>
      <c r="P2350" s="18">
        <f t="shared" si="192"/>
        <v>225873.64799999999</v>
      </c>
      <c r="R2350" s="66"/>
      <c r="S2350" s="20"/>
      <c r="T2350" s="20"/>
      <c r="U2350" s="20"/>
      <c r="V2350" s="20"/>
      <c r="W2350" s="20"/>
      <c r="X2350" s="20"/>
      <c r="Y2350" s="20"/>
      <c r="Z2350" s="20"/>
      <c r="AA2350" s="20"/>
    </row>
    <row r="2351" spans="1:27" ht="12.75">
      <c r="A2351" s="54"/>
      <c r="B2351" s="10">
        <v>46180</v>
      </c>
      <c r="C2351" s="11">
        <f>VLOOKUP(B:B,'Курс валют'!A:D,4,0)</f>
        <v>85.558199999999999</v>
      </c>
      <c r="D2351" s="58" t="s">
        <v>219</v>
      </c>
      <c r="E2351" s="50" t="s">
        <v>15</v>
      </c>
      <c r="F2351" s="58">
        <v>1100</v>
      </c>
      <c r="G2351" s="52">
        <v>1108.5</v>
      </c>
      <c r="H2351" s="56">
        <v>0</v>
      </c>
      <c r="I2351" s="13">
        <f t="shared" si="196"/>
        <v>8.5</v>
      </c>
      <c r="J2351" s="14">
        <f t="shared" si="188"/>
        <v>0.77272727272727271</v>
      </c>
      <c r="K2351" s="56">
        <v>2.4</v>
      </c>
      <c r="L2351" s="15">
        <f t="shared" si="189"/>
        <v>0</v>
      </c>
      <c r="M2351" s="16">
        <f t="shared" si="190"/>
        <v>205.33967999999999</v>
      </c>
      <c r="N2351" s="17">
        <f t="shared" si="197"/>
        <v>2.4</v>
      </c>
      <c r="O2351" s="17">
        <f t="shared" si="191"/>
        <v>2640</v>
      </c>
      <c r="P2351" s="18">
        <f t="shared" si="192"/>
        <v>225873.64799999999</v>
      </c>
      <c r="R2351" s="66"/>
      <c r="S2351" s="20"/>
      <c r="T2351" s="20"/>
      <c r="U2351" s="20"/>
      <c r="V2351" s="20"/>
      <c r="W2351" s="20"/>
      <c r="X2351" s="20"/>
      <c r="Y2351" s="20"/>
      <c r="Z2351" s="20"/>
      <c r="AA2351" s="20"/>
    </row>
    <row r="2352" spans="1:27" ht="12.75">
      <c r="A2352" s="54"/>
      <c r="B2352" s="10">
        <v>46180</v>
      </c>
      <c r="C2352" s="11">
        <f>VLOOKUP(B:B,'Курс валют'!A:D,4,0)</f>
        <v>85.558199999999999</v>
      </c>
      <c r="D2352" s="58" t="s">
        <v>220</v>
      </c>
      <c r="E2352" s="50" t="s">
        <v>15</v>
      </c>
      <c r="F2352" s="58">
        <v>1100</v>
      </c>
      <c r="G2352" s="52">
        <v>1108.5</v>
      </c>
      <c r="H2352" s="49">
        <v>0</v>
      </c>
      <c r="I2352" s="13">
        <f t="shared" si="196"/>
        <v>8.5</v>
      </c>
      <c r="J2352" s="14">
        <f t="shared" si="188"/>
        <v>0.77272727272727271</v>
      </c>
      <c r="K2352" s="56">
        <v>2.4</v>
      </c>
      <c r="L2352" s="15">
        <f t="shared" si="189"/>
        <v>0</v>
      </c>
      <c r="M2352" s="16">
        <f t="shared" si="190"/>
        <v>205.33967999999999</v>
      </c>
      <c r="N2352" s="17">
        <f t="shared" si="197"/>
        <v>2.4</v>
      </c>
      <c r="O2352" s="17">
        <f t="shared" si="191"/>
        <v>2640</v>
      </c>
      <c r="P2352" s="18">
        <f t="shared" si="192"/>
        <v>225873.64799999999</v>
      </c>
      <c r="R2352" s="66"/>
      <c r="S2352" s="20"/>
      <c r="T2352" s="20"/>
      <c r="U2352" s="20"/>
      <c r="V2352" s="20"/>
      <c r="W2352" s="20"/>
      <c r="X2352" s="20"/>
      <c r="Y2352" s="20"/>
      <c r="Z2352" s="20"/>
      <c r="AA2352" s="20"/>
    </row>
    <row r="2353" spans="1:27" ht="12.75">
      <c r="A2353" s="54"/>
      <c r="B2353" s="10">
        <v>46180</v>
      </c>
      <c r="C2353" s="11">
        <f>VLOOKUP(B:B,'Курс валют'!A:D,4,0)</f>
        <v>85.558199999999999</v>
      </c>
      <c r="D2353" s="58" t="s">
        <v>221</v>
      </c>
      <c r="E2353" s="50" t="s">
        <v>15</v>
      </c>
      <c r="F2353" s="58">
        <v>1100</v>
      </c>
      <c r="G2353" s="52">
        <v>1108.5</v>
      </c>
      <c r="H2353" s="56">
        <v>0</v>
      </c>
      <c r="I2353" s="13">
        <f t="shared" si="196"/>
        <v>8.5</v>
      </c>
      <c r="J2353" s="14">
        <f t="shared" si="188"/>
        <v>0.77272727272727271</v>
      </c>
      <c r="K2353" s="56">
        <v>2.4</v>
      </c>
      <c r="L2353" s="15">
        <f t="shared" si="189"/>
        <v>0</v>
      </c>
      <c r="M2353" s="16">
        <f t="shared" si="190"/>
        <v>205.33967999999999</v>
      </c>
      <c r="N2353" s="17">
        <f t="shared" si="197"/>
        <v>2.4</v>
      </c>
      <c r="O2353" s="17">
        <f t="shared" si="191"/>
        <v>2640</v>
      </c>
      <c r="P2353" s="18">
        <f t="shared" si="192"/>
        <v>225873.64799999999</v>
      </c>
      <c r="R2353" s="66"/>
      <c r="S2353" s="20"/>
      <c r="T2353" s="20"/>
      <c r="U2353" s="20"/>
      <c r="V2353" s="20"/>
      <c r="W2353" s="20"/>
      <c r="X2353" s="20"/>
      <c r="Y2353" s="20"/>
      <c r="Z2353" s="20"/>
      <c r="AA2353" s="20"/>
    </row>
    <row r="2354" spans="1:27" ht="12.75">
      <c r="A2354" s="54"/>
      <c r="B2354" s="10">
        <v>46180</v>
      </c>
      <c r="C2354" s="11">
        <f>VLOOKUP(B:B,'Курс валют'!A:D,4,0)</f>
        <v>85.558199999999999</v>
      </c>
      <c r="D2354" s="58" t="s">
        <v>222</v>
      </c>
      <c r="E2354" s="50" t="s">
        <v>15</v>
      </c>
      <c r="F2354" s="58">
        <v>1100</v>
      </c>
      <c r="G2354" s="52">
        <v>1108.5</v>
      </c>
      <c r="H2354" s="49">
        <v>0</v>
      </c>
      <c r="I2354" s="13">
        <f t="shared" si="196"/>
        <v>8.5</v>
      </c>
      <c r="J2354" s="14">
        <f t="shared" si="188"/>
        <v>0.77272727272727271</v>
      </c>
      <c r="K2354" s="56">
        <v>2.4</v>
      </c>
      <c r="L2354" s="15">
        <f t="shared" si="189"/>
        <v>0</v>
      </c>
      <c r="M2354" s="16">
        <f t="shared" si="190"/>
        <v>205.33967999999999</v>
      </c>
      <c r="N2354" s="17">
        <f t="shared" si="197"/>
        <v>2.4</v>
      </c>
      <c r="O2354" s="17">
        <f t="shared" si="191"/>
        <v>2640</v>
      </c>
      <c r="P2354" s="18">
        <f t="shared" si="192"/>
        <v>225873.64799999999</v>
      </c>
      <c r="R2354" s="66"/>
      <c r="S2354" s="20"/>
      <c r="T2354" s="20"/>
      <c r="U2354" s="20"/>
      <c r="V2354" s="20"/>
      <c r="W2354" s="20"/>
      <c r="X2354" s="20"/>
      <c r="Y2354" s="20"/>
      <c r="Z2354" s="20"/>
      <c r="AA2354" s="20"/>
    </row>
    <row r="2355" spans="1:27" ht="12.75">
      <c r="A2355" s="54"/>
      <c r="B2355" s="10">
        <v>46180</v>
      </c>
      <c r="C2355" s="11">
        <f>VLOOKUP(B:B,'Курс валют'!A:D,4,0)</f>
        <v>85.558199999999999</v>
      </c>
      <c r="D2355" s="58" t="s">
        <v>223</v>
      </c>
      <c r="E2355" s="50" t="s">
        <v>15</v>
      </c>
      <c r="F2355" s="58">
        <v>1100</v>
      </c>
      <c r="G2355" s="52">
        <v>1108.5</v>
      </c>
      <c r="H2355" s="56">
        <v>0</v>
      </c>
      <c r="I2355" s="13">
        <f t="shared" si="196"/>
        <v>8.5</v>
      </c>
      <c r="J2355" s="14">
        <f t="shared" si="188"/>
        <v>0.77272727272727271</v>
      </c>
      <c r="K2355" s="56">
        <v>2.4</v>
      </c>
      <c r="L2355" s="15">
        <f t="shared" si="189"/>
        <v>0</v>
      </c>
      <c r="M2355" s="16">
        <f t="shared" si="190"/>
        <v>205.33967999999999</v>
      </c>
      <c r="N2355" s="17">
        <f t="shared" si="197"/>
        <v>2.4</v>
      </c>
      <c r="O2355" s="17">
        <f t="shared" si="191"/>
        <v>2640</v>
      </c>
      <c r="P2355" s="18">
        <f t="shared" si="192"/>
        <v>225873.64799999999</v>
      </c>
      <c r="R2355" s="66"/>
      <c r="S2355" s="20"/>
      <c r="T2355" s="20"/>
      <c r="U2355" s="20"/>
      <c r="V2355" s="20"/>
      <c r="W2355" s="20"/>
      <c r="X2355" s="20"/>
      <c r="Y2355" s="20"/>
      <c r="Z2355" s="20"/>
      <c r="AA2355" s="20"/>
    </row>
    <row r="2356" spans="1:27" ht="12.75">
      <c r="A2356" s="54"/>
      <c r="B2356" s="10">
        <v>46181</v>
      </c>
      <c r="C2356" s="11">
        <f>VLOOKUP(B:B,'Курс валют'!A:D,4,0)</f>
        <v>85.558199999999999</v>
      </c>
      <c r="D2356" s="47" t="s">
        <v>224</v>
      </c>
      <c r="E2356" s="55" t="s">
        <v>60</v>
      </c>
      <c r="F2356" s="58">
        <v>2250</v>
      </c>
      <c r="G2356" s="13">
        <v>2295.4</v>
      </c>
      <c r="H2356" s="49">
        <v>0</v>
      </c>
      <c r="I2356" s="13">
        <f t="shared" si="196"/>
        <v>45.400000000000091</v>
      </c>
      <c r="J2356" s="14">
        <f t="shared" si="188"/>
        <v>2.0177777777777819</v>
      </c>
      <c r="K2356" s="56">
        <v>2.17</v>
      </c>
      <c r="L2356" s="15">
        <f t="shared" si="189"/>
        <v>0</v>
      </c>
      <c r="M2356" s="16">
        <f t="shared" si="190"/>
        <v>185.661294</v>
      </c>
      <c r="N2356" s="17">
        <f t="shared" si="197"/>
        <v>2.17</v>
      </c>
      <c r="O2356" s="17">
        <f t="shared" si="191"/>
        <v>4882.5</v>
      </c>
      <c r="P2356" s="18">
        <f t="shared" si="192"/>
        <v>417737.91149999999</v>
      </c>
      <c r="R2356" s="66"/>
      <c r="S2356" s="20"/>
      <c r="T2356" s="20"/>
      <c r="U2356" s="20"/>
      <c r="V2356" s="20"/>
      <c r="W2356" s="20"/>
      <c r="X2356" s="20"/>
      <c r="Y2356" s="20"/>
      <c r="Z2356" s="20"/>
      <c r="AA2356" s="20"/>
    </row>
    <row r="2357" spans="1:27" ht="12.75">
      <c r="A2357" s="54"/>
      <c r="B2357" s="10">
        <v>46181</v>
      </c>
      <c r="C2357" s="11">
        <f>VLOOKUP(B:B,'Курс валют'!A:D,4,0)</f>
        <v>85.558199999999999</v>
      </c>
      <c r="D2357" s="58" t="s">
        <v>225</v>
      </c>
      <c r="E2357" s="55" t="s">
        <v>15</v>
      </c>
      <c r="F2357" s="58">
        <v>1100</v>
      </c>
      <c r="G2357" s="13">
        <v>1108.5</v>
      </c>
      <c r="H2357" s="49">
        <v>0</v>
      </c>
      <c r="I2357" s="13">
        <f t="shared" si="196"/>
        <v>8.5</v>
      </c>
      <c r="J2357" s="14">
        <f t="shared" si="188"/>
        <v>0.77272727272727271</v>
      </c>
      <c r="K2357" s="56">
        <v>2.36</v>
      </c>
      <c r="L2357" s="15">
        <f t="shared" si="189"/>
        <v>0</v>
      </c>
      <c r="M2357" s="16">
        <f t="shared" si="190"/>
        <v>201.91735200000002</v>
      </c>
      <c r="N2357" s="17">
        <f t="shared" si="197"/>
        <v>2.36</v>
      </c>
      <c r="O2357" s="17">
        <f t="shared" si="191"/>
        <v>2596</v>
      </c>
      <c r="P2357" s="18">
        <f t="shared" si="192"/>
        <v>222109.08720000001</v>
      </c>
      <c r="R2357" s="66"/>
      <c r="S2357" s="20"/>
      <c r="T2357" s="20"/>
      <c r="U2357" s="20"/>
      <c r="V2357" s="20"/>
      <c r="W2357" s="20"/>
      <c r="X2357" s="20"/>
      <c r="Y2357" s="20"/>
      <c r="Z2357" s="20"/>
      <c r="AA2357" s="20"/>
    </row>
    <row r="2358" spans="1:27" ht="12.75">
      <c r="A2358" s="54"/>
      <c r="B2358" s="10">
        <v>46181</v>
      </c>
      <c r="C2358" s="11">
        <f>VLOOKUP(B:B,'Курс валют'!A:D,4,0)</f>
        <v>85.558199999999999</v>
      </c>
      <c r="D2358" s="58" t="s">
        <v>226</v>
      </c>
      <c r="E2358" s="55" t="s">
        <v>15</v>
      </c>
      <c r="F2358" s="58">
        <v>1100</v>
      </c>
      <c r="G2358" s="13">
        <v>1108.5</v>
      </c>
      <c r="H2358" s="49">
        <v>0</v>
      </c>
      <c r="I2358" s="13">
        <f t="shared" si="196"/>
        <v>8.5</v>
      </c>
      <c r="J2358" s="14">
        <f t="shared" si="188"/>
        <v>0.77272727272727271</v>
      </c>
      <c r="K2358" s="56">
        <v>2.36</v>
      </c>
      <c r="L2358" s="15">
        <f t="shared" si="189"/>
        <v>0</v>
      </c>
      <c r="M2358" s="16">
        <f t="shared" si="190"/>
        <v>201.91735200000002</v>
      </c>
      <c r="N2358" s="17">
        <f t="shared" si="197"/>
        <v>2.36</v>
      </c>
      <c r="O2358" s="17">
        <f t="shared" si="191"/>
        <v>2596</v>
      </c>
      <c r="P2358" s="18">
        <f t="shared" si="192"/>
        <v>222109.08720000001</v>
      </c>
      <c r="R2358" s="66"/>
      <c r="S2358" s="20"/>
      <c r="T2358" s="20"/>
      <c r="U2358" s="20"/>
      <c r="V2358" s="20"/>
      <c r="W2358" s="20"/>
      <c r="X2358" s="20"/>
      <c r="Y2358" s="20"/>
      <c r="Z2358" s="20"/>
      <c r="AA2358" s="20"/>
    </row>
    <row r="2359" spans="1:27" ht="12.75">
      <c r="A2359" s="54"/>
      <c r="B2359" s="10">
        <v>46181</v>
      </c>
      <c r="C2359" s="11">
        <f>VLOOKUP(B:B,'Курс валют'!A:D,4,0)</f>
        <v>85.558199999999999</v>
      </c>
      <c r="D2359" s="58" t="s">
        <v>227</v>
      </c>
      <c r="E2359" s="55" t="s">
        <v>15</v>
      </c>
      <c r="F2359" s="58">
        <v>1100</v>
      </c>
      <c r="G2359" s="13">
        <v>1108.5</v>
      </c>
      <c r="H2359" s="49">
        <v>0</v>
      </c>
      <c r="I2359" s="13">
        <f t="shared" si="196"/>
        <v>8.5</v>
      </c>
      <c r="J2359" s="14">
        <f t="shared" si="188"/>
        <v>0.77272727272727271</v>
      </c>
      <c r="K2359" s="56">
        <v>2.36</v>
      </c>
      <c r="L2359" s="15">
        <f t="shared" si="189"/>
        <v>0</v>
      </c>
      <c r="M2359" s="16">
        <f t="shared" si="190"/>
        <v>201.91735200000002</v>
      </c>
      <c r="N2359" s="17">
        <f t="shared" si="197"/>
        <v>2.36</v>
      </c>
      <c r="O2359" s="17">
        <f t="shared" si="191"/>
        <v>2596</v>
      </c>
      <c r="P2359" s="18">
        <f t="shared" si="192"/>
        <v>222109.08720000001</v>
      </c>
      <c r="R2359" s="66"/>
      <c r="S2359" s="20"/>
      <c r="T2359" s="20"/>
      <c r="U2359" s="20"/>
      <c r="V2359" s="20"/>
      <c r="W2359" s="20"/>
      <c r="X2359" s="20"/>
      <c r="Y2359" s="20"/>
      <c r="Z2359" s="20"/>
      <c r="AA2359" s="20"/>
    </row>
    <row r="2360" spans="1:27" ht="12.75">
      <c r="A2360" s="54"/>
      <c r="B2360" s="10">
        <v>46181</v>
      </c>
      <c r="C2360" s="11">
        <f>VLOOKUP(B:B,'Курс валют'!A:D,4,0)</f>
        <v>85.558199999999999</v>
      </c>
      <c r="D2360" s="58" t="s">
        <v>228</v>
      </c>
      <c r="E2360" s="55" t="s">
        <v>15</v>
      </c>
      <c r="F2360" s="58">
        <v>1100</v>
      </c>
      <c r="G2360" s="13">
        <v>1108.5</v>
      </c>
      <c r="H2360" s="49">
        <v>0</v>
      </c>
      <c r="I2360" s="13">
        <f t="shared" si="196"/>
        <v>8.5</v>
      </c>
      <c r="J2360" s="14">
        <f t="shared" si="188"/>
        <v>0.77272727272727271</v>
      </c>
      <c r="K2360" s="56">
        <v>2.36</v>
      </c>
      <c r="L2360" s="15">
        <f t="shared" si="189"/>
        <v>0</v>
      </c>
      <c r="M2360" s="16">
        <f t="shared" si="190"/>
        <v>201.91735200000002</v>
      </c>
      <c r="N2360" s="17">
        <f t="shared" si="197"/>
        <v>2.36</v>
      </c>
      <c r="O2360" s="17">
        <f t="shared" si="191"/>
        <v>2596</v>
      </c>
      <c r="P2360" s="18">
        <f t="shared" si="192"/>
        <v>222109.08720000001</v>
      </c>
      <c r="R2360" s="66"/>
      <c r="S2360" s="20"/>
      <c r="T2360" s="20"/>
      <c r="U2360" s="20"/>
      <c r="V2360" s="20"/>
      <c r="W2360" s="20"/>
      <c r="X2360" s="20"/>
      <c r="Y2360" s="20"/>
      <c r="Z2360" s="20"/>
      <c r="AA2360" s="20"/>
    </row>
    <row r="2361" spans="1:27" ht="12.75">
      <c r="A2361" s="54"/>
      <c r="B2361" s="10">
        <v>46181</v>
      </c>
      <c r="C2361" s="11">
        <f>VLOOKUP(B:B,'Курс валют'!A:D,4,0)</f>
        <v>85.558199999999999</v>
      </c>
      <c r="D2361" s="58" t="s">
        <v>229</v>
      </c>
      <c r="E2361" s="55" t="s">
        <v>15</v>
      </c>
      <c r="F2361" s="58">
        <v>1100</v>
      </c>
      <c r="G2361" s="13">
        <v>1108.5</v>
      </c>
      <c r="H2361" s="49">
        <v>0</v>
      </c>
      <c r="I2361" s="13">
        <f t="shared" si="196"/>
        <v>8.5</v>
      </c>
      <c r="J2361" s="14">
        <f t="shared" si="188"/>
        <v>0.77272727272727271</v>
      </c>
      <c r="K2361" s="56">
        <v>2.36</v>
      </c>
      <c r="L2361" s="15">
        <f t="shared" si="189"/>
        <v>0</v>
      </c>
      <c r="M2361" s="16">
        <f t="shared" si="190"/>
        <v>201.91735200000002</v>
      </c>
      <c r="N2361" s="17">
        <f t="shared" si="197"/>
        <v>2.36</v>
      </c>
      <c r="O2361" s="17">
        <f t="shared" si="191"/>
        <v>2596</v>
      </c>
      <c r="P2361" s="18">
        <f t="shared" si="192"/>
        <v>222109.08720000001</v>
      </c>
      <c r="R2361" s="66"/>
      <c r="S2361" s="20"/>
      <c r="T2361" s="20"/>
      <c r="U2361" s="20"/>
      <c r="V2361" s="20"/>
      <c r="W2361" s="20"/>
      <c r="X2361" s="20"/>
      <c r="Y2361" s="20"/>
      <c r="Z2361" s="20"/>
      <c r="AA2361" s="20"/>
    </row>
    <row r="2362" spans="1:27" ht="12.75">
      <c r="A2362" s="54"/>
      <c r="B2362" s="10">
        <v>46181</v>
      </c>
      <c r="C2362" s="11">
        <f>VLOOKUP(B:B,'Курс валют'!A:D,4,0)</f>
        <v>85.558199999999999</v>
      </c>
      <c r="D2362" s="58" t="s">
        <v>230</v>
      </c>
      <c r="E2362" s="55" t="s">
        <v>15</v>
      </c>
      <c r="F2362" s="58">
        <v>1100</v>
      </c>
      <c r="G2362" s="13">
        <v>1108.5</v>
      </c>
      <c r="H2362" s="49">
        <v>0</v>
      </c>
      <c r="I2362" s="13">
        <f t="shared" si="196"/>
        <v>8.5</v>
      </c>
      <c r="J2362" s="14">
        <f t="shared" si="188"/>
        <v>0.77272727272727271</v>
      </c>
      <c r="K2362" s="56">
        <v>2.34</v>
      </c>
      <c r="L2362" s="15">
        <f t="shared" si="189"/>
        <v>0</v>
      </c>
      <c r="M2362" s="16">
        <f t="shared" si="190"/>
        <v>200.206188</v>
      </c>
      <c r="N2362" s="17">
        <f t="shared" si="197"/>
        <v>2.34</v>
      </c>
      <c r="O2362" s="17">
        <f t="shared" si="191"/>
        <v>2574</v>
      </c>
      <c r="P2362" s="18">
        <f t="shared" si="192"/>
        <v>220226.80679999999</v>
      </c>
      <c r="R2362" s="66"/>
      <c r="S2362" s="20"/>
      <c r="T2362" s="20"/>
      <c r="U2362" s="20"/>
      <c r="V2362" s="20"/>
      <c r="W2362" s="20"/>
      <c r="X2362" s="20"/>
      <c r="Y2362" s="20"/>
      <c r="Z2362" s="20"/>
      <c r="AA2362" s="20"/>
    </row>
    <row r="2363" spans="1:27" ht="12.75">
      <c r="A2363" s="54"/>
      <c r="B2363" s="10">
        <v>46181</v>
      </c>
      <c r="C2363" s="11">
        <f>VLOOKUP(B:B,'Курс валют'!A:D,4,0)</f>
        <v>85.558199999999999</v>
      </c>
      <c r="D2363" s="58" t="s">
        <v>231</v>
      </c>
      <c r="E2363" s="55" t="s">
        <v>15</v>
      </c>
      <c r="F2363" s="58">
        <v>1100</v>
      </c>
      <c r="G2363" s="13">
        <v>1108.5</v>
      </c>
      <c r="H2363" s="49">
        <v>0</v>
      </c>
      <c r="I2363" s="13">
        <f t="shared" si="196"/>
        <v>8.5</v>
      </c>
      <c r="J2363" s="14">
        <f t="shared" si="188"/>
        <v>0.77272727272727271</v>
      </c>
      <c r="K2363" s="56">
        <v>2.34</v>
      </c>
      <c r="L2363" s="15">
        <f t="shared" si="189"/>
        <v>0</v>
      </c>
      <c r="M2363" s="16">
        <f t="shared" si="190"/>
        <v>200.206188</v>
      </c>
      <c r="N2363" s="17">
        <f t="shared" si="197"/>
        <v>2.34</v>
      </c>
      <c r="O2363" s="17">
        <f t="shared" si="191"/>
        <v>2574</v>
      </c>
      <c r="P2363" s="18">
        <f t="shared" si="192"/>
        <v>220226.80679999999</v>
      </c>
      <c r="R2363" s="66"/>
      <c r="S2363" s="20"/>
      <c r="T2363" s="20"/>
      <c r="U2363" s="20"/>
      <c r="V2363" s="20"/>
      <c r="W2363" s="20"/>
      <c r="X2363" s="20"/>
      <c r="Y2363" s="20"/>
      <c r="Z2363" s="20"/>
      <c r="AA2363" s="20"/>
    </row>
    <row r="2364" spans="1:27" ht="12.75">
      <c r="A2364" s="54"/>
      <c r="B2364" s="10">
        <v>46181</v>
      </c>
      <c r="C2364" s="11">
        <f>VLOOKUP(B:B,'Курс валют'!A:D,4,0)</f>
        <v>85.558199999999999</v>
      </c>
      <c r="D2364" s="58" t="s">
        <v>232</v>
      </c>
      <c r="E2364" s="55" t="s">
        <v>15</v>
      </c>
      <c r="F2364" s="58">
        <v>1100</v>
      </c>
      <c r="G2364" s="13">
        <v>1108.5</v>
      </c>
      <c r="H2364" s="49">
        <v>0</v>
      </c>
      <c r="I2364" s="13">
        <f t="shared" si="196"/>
        <v>8.5</v>
      </c>
      <c r="J2364" s="14">
        <f t="shared" si="188"/>
        <v>0.77272727272727271</v>
      </c>
      <c r="K2364" s="56">
        <v>2.34</v>
      </c>
      <c r="L2364" s="15">
        <f t="shared" si="189"/>
        <v>0</v>
      </c>
      <c r="M2364" s="16">
        <f t="shared" si="190"/>
        <v>200.206188</v>
      </c>
      <c r="N2364" s="17">
        <f t="shared" si="197"/>
        <v>2.34</v>
      </c>
      <c r="O2364" s="17">
        <f t="shared" si="191"/>
        <v>2574</v>
      </c>
      <c r="P2364" s="18">
        <f t="shared" si="192"/>
        <v>220226.80679999999</v>
      </c>
      <c r="R2364" s="66"/>
      <c r="S2364" s="20"/>
      <c r="T2364" s="20"/>
      <c r="U2364" s="20"/>
      <c r="V2364" s="20"/>
      <c r="W2364" s="20"/>
      <c r="X2364" s="20"/>
      <c r="Y2364" s="20"/>
      <c r="Z2364" s="20"/>
      <c r="AA2364" s="20"/>
    </row>
    <row r="2365" spans="1:27" ht="12.75">
      <c r="A2365" s="54"/>
      <c r="B2365" s="10">
        <v>46181</v>
      </c>
      <c r="C2365" s="11">
        <f>VLOOKUP(B:B,'Курс валют'!A:D,4,0)</f>
        <v>85.558199999999999</v>
      </c>
      <c r="D2365" s="58" t="s">
        <v>233</v>
      </c>
      <c r="E2365" s="55" t="s">
        <v>15</v>
      </c>
      <c r="F2365" s="58">
        <v>1100</v>
      </c>
      <c r="G2365" s="13">
        <v>1108.5</v>
      </c>
      <c r="H2365" s="49">
        <v>0</v>
      </c>
      <c r="I2365" s="13">
        <f t="shared" si="196"/>
        <v>8.5</v>
      </c>
      <c r="J2365" s="14">
        <f t="shared" si="188"/>
        <v>0.77272727272727271</v>
      </c>
      <c r="K2365" s="56">
        <v>2.36</v>
      </c>
      <c r="L2365" s="15">
        <f t="shared" si="189"/>
        <v>0</v>
      </c>
      <c r="M2365" s="16">
        <f t="shared" si="190"/>
        <v>201.91735200000002</v>
      </c>
      <c r="N2365" s="17">
        <f t="shared" si="197"/>
        <v>2.36</v>
      </c>
      <c r="O2365" s="17">
        <f t="shared" si="191"/>
        <v>2596</v>
      </c>
      <c r="P2365" s="18">
        <f t="shared" si="192"/>
        <v>222109.08720000001</v>
      </c>
      <c r="R2365" s="66"/>
      <c r="S2365" s="20"/>
      <c r="T2365" s="20"/>
      <c r="U2365" s="20"/>
      <c r="V2365" s="20"/>
      <c r="W2365" s="20"/>
      <c r="X2365" s="20"/>
      <c r="Y2365" s="20"/>
      <c r="Z2365" s="20"/>
      <c r="AA2365" s="20"/>
    </row>
    <row r="2366" spans="1:27" ht="12.75">
      <c r="A2366" s="54"/>
      <c r="B2366" s="10">
        <v>46181</v>
      </c>
      <c r="C2366" s="11">
        <f>VLOOKUP(B:B,'Курс валют'!A:D,4,0)</f>
        <v>85.558199999999999</v>
      </c>
      <c r="D2366" s="58" t="s">
        <v>234</v>
      </c>
      <c r="E2366" s="55" t="s">
        <v>15</v>
      </c>
      <c r="F2366" s="58">
        <v>1100</v>
      </c>
      <c r="G2366" s="13">
        <v>1108.5</v>
      </c>
      <c r="H2366" s="49">
        <v>0</v>
      </c>
      <c r="I2366" s="13">
        <f t="shared" si="196"/>
        <v>8.5</v>
      </c>
      <c r="J2366" s="14">
        <f t="shared" si="188"/>
        <v>0.77272727272727271</v>
      </c>
      <c r="K2366" s="56">
        <v>2.36</v>
      </c>
      <c r="L2366" s="15">
        <f t="shared" si="189"/>
        <v>0</v>
      </c>
      <c r="M2366" s="16">
        <f t="shared" si="190"/>
        <v>201.91735200000002</v>
      </c>
      <c r="N2366" s="17">
        <f t="shared" si="197"/>
        <v>2.36</v>
      </c>
      <c r="O2366" s="17">
        <f t="shared" si="191"/>
        <v>2596</v>
      </c>
      <c r="P2366" s="18">
        <f t="shared" si="192"/>
        <v>222109.08720000001</v>
      </c>
      <c r="R2366" s="66"/>
      <c r="S2366" s="20"/>
      <c r="T2366" s="20"/>
      <c r="U2366" s="20"/>
      <c r="V2366" s="20"/>
      <c r="W2366" s="20"/>
      <c r="X2366" s="20"/>
      <c r="Y2366" s="20"/>
      <c r="Z2366" s="20"/>
      <c r="AA2366" s="20"/>
    </row>
    <row r="2367" spans="1:27" ht="12.75">
      <c r="A2367" s="54"/>
      <c r="B2367" s="10">
        <v>46182</v>
      </c>
      <c r="C2367" s="11">
        <f>VLOOKUP(B:B,'Курс валют'!A:D,4,0)</f>
        <v>85.279799999999994</v>
      </c>
      <c r="D2367" s="47" t="s">
        <v>235</v>
      </c>
      <c r="E2367" s="55" t="s">
        <v>60</v>
      </c>
      <c r="F2367" s="58">
        <v>2250</v>
      </c>
      <c r="G2367" s="13">
        <v>2295.4</v>
      </c>
      <c r="H2367" s="49">
        <v>0</v>
      </c>
      <c r="I2367" s="13">
        <f t="shared" si="196"/>
        <v>45.400000000000091</v>
      </c>
      <c r="J2367" s="14">
        <f t="shared" si="188"/>
        <v>2.0177777777777819</v>
      </c>
      <c r="K2367" s="56">
        <v>2.14</v>
      </c>
      <c r="L2367" s="15">
        <f t="shared" si="189"/>
        <v>0</v>
      </c>
      <c r="M2367" s="16">
        <f t="shared" si="190"/>
        <v>182.49877199999997</v>
      </c>
      <c r="N2367" s="17">
        <f t="shared" si="197"/>
        <v>2.14</v>
      </c>
      <c r="O2367" s="17">
        <f t="shared" si="191"/>
        <v>4815</v>
      </c>
      <c r="P2367" s="18">
        <f t="shared" si="192"/>
        <v>410622.23699999996</v>
      </c>
      <c r="R2367" s="66"/>
      <c r="S2367" s="20"/>
      <c r="T2367" s="20"/>
      <c r="U2367" s="20"/>
      <c r="V2367" s="20"/>
      <c r="W2367" s="20"/>
      <c r="X2367" s="20"/>
      <c r="Y2367" s="20"/>
      <c r="Z2367" s="20"/>
      <c r="AA2367" s="20"/>
    </row>
    <row r="2368" spans="1:27" ht="12.75">
      <c r="A2368" s="54"/>
      <c r="B2368" s="10">
        <v>46182</v>
      </c>
      <c r="C2368" s="11">
        <f>VLOOKUP(B:B,'Курс валют'!A:D,4,0)</f>
        <v>85.279799999999994</v>
      </c>
      <c r="D2368" s="58" t="s">
        <v>236</v>
      </c>
      <c r="E2368" s="55" t="s">
        <v>15</v>
      </c>
      <c r="F2368" s="58">
        <v>1100</v>
      </c>
      <c r="G2368" s="13">
        <v>1108.5</v>
      </c>
      <c r="H2368" s="49">
        <v>0</v>
      </c>
      <c r="I2368" s="13">
        <f t="shared" si="196"/>
        <v>8.5</v>
      </c>
      <c r="J2368" s="14">
        <f t="shared" si="188"/>
        <v>0.77272727272727271</v>
      </c>
      <c r="K2368" s="56">
        <v>2.35</v>
      </c>
      <c r="L2368" s="15">
        <f t="shared" si="189"/>
        <v>0</v>
      </c>
      <c r="M2368" s="16">
        <f t="shared" si="190"/>
        <v>200.40753000000001</v>
      </c>
      <c r="N2368" s="17">
        <f t="shared" si="197"/>
        <v>2.35</v>
      </c>
      <c r="O2368" s="17">
        <f t="shared" si="191"/>
        <v>2585</v>
      </c>
      <c r="P2368" s="18">
        <f t="shared" si="192"/>
        <v>220448.283</v>
      </c>
      <c r="R2368" s="19"/>
      <c r="S2368" s="20"/>
      <c r="T2368" s="20"/>
      <c r="U2368" s="20"/>
      <c r="V2368" s="20"/>
      <c r="W2368" s="20"/>
      <c r="X2368" s="20"/>
      <c r="Y2368" s="20"/>
      <c r="Z2368" s="20"/>
      <c r="AA2368" s="20"/>
    </row>
    <row r="2369" spans="1:27" ht="12.75">
      <c r="A2369" s="20"/>
      <c r="B2369" s="10">
        <v>46182</v>
      </c>
      <c r="C2369" s="11">
        <f>VLOOKUP(B:B,'Курс валют'!A:D,4,0)</f>
        <v>85.279799999999994</v>
      </c>
      <c r="D2369" s="58" t="s">
        <v>237</v>
      </c>
      <c r="E2369" s="55" t="s">
        <v>15</v>
      </c>
      <c r="F2369" s="58">
        <v>1100</v>
      </c>
      <c r="G2369" s="13">
        <v>1108.5</v>
      </c>
      <c r="H2369" s="49">
        <v>0</v>
      </c>
      <c r="I2369" s="13">
        <f t="shared" si="196"/>
        <v>8.5</v>
      </c>
      <c r="J2369" s="14">
        <f t="shared" si="188"/>
        <v>0.77272727272727271</v>
      </c>
      <c r="K2369" s="56">
        <v>2.34</v>
      </c>
      <c r="L2369" s="15">
        <f t="shared" si="189"/>
        <v>0</v>
      </c>
      <c r="M2369" s="16">
        <f t="shared" si="190"/>
        <v>199.554732</v>
      </c>
      <c r="N2369" s="17">
        <f t="shared" si="197"/>
        <v>2.34</v>
      </c>
      <c r="O2369" s="17">
        <f t="shared" si="191"/>
        <v>2574</v>
      </c>
      <c r="P2369" s="18">
        <f t="shared" si="192"/>
        <v>219510.2052</v>
      </c>
      <c r="R2369" s="19"/>
      <c r="S2369" s="20"/>
      <c r="T2369" s="20"/>
      <c r="U2369" s="20"/>
      <c r="V2369" s="20"/>
      <c r="W2369" s="20"/>
      <c r="X2369" s="20"/>
      <c r="Y2369" s="20"/>
      <c r="Z2369" s="20"/>
      <c r="AA2369" s="20"/>
    </row>
    <row r="2370" spans="1:27" ht="12.75">
      <c r="A2370" s="20"/>
      <c r="B2370" s="10">
        <v>46182</v>
      </c>
      <c r="C2370" s="11">
        <f>VLOOKUP(B:B,'Курс валют'!A:D,4,0)</f>
        <v>85.279799999999994</v>
      </c>
      <c r="D2370" s="58" t="s">
        <v>238</v>
      </c>
      <c r="E2370" s="55" t="s">
        <v>15</v>
      </c>
      <c r="F2370" s="58">
        <v>1100</v>
      </c>
      <c r="G2370" s="13">
        <v>1108.5</v>
      </c>
      <c r="H2370" s="49">
        <v>0</v>
      </c>
      <c r="I2370" s="13">
        <f t="shared" si="196"/>
        <v>8.5</v>
      </c>
      <c r="J2370" s="14">
        <f t="shared" si="188"/>
        <v>0.77272727272727271</v>
      </c>
      <c r="K2370" s="56">
        <v>2.34</v>
      </c>
      <c r="L2370" s="15">
        <f t="shared" si="189"/>
        <v>0</v>
      </c>
      <c r="M2370" s="16">
        <f t="shared" si="190"/>
        <v>199.554732</v>
      </c>
      <c r="N2370" s="17">
        <f t="shared" si="197"/>
        <v>2.34</v>
      </c>
      <c r="O2370" s="17">
        <f t="shared" si="191"/>
        <v>2574</v>
      </c>
      <c r="P2370" s="18">
        <f t="shared" si="192"/>
        <v>219510.2052</v>
      </c>
      <c r="R2370" s="19"/>
      <c r="S2370" s="20"/>
      <c r="T2370" s="20"/>
      <c r="U2370" s="20"/>
      <c r="V2370" s="20"/>
      <c r="W2370" s="20"/>
      <c r="X2370" s="20"/>
      <c r="Y2370" s="20"/>
      <c r="Z2370" s="20"/>
      <c r="AA2370" s="20"/>
    </row>
    <row r="2371" spans="1:27" ht="12.75">
      <c r="A2371" s="20"/>
      <c r="B2371" s="10">
        <v>46182</v>
      </c>
      <c r="C2371" s="11">
        <f>VLOOKUP(B:B,'Курс валют'!A:D,4,0)</f>
        <v>85.279799999999994</v>
      </c>
      <c r="D2371" s="58" t="s">
        <v>239</v>
      </c>
      <c r="E2371" s="55" t="s">
        <v>15</v>
      </c>
      <c r="F2371" s="58">
        <v>1100</v>
      </c>
      <c r="G2371" s="13">
        <v>1108.5</v>
      </c>
      <c r="H2371" s="49">
        <v>0</v>
      </c>
      <c r="I2371" s="13">
        <f t="shared" si="196"/>
        <v>8.5</v>
      </c>
      <c r="J2371" s="14">
        <f t="shared" si="188"/>
        <v>0.77272727272727271</v>
      </c>
      <c r="K2371" s="56">
        <v>2.38</v>
      </c>
      <c r="L2371" s="15">
        <f t="shared" si="189"/>
        <v>0</v>
      </c>
      <c r="M2371" s="16">
        <f t="shared" si="190"/>
        <v>202.965924</v>
      </c>
      <c r="N2371" s="17">
        <f t="shared" si="197"/>
        <v>2.38</v>
      </c>
      <c r="O2371" s="17">
        <f t="shared" si="191"/>
        <v>2618</v>
      </c>
      <c r="P2371" s="18">
        <f t="shared" si="192"/>
        <v>223262.51639999999</v>
      </c>
      <c r="R2371" s="20"/>
      <c r="S2371" s="20"/>
      <c r="T2371" s="20"/>
      <c r="U2371" s="20"/>
      <c r="V2371" s="20"/>
      <c r="W2371" s="20"/>
      <c r="X2371" s="20"/>
      <c r="Y2371" s="20"/>
      <c r="Z2371" s="20"/>
      <c r="AA2371" s="20"/>
    </row>
    <row r="2372" spans="1:27" ht="12.75">
      <c r="A2372" s="20"/>
      <c r="B2372" s="10">
        <v>46182</v>
      </c>
      <c r="C2372" s="11">
        <f>VLOOKUP(B:B,'Курс валют'!A:D,4,0)</f>
        <v>85.279799999999994</v>
      </c>
      <c r="D2372" s="58" t="s">
        <v>240</v>
      </c>
      <c r="E2372" s="55" t="s">
        <v>15</v>
      </c>
      <c r="F2372" s="58">
        <v>1100</v>
      </c>
      <c r="G2372" s="13">
        <v>1108.5</v>
      </c>
      <c r="H2372" s="49">
        <v>0</v>
      </c>
      <c r="I2372" s="13">
        <f t="shared" si="196"/>
        <v>8.5</v>
      </c>
      <c r="J2372" s="14">
        <f t="shared" si="188"/>
        <v>0.77272727272727271</v>
      </c>
      <c r="K2372" s="56">
        <v>2.38</v>
      </c>
      <c r="L2372" s="15">
        <f t="shared" si="189"/>
        <v>0</v>
      </c>
      <c r="M2372" s="16">
        <f t="shared" si="190"/>
        <v>202.965924</v>
      </c>
      <c r="N2372" s="17">
        <f t="shared" si="197"/>
        <v>2.38</v>
      </c>
      <c r="O2372" s="17">
        <f t="shared" si="191"/>
        <v>2618</v>
      </c>
      <c r="P2372" s="18">
        <f t="shared" si="192"/>
        <v>223262.51639999999</v>
      </c>
      <c r="R2372" s="20"/>
      <c r="S2372" s="20"/>
      <c r="T2372" s="20"/>
      <c r="U2372" s="20"/>
      <c r="V2372" s="20"/>
      <c r="W2372" s="20"/>
      <c r="X2372" s="20"/>
      <c r="Y2372" s="20"/>
      <c r="Z2372" s="20"/>
      <c r="AA2372" s="20"/>
    </row>
    <row r="2373" spans="1:27" ht="12.75">
      <c r="A2373" s="20"/>
      <c r="B2373" s="10">
        <v>46182</v>
      </c>
      <c r="C2373" s="11">
        <f>VLOOKUP(B:B,'Курс валют'!A:D,4,0)</f>
        <v>85.279799999999994</v>
      </c>
      <c r="D2373" s="58" t="s">
        <v>241</v>
      </c>
      <c r="E2373" s="55" t="s">
        <v>15</v>
      </c>
      <c r="F2373" s="58">
        <v>1100</v>
      </c>
      <c r="G2373" s="13">
        <v>1108.5</v>
      </c>
      <c r="H2373" s="49">
        <v>0</v>
      </c>
      <c r="I2373" s="13">
        <f t="shared" si="196"/>
        <v>8.5</v>
      </c>
      <c r="J2373" s="14">
        <f t="shared" si="188"/>
        <v>0.77272727272727271</v>
      </c>
      <c r="K2373" s="56">
        <v>2.38</v>
      </c>
      <c r="L2373" s="15">
        <f t="shared" si="189"/>
        <v>0</v>
      </c>
      <c r="M2373" s="16">
        <f t="shared" si="190"/>
        <v>202.965924</v>
      </c>
      <c r="N2373" s="17">
        <f t="shared" si="197"/>
        <v>2.38</v>
      </c>
      <c r="O2373" s="17">
        <f t="shared" si="191"/>
        <v>2618</v>
      </c>
      <c r="P2373" s="18">
        <f t="shared" si="192"/>
        <v>223262.51639999999</v>
      </c>
      <c r="R2373" s="20"/>
      <c r="S2373" s="20"/>
      <c r="T2373" s="20"/>
      <c r="U2373" s="20"/>
      <c r="V2373" s="20"/>
      <c r="W2373" s="20"/>
      <c r="X2373" s="20"/>
      <c r="Y2373" s="20"/>
      <c r="Z2373" s="20"/>
      <c r="AA2373" s="20"/>
    </row>
    <row r="2374" spans="1:27" ht="12.75">
      <c r="A2374" s="20"/>
      <c r="B2374" s="10">
        <v>46182</v>
      </c>
      <c r="C2374" s="11">
        <f>VLOOKUP(B:B,'Курс валют'!A:D,4,0)</f>
        <v>85.279799999999994</v>
      </c>
      <c r="D2374" s="58" t="s">
        <v>242</v>
      </c>
      <c r="E2374" s="50" t="s">
        <v>67</v>
      </c>
      <c r="F2374" s="58">
        <v>80</v>
      </c>
      <c r="G2374" s="13">
        <v>80</v>
      </c>
      <c r="H2374" s="49">
        <v>0</v>
      </c>
      <c r="I2374" s="13">
        <f t="shared" si="196"/>
        <v>0</v>
      </c>
      <c r="J2374" s="14">
        <f t="shared" si="188"/>
        <v>0</v>
      </c>
      <c r="K2374" s="56">
        <v>2.16</v>
      </c>
      <c r="L2374" s="15">
        <f t="shared" si="189"/>
        <v>0</v>
      </c>
      <c r="M2374" s="16">
        <f t="shared" si="190"/>
        <v>184.20436799999999</v>
      </c>
      <c r="N2374" s="17">
        <f t="shared" si="197"/>
        <v>2.16</v>
      </c>
      <c r="O2374" s="17">
        <f t="shared" si="191"/>
        <v>172.8</v>
      </c>
      <c r="P2374" s="18">
        <f t="shared" si="192"/>
        <v>14736.34944</v>
      </c>
      <c r="R2374" s="19" t="s">
        <v>243</v>
      </c>
      <c r="S2374" s="20"/>
      <c r="T2374" s="20"/>
      <c r="U2374" s="20"/>
      <c r="V2374" s="20"/>
      <c r="W2374" s="20"/>
      <c r="X2374" s="20"/>
      <c r="Y2374" s="20"/>
      <c r="Z2374" s="20"/>
      <c r="AA2374" s="20"/>
    </row>
    <row r="2375" spans="1:27" ht="12.75">
      <c r="A2375" s="20"/>
      <c r="B2375" s="10">
        <v>46182</v>
      </c>
      <c r="C2375" s="11">
        <f>VLOOKUP(B:B,'Курс валют'!A:D,4,0)</f>
        <v>85.279799999999994</v>
      </c>
      <c r="D2375" s="58" t="s">
        <v>244</v>
      </c>
      <c r="E2375" s="50" t="s">
        <v>15</v>
      </c>
      <c r="F2375" s="58">
        <v>1100</v>
      </c>
      <c r="G2375" s="13">
        <v>1108.5</v>
      </c>
      <c r="H2375" s="49">
        <v>0</v>
      </c>
      <c r="I2375" s="13">
        <f t="shared" si="196"/>
        <v>8.5</v>
      </c>
      <c r="J2375" s="14">
        <f t="shared" si="188"/>
        <v>0.77272727272727271</v>
      </c>
      <c r="K2375" s="56">
        <v>2.38</v>
      </c>
      <c r="L2375" s="15">
        <f t="shared" si="189"/>
        <v>0</v>
      </c>
      <c r="M2375" s="16">
        <f t="shared" si="190"/>
        <v>202.965924</v>
      </c>
      <c r="N2375" s="17">
        <f t="shared" si="197"/>
        <v>2.38</v>
      </c>
      <c r="O2375" s="17">
        <f t="shared" si="191"/>
        <v>2618</v>
      </c>
      <c r="P2375" s="18">
        <f t="shared" si="192"/>
        <v>223262.51639999999</v>
      </c>
      <c r="R2375" s="20"/>
      <c r="S2375" s="20"/>
      <c r="T2375" s="20"/>
      <c r="U2375" s="20"/>
      <c r="V2375" s="20"/>
      <c r="W2375" s="20"/>
      <c r="X2375" s="20"/>
      <c r="Y2375" s="20"/>
      <c r="Z2375" s="20"/>
      <c r="AA2375" s="20"/>
    </row>
    <row r="2376" spans="1:27" ht="12.75">
      <c r="A2376" s="20"/>
      <c r="B2376" s="10">
        <v>46182</v>
      </c>
      <c r="C2376" s="11">
        <f>VLOOKUP(B:B,'Курс валют'!A:D,4,0)</f>
        <v>85.279799999999994</v>
      </c>
      <c r="D2376" s="58" t="s">
        <v>245</v>
      </c>
      <c r="E2376" s="50" t="s">
        <v>15</v>
      </c>
      <c r="F2376" s="58">
        <v>1100</v>
      </c>
      <c r="G2376" s="13">
        <v>1108.5</v>
      </c>
      <c r="H2376" s="49">
        <v>0</v>
      </c>
      <c r="I2376" s="13">
        <f t="shared" si="196"/>
        <v>8.5</v>
      </c>
      <c r="J2376" s="14">
        <f t="shared" si="188"/>
        <v>0.77272727272727271</v>
      </c>
      <c r="K2376" s="56">
        <v>2.38</v>
      </c>
      <c r="L2376" s="15">
        <f t="shared" si="189"/>
        <v>0</v>
      </c>
      <c r="M2376" s="16">
        <f t="shared" si="190"/>
        <v>202.965924</v>
      </c>
      <c r="N2376" s="17">
        <f t="shared" si="197"/>
        <v>2.38</v>
      </c>
      <c r="O2376" s="17">
        <f t="shared" si="191"/>
        <v>2618</v>
      </c>
      <c r="P2376" s="18">
        <f t="shared" si="192"/>
        <v>223262.51639999999</v>
      </c>
      <c r="R2376" s="20"/>
      <c r="S2376" s="20"/>
      <c r="T2376" s="20"/>
      <c r="U2376" s="20"/>
      <c r="V2376" s="20"/>
      <c r="W2376" s="20"/>
      <c r="X2376" s="20"/>
      <c r="Y2376" s="20"/>
      <c r="Z2376" s="20"/>
      <c r="AA2376" s="20"/>
    </row>
    <row r="2377" spans="1:27" ht="12.75">
      <c r="A2377" s="20"/>
      <c r="B2377" s="10">
        <v>46182</v>
      </c>
      <c r="C2377" s="11">
        <f>VLOOKUP(B:B,'Курс валют'!A:D,4,0)</f>
        <v>85.279799999999994</v>
      </c>
      <c r="D2377" s="58" t="s">
        <v>246</v>
      </c>
      <c r="E2377" s="50" t="s">
        <v>15</v>
      </c>
      <c r="F2377" s="58">
        <v>1100</v>
      </c>
      <c r="G2377" s="13">
        <v>1108.5</v>
      </c>
      <c r="H2377" s="49">
        <v>0</v>
      </c>
      <c r="I2377" s="13">
        <f t="shared" si="196"/>
        <v>8.5</v>
      </c>
      <c r="J2377" s="14">
        <f t="shared" si="188"/>
        <v>0.77272727272727271</v>
      </c>
      <c r="K2377" s="56">
        <v>2.38</v>
      </c>
      <c r="L2377" s="15">
        <f t="shared" si="189"/>
        <v>0</v>
      </c>
      <c r="M2377" s="16">
        <f t="shared" si="190"/>
        <v>202.965924</v>
      </c>
      <c r="N2377" s="17">
        <f t="shared" si="197"/>
        <v>2.38</v>
      </c>
      <c r="O2377" s="17">
        <f t="shared" si="191"/>
        <v>2618</v>
      </c>
      <c r="P2377" s="18">
        <f t="shared" si="192"/>
        <v>223262.51639999999</v>
      </c>
      <c r="R2377" s="20"/>
      <c r="S2377" s="20"/>
      <c r="T2377" s="20"/>
      <c r="U2377" s="20"/>
      <c r="V2377" s="20"/>
      <c r="W2377" s="20"/>
      <c r="X2377" s="20"/>
      <c r="Y2377" s="20"/>
      <c r="Z2377" s="20"/>
      <c r="AA2377" s="20"/>
    </row>
    <row r="2378" spans="1:27" ht="12.75">
      <c r="A2378" s="20"/>
      <c r="B2378" s="10">
        <v>46182</v>
      </c>
      <c r="C2378" s="11">
        <f>VLOOKUP(B:B,'Курс валют'!A:D,4,0)</f>
        <v>85.279799999999994</v>
      </c>
      <c r="D2378" s="58" t="s">
        <v>247</v>
      </c>
      <c r="E2378" s="50" t="s">
        <v>15</v>
      </c>
      <c r="F2378" s="58">
        <v>1100</v>
      </c>
      <c r="G2378" s="13">
        <v>1108.5</v>
      </c>
      <c r="H2378" s="56">
        <v>0</v>
      </c>
      <c r="I2378" s="13">
        <f t="shared" si="196"/>
        <v>8.5</v>
      </c>
      <c r="J2378" s="14">
        <f t="shared" si="188"/>
        <v>0.77272727272727271</v>
      </c>
      <c r="K2378" s="56">
        <v>2.38</v>
      </c>
      <c r="L2378" s="15">
        <f t="shared" si="189"/>
        <v>0</v>
      </c>
      <c r="M2378" s="16">
        <f t="shared" si="190"/>
        <v>202.965924</v>
      </c>
      <c r="N2378" s="17">
        <f t="shared" si="197"/>
        <v>2.38</v>
      </c>
      <c r="O2378" s="17">
        <f t="shared" si="191"/>
        <v>2618</v>
      </c>
      <c r="P2378" s="18">
        <f t="shared" si="192"/>
        <v>223262.51639999999</v>
      </c>
      <c r="R2378" s="19"/>
      <c r="S2378" s="20"/>
      <c r="T2378" s="20"/>
      <c r="U2378" s="20"/>
      <c r="V2378" s="20"/>
      <c r="W2378" s="20"/>
      <c r="X2378" s="20"/>
      <c r="Y2378" s="20"/>
      <c r="Z2378" s="20"/>
      <c r="AA2378" s="20"/>
    </row>
    <row r="2379" spans="1:27" ht="12.75">
      <c r="A2379" s="20"/>
      <c r="B2379" s="10">
        <v>46182</v>
      </c>
      <c r="C2379" s="11">
        <f>VLOOKUP(B:B,'Курс валют'!A:D,4,0)</f>
        <v>85.279799999999994</v>
      </c>
      <c r="D2379" s="58" t="s">
        <v>248</v>
      </c>
      <c r="E2379" s="50" t="s">
        <v>249</v>
      </c>
      <c r="F2379" s="58">
        <v>20</v>
      </c>
      <c r="G2379" s="13">
        <v>22.11</v>
      </c>
      <c r="H2379" s="56">
        <v>0</v>
      </c>
      <c r="I2379" s="13">
        <f t="shared" si="196"/>
        <v>2.1099999999999994</v>
      </c>
      <c r="J2379" s="14">
        <f t="shared" si="188"/>
        <v>10.549999999999997</v>
      </c>
      <c r="K2379" s="56">
        <v>2.2000000000000002</v>
      </c>
      <c r="L2379" s="15">
        <f t="shared" si="189"/>
        <v>0</v>
      </c>
      <c r="M2379" s="16">
        <f t="shared" si="190"/>
        <v>187.61555999999999</v>
      </c>
      <c r="N2379" s="17">
        <f t="shared" si="197"/>
        <v>2.2000000000000002</v>
      </c>
      <c r="O2379" s="17">
        <f t="shared" si="191"/>
        <v>44</v>
      </c>
      <c r="P2379" s="18">
        <f t="shared" si="192"/>
        <v>3752.3111999999996</v>
      </c>
      <c r="R2379" s="19"/>
      <c r="S2379" s="20"/>
      <c r="T2379" s="20"/>
      <c r="U2379" s="20"/>
      <c r="V2379" s="20"/>
      <c r="W2379" s="20"/>
      <c r="X2379" s="20"/>
      <c r="Y2379" s="20"/>
      <c r="Z2379" s="20"/>
      <c r="AA2379" s="20"/>
    </row>
    <row r="2380" spans="1:27" ht="12.75">
      <c r="A2380" s="20"/>
      <c r="B2380" s="10">
        <v>46182</v>
      </c>
      <c r="C2380" s="11">
        <f>VLOOKUP(B:B,'Курс валют'!A:D,4,0)</f>
        <v>85.279799999999994</v>
      </c>
      <c r="D2380" s="58" t="s">
        <v>250</v>
      </c>
      <c r="E2380" s="50" t="s">
        <v>251</v>
      </c>
      <c r="F2380" s="58">
        <v>20</v>
      </c>
      <c r="G2380" s="13">
        <v>22.11</v>
      </c>
      <c r="H2380" s="56">
        <v>0</v>
      </c>
      <c r="I2380" s="13">
        <f t="shared" si="196"/>
        <v>2.1099999999999994</v>
      </c>
      <c r="J2380" s="14">
        <f t="shared" si="188"/>
        <v>10.549999999999997</v>
      </c>
      <c r="K2380" s="56">
        <v>2.2799999999999998</v>
      </c>
      <c r="L2380" s="15">
        <f t="shared" si="189"/>
        <v>0</v>
      </c>
      <c r="M2380" s="16">
        <f t="shared" si="190"/>
        <v>194.43794399999996</v>
      </c>
      <c r="N2380" s="17">
        <f t="shared" si="197"/>
        <v>2.2799999999999998</v>
      </c>
      <c r="O2380" s="17">
        <f t="shared" si="191"/>
        <v>45.599999999999994</v>
      </c>
      <c r="P2380" s="18">
        <f t="shared" si="192"/>
        <v>3888.7588799999994</v>
      </c>
      <c r="R2380" s="20"/>
      <c r="S2380" s="20"/>
      <c r="T2380" s="20"/>
      <c r="U2380" s="20"/>
      <c r="V2380" s="20"/>
      <c r="W2380" s="20"/>
      <c r="X2380" s="20"/>
      <c r="Y2380" s="20"/>
      <c r="Z2380" s="20"/>
      <c r="AA2380" s="20"/>
    </row>
    <row r="2381" spans="1:27" ht="12.75">
      <c r="A2381" s="20"/>
      <c r="B2381" s="10">
        <v>46182</v>
      </c>
      <c r="C2381" s="11">
        <f>VLOOKUP(B:B,'Курс валют'!A:D,4,0)</f>
        <v>85.279799999999994</v>
      </c>
      <c r="D2381" s="58" t="s">
        <v>252</v>
      </c>
      <c r="E2381" s="50" t="s">
        <v>112</v>
      </c>
      <c r="F2381" s="58">
        <v>24</v>
      </c>
      <c r="G2381" s="13">
        <v>26.95</v>
      </c>
      <c r="H2381" s="56">
        <v>0</v>
      </c>
      <c r="I2381" s="13">
        <f t="shared" si="196"/>
        <v>2.9499999999999993</v>
      </c>
      <c r="J2381" s="14">
        <f t="shared" si="188"/>
        <v>12.291666666666663</v>
      </c>
      <c r="K2381" s="56">
        <v>3.44</v>
      </c>
      <c r="L2381" s="15">
        <f t="shared" si="189"/>
        <v>0</v>
      </c>
      <c r="M2381" s="16">
        <f t="shared" si="190"/>
        <v>293.36251199999998</v>
      </c>
      <c r="N2381" s="17">
        <f t="shared" si="197"/>
        <v>3.44</v>
      </c>
      <c r="O2381" s="17">
        <f t="shared" si="191"/>
        <v>82.56</v>
      </c>
      <c r="P2381" s="18">
        <f t="shared" si="192"/>
        <v>7040.700288</v>
      </c>
      <c r="R2381" s="20"/>
      <c r="S2381" s="20"/>
      <c r="T2381" s="20"/>
      <c r="U2381" s="20"/>
      <c r="V2381" s="20"/>
      <c r="W2381" s="20"/>
      <c r="X2381" s="20"/>
      <c r="Y2381" s="20"/>
      <c r="Z2381" s="20"/>
      <c r="AA2381" s="20"/>
    </row>
    <row r="2382" spans="1:27" ht="12.75">
      <c r="A2382" s="20"/>
      <c r="B2382" s="10">
        <v>46183</v>
      </c>
      <c r="C2382" s="11">
        <f>VLOOKUP(B:B,'Курс валют'!A:D,4,0)</f>
        <v>82.778499999999994</v>
      </c>
      <c r="D2382" s="58" t="s">
        <v>253</v>
      </c>
      <c r="E2382" s="50" t="s">
        <v>60</v>
      </c>
      <c r="F2382" s="58">
        <v>2250</v>
      </c>
      <c r="G2382" s="13">
        <v>2294.6999999999998</v>
      </c>
      <c r="H2382" s="56">
        <v>0</v>
      </c>
      <c r="I2382" s="13">
        <f t="shared" si="196"/>
        <v>44.699999999999818</v>
      </c>
      <c r="J2382" s="14">
        <f t="shared" si="188"/>
        <v>1.9866666666666584</v>
      </c>
      <c r="K2382" s="56">
        <v>2.14</v>
      </c>
      <c r="L2382" s="15">
        <f t="shared" si="189"/>
        <v>0</v>
      </c>
      <c r="M2382" s="16">
        <f t="shared" si="190"/>
        <v>177.14598999999998</v>
      </c>
      <c r="N2382" s="17">
        <f t="shared" si="197"/>
        <v>2.14</v>
      </c>
      <c r="O2382" s="17">
        <f t="shared" si="191"/>
        <v>4815</v>
      </c>
      <c r="P2382" s="18">
        <f t="shared" si="192"/>
        <v>398578.47749999998</v>
      </c>
      <c r="R2382" s="20"/>
      <c r="S2382" s="20"/>
      <c r="T2382" s="20"/>
      <c r="U2382" s="20"/>
      <c r="V2382" s="20"/>
      <c r="W2382" s="20"/>
      <c r="X2382" s="20"/>
      <c r="Y2382" s="20"/>
      <c r="Z2382" s="20"/>
      <c r="AA2382" s="20"/>
    </row>
    <row r="2383" spans="1:27" ht="12.75">
      <c r="A2383" s="20"/>
      <c r="B2383" s="10">
        <v>46183</v>
      </c>
      <c r="C2383" s="11">
        <f>VLOOKUP(B:B,'Курс валют'!A:D,4,0)</f>
        <v>82.778499999999994</v>
      </c>
      <c r="D2383" s="58" t="s">
        <v>254</v>
      </c>
      <c r="E2383" s="50" t="s">
        <v>58</v>
      </c>
      <c r="F2383" s="58">
        <v>1100</v>
      </c>
      <c r="G2383" s="13">
        <v>1108.01</v>
      </c>
      <c r="H2383" s="56">
        <v>0</v>
      </c>
      <c r="I2383" s="13">
        <f t="shared" si="196"/>
        <v>8.0099999999999909</v>
      </c>
      <c r="J2383" s="14">
        <f t="shared" si="188"/>
        <v>0.72818181818181726</v>
      </c>
      <c r="K2383" s="56">
        <v>2.4700000000000002</v>
      </c>
      <c r="L2383" s="15">
        <f t="shared" si="189"/>
        <v>0</v>
      </c>
      <c r="M2383" s="16">
        <f t="shared" si="190"/>
        <v>204.46289499999997</v>
      </c>
      <c r="N2383" s="17">
        <f t="shared" si="197"/>
        <v>2.4700000000000002</v>
      </c>
      <c r="O2383" s="17">
        <f t="shared" si="191"/>
        <v>2717</v>
      </c>
      <c r="P2383" s="18">
        <f t="shared" si="192"/>
        <v>224909.18449999997</v>
      </c>
      <c r="R2383" s="20"/>
      <c r="S2383" s="20"/>
      <c r="T2383" s="20"/>
      <c r="U2383" s="20"/>
      <c r="V2383" s="20"/>
      <c r="W2383" s="20"/>
      <c r="X2383" s="20"/>
      <c r="Y2383" s="20"/>
      <c r="Z2383" s="20"/>
      <c r="AA2383" s="20"/>
    </row>
    <row r="2384" spans="1:27" ht="12.75">
      <c r="A2384" s="20"/>
      <c r="B2384" s="10">
        <v>46183</v>
      </c>
      <c r="C2384" s="11">
        <f>VLOOKUP(B:B,'Курс валют'!A:D,4,0)</f>
        <v>82.778499999999994</v>
      </c>
      <c r="D2384" s="58" t="s">
        <v>255</v>
      </c>
      <c r="E2384" s="50" t="s">
        <v>58</v>
      </c>
      <c r="F2384" s="58">
        <v>1100</v>
      </c>
      <c r="G2384" s="13">
        <v>1108.01</v>
      </c>
      <c r="H2384" s="56">
        <v>0</v>
      </c>
      <c r="I2384" s="13">
        <f t="shared" si="196"/>
        <v>8.0099999999999909</v>
      </c>
      <c r="J2384" s="14">
        <f t="shared" si="188"/>
        <v>0.72818181818181726</v>
      </c>
      <c r="K2384" s="56">
        <v>2.46</v>
      </c>
      <c r="L2384" s="15">
        <f t="shared" si="189"/>
        <v>0</v>
      </c>
      <c r="M2384" s="16">
        <f t="shared" si="190"/>
        <v>203.63511</v>
      </c>
      <c r="N2384" s="17">
        <f t="shared" si="197"/>
        <v>2.46</v>
      </c>
      <c r="O2384" s="17">
        <f t="shared" si="191"/>
        <v>2706</v>
      </c>
      <c r="P2384" s="18">
        <f t="shared" si="192"/>
        <v>223998.62099999998</v>
      </c>
      <c r="R2384" s="20"/>
      <c r="S2384" s="20"/>
      <c r="T2384" s="20"/>
      <c r="U2384" s="20"/>
      <c r="V2384" s="20"/>
      <c r="W2384" s="20"/>
      <c r="X2384" s="20"/>
      <c r="Y2384" s="20"/>
      <c r="Z2384" s="20"/>
      <c r="AA2384" s="20"/>
    </row>
    <row r="2385" spans="1:27" ht="12.75">
      <c r="A2385" s="20"/>
      <c r="B2385" s="10">
        <v>46183</v>
      </c>
      <c r="C2385" s="11">
        <f>VLOOKUP(B:B,'Курс валют'!A:D,4,0)</f>
        <v>82.778499999999994</v>
      </c>
      <c r="D2385" s="58" t="s">
        <v>256</v>
      </c>
      <c r="E2385" s="50" t="s">
        <v>58</v>
      </c>
      <c r="F2385" s="58">
        <v>1100</v>
      </c>
      <c r="G2385" s="13">
        <v>1108.01</v>
      </c>
      <c r="H2385" s="56">
        <v>0</v>
      </c>
      <c r="I2385" s="13">
        <f t="shared" si="196"/>
        <v>8.0099999999999909</v>
      </c>
      <c r="J2385" s="14">
        <f t="shared" si="188"/>
        <v>0.72818181818181726</v>
      </c>
      <c r="K2385" s="56">
        <v>2.46</v>
      </c>
      <c r="L2385" s="15">
        <f t="shared" si="189"/>
        <v>0</v>
      </c>
      <c r="M2385" s="16">
        <f t="shared" si="190"/>
        <v>203.63511</v>
      </c>
      <c r="N2385" s="17">
        <f t="shared" si="197"/>
        <v>2.46</v>
      </c>
      <c r="O2385" s="17">
        <f t="shared" si="191"/>
        <v>2706</v>
      </c>
      <c r="P2385" s="18">
        <f t="shared" si="192"/>
        <v>223998.62099999998</v>
      </c>
      <c r="R2385" s="20"/>
      <c r="S2385" s="20"/>
      <c r="T2385" s="20"/>
      <c r="U2385" s="20"/>
      <c r="V2385" s="20"/>
      <c r="W2385" s="20"/>
      <c r="X2385" s="20"/>
      <c r="Y2385" s="20"/>
      <c r="Z2385" s="20"/>
      <c r="AA2385" s="20"/>
    </row>
    <row r="2386" spans="1:27" ht="12.75">
      <c r="A2386" s="20"/>
      <c r="B2386" s="10">
        <v>46183</v>
      </c>
      <c r="C2386" s="11">
        <f>VLOOKUP(B:B,'Курс валют'!A:D,4,0)</f>
        <v>82.778499999999994</v>
      </c>
      <c r="D2386" s="58" t="s">
        <v>257</v>
      </c>
      <c r="E2386" s="50" t="s">
        <v>58</v>
      </c>
      <c r="F2386" s="58">
        <v>1100</v>
      </c>
      <c r="G2386" s="13">
        <v>1108.01</v>
      </c>
      <c r="H2386" s="56">
        <v>0</v>
      </c>
      <c r="I2386" s="13">
        <f t="shared" si="196"/>
        <v>8.0099999999999909</v>
      </c>
      <c r="J2386" s="14">
        <f t="shared" si="188"/>
        <v>0.72818181818181726</v>
      </c>
      <c r="K2386" s="56">
        <v>2.4700000000000002</v>
      </c>
      <c r="L2386" s="15">
        <f t="shared" si="189"/>
        <v>0</v>
      </c>
      <c r="M2386" s="16">
        <f t="shared" si="190"/>
        <v>204.46289499999997</v>
      </c>
      <c r="N2386" s="17">
        <f t="shared" si="197"/>
        <v>2.4700000000000002</v>
      </c>
      <c r="O2386" s="17">
        <f t="shared" si="191"/>
        <v>2717</v>
      </c>
      <c r="P2386" s="18">
        <f t="shared" si="192"/>
        <v>224909.18449999997</v>
      </c>
      <c r="R2386" s="20"/>
      <c r="S2386" s="20"/>
      <c r="T2386" s="20"/>
      <c r="U2386" s="20"/>
      <c r="V2386" s="20"/>
      <c r="W2386" s="20"/>
      <c r="X2386" s="20"/>
      <c r="Y2386" s="20"/>
      <c r="Z2386" s="20"/>
      <c r="AA2386" s="20"/>
    </row>
    <row r="2387" spans="1:27" ht="12.75">
      <c r="A2387" s="20"/>
      <c r="B2387" s="10">
        <v>46183</v>
      </c>
      <c r="C2387" s="11">
        <f>VLOOKUP(B:B,'Курс валют'!A:D,4,0)</f>
        <v>82.778499999999994</v>
      </c>
      <c r="D2387" s="58" t="s">
        <v>258</v>
      </c>
      <c r="E2387" s="50" t="s">
        <v>58</v>
      </c>
      <c r="F2387" s="58">
        <v>1100</v>
      </c>
      <c r="G2387" s="13">
        <v>1108.01</v>
      </c>
      <c r="H2387" s="56">
        <v>0</v>
      </c>
      <c r="I2387" s="13">
        <f t="shared" si="196"/>
        <v>8.0099999999999909</v>
      </c>
      <c r="J2387" s="14">
        <f t="shared" si="188"/>
        <v>0.72818181818181726</v>
      </c>
      <c r="K2387" s="56">
        <v>2.46</v>
      </c>
      <c r="L2387" s="15">
        <f t="shared" si="189"/>
        <v>0</v>
      </c>
      <c r="M2387" s="16">
        <f t="shared" si="190"/>
        <v>203.63511</v>
      </c>
      <c r="N2387" s="17">
        <f t="shared" si="197"/>
        <v>2.46</v>
      </c>
      <c r="O2387" s="17">
        <f t="shared" si="191"/>
        <v>2706</v>
      </c>
      <c r="P2387" s="18">
        <f t="shared" si="192"/>
        <v>223998.62099999998</v>
      </c>
      <c r="R2387" s="20"/>
      <c r="S2387" s="20"/>
      <c r="T2387" s="20"/>
      <c r="U2387" s="20"/>
      <c r="V2387" s="20"/>
      <c r="W2387" s="20"/>
      <c r="X2387" s="20"/>
      <c r="Y2387" s="20"/>
      <c r="Z2387" s="20"/>
      <c r="AA2387" s="20"/>
    </row>
    <row r="2388" spans="1:27" ht="12.75">
      <c r="A2388" s="20"/>
      <c r="B2388" s="10">
        <v>46183</v>
      </c>
      <c r="C2388" s="11">
        <f>VLOOKUP(B:B,'Курс валют'!A:D,4,0)</f>
        <v>82.778499999999994</v>
      </c>
      <c r="D2388" s="58" t="s">
        <v>259</v>
      </c>
      <c r="E2388" s="50" t="s">
        <v>58</v>
      </c>
      <c r="F2388" s="58">
        <v>1100</v>
      </c>
      <c r="G2388" s="13">
        <v>1108.01</v>
      </c>
      <c r="H2388" s="56">
        <v>0</v>
      </c>
      <c r="I2388" s="13">
        <f t="shared" si="196"/>
        <v>8.0099999999999909</v>
      </c>
      <c r="J2388" s="14">
        <f t="shared" si="188"/>
        <v>0.72818181818181726</v>
      </c>
      <c r="K2388" s="56">
        <v>2.4700000000000002</v>
      </c>
      <c r="L2388" s="15">
        <f t="shared" si="189"/>
        <v>0</v>
      </c>
      <c r="M2388" s="16">
        <f t="shared" si="190"/>
        <v>204.46289499999997</v>
      </c>
      <c r="N2388" s="17">
        <f t="shared" si="197"/>
        <v>2.4700000000000002</v>
      </c>
      <c r="O2388" s="17">
        <f t="shared" si="191"/>
        <v>2717</v>
      </c>
      <c r="P2388" s="18">
        <f t="shared" si="192"/>
        <v>224909.18449999997</v>
      </c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</row>
    <row r="2389" spans="1:27" ht="12.75">
      <c r="A2389" s="20"/>
      <c r="B2389" s="10">
        <v>46183</v>
      </c>
      <c r="C2389" s="11">
        <f>VLOOKUP(B:B,'Курс валют'!A:D,4,0)</f>
        <v>82.778499999999994</v>
      </c>
      <c r="D2389" s="58" t="s">
        <v>260</v>
      </c>
      <c r="E2389" s="50" t="s">
        <v>58</v>
      </c>
      <c r="F2389" s="58">
        <v>1100</v>
      </c>
      <c r="G2389" s="13">
        <v>1108.01</v>
      </c>
      <c r="H2389" s="56">
        <v>0</v>
      </c>
      <c r="I2389" s="13">
        <f t="shared" si="196"/>
        <v>8.0099999999999909</v>
      </c>
      <c r="J2389" s="14">
        <f t="shared" si="188"/>
        <v>0.72818181818181726</v>
      </c>
      <c r="K2389" s="56">
        <v>2.4700000000000002</v>
      </c>
      <c r="L2389" s="15">
        <f t="shared" si="189"/>
        <v>0</v>
      </c>
      <c r="M2389" s="16">
        <f t="shared" si="190"/>
        <v>204.46289499999997</v>
      </c>
      <c r="N2389" s="17">
        <f t="shared" si="197"/>
        <v>2.4700000000000002</v>
      </c>
      <c r="O2389" s="17">
        <f t="shared" si="191"/>
        <v>2717</v>
      </c>
      <c r="P2389" s="18">
        <f t="shared" si="192"/>
        <v>224909.18449999997</v>
      </c>
      <c r="R2389" s="20"/>
      <c r="S2389" s="20"/>
      <c r="T2389" s="20"/>
      <c r="U2389" s="20"/>
      <c r="V2389" s="20"/>
      <c r="W2389" s="20"/>
      <c r="X2389" s="20"/>
      <c r="Y2389" s="20"/>
      <c r="Z2389" s="20"/>
      <c r="AA2389" s="20"/>
    </row>
    <row r="2390" spans="1:27" ht="12.75">
      <c r="A2390" s="20"/>
      <c r="B2390" s="10">
        <v>46183</v>
      </c>
      <c r="C2390" s="11">
        <f>VLOOKUP(B:B,'Курс валют'!A:D,4,0)</f>
        <v>82.778499999999994</v>
      </c>
      <c r="D2390" s="58" t="s">
        <v>261</v>
      </c>
      <c r="E2390" s="50" t="s">
        <v>58</v>
      </c>
      <c r="F2390" s="58">
        <v>1100</v>
      </c>
      <c r="G2390" s="13">
        <v>1108.01</v>
      </c>
      <c r="H2390" s="56">
        <v>0</v>
      </c>
      <c r="I2390" s="13">
        <f t="shared" si="196"/>
        <v>8.0099999999999909</v>
      </c>
      <c r="J2390" s="14">
        <f t="shared" si="188"/>
        <v>0.72818181818181726</v>
      </c>
      <c r="K2390" s="56">
        <v>2.4700000000000002</v>
      </c>
      <c r="L2390" s="15">
        <f t="shared" si="189"/>
        <v>0</v>
      </c>
      <c r="M2390" s="16">
        <f t="shared" si="190"/>
        <v>204.46289499999997</v>
      </c>
      <c r="N2390" s="17">
        <f t="shared" si="197"/>
        <v>2.4700000000000002</v>
      </c>
      <c r="O2390" s="17">
        <f t="shared" si="191"/>
        <v>2717</v>
      </c>
      <c r="P2390" s="18">
        <f t="shared" si="192"/>
        <v>224909.18449999997</v>
      </c>
      <c r="R2390" s="19"/>
      <c r="S2390" s="20"/>
      <c r="T2390" s="20"/>
      <c r="U2390" s="20"/>
      <c r="V2390" s="20"/>
      <c r="W2390" s="20"/>
      <c r="X2390" s="20"/>
      <c r="Y2390" s="20"/>
      <c r="Z2390" s="20"/>
      <c r="AA2390" s="20"/>
    </row>
    <row r="2391" spans="1:27" ht="12.75">
      <c r="A2391" s="20"/>
      <c r="B2391" s="10">
        <v>46183</v>
      </c>
      <c r="C2391" s="11">
        <f>VLOOKUP(B:B,'Курс валют'!A:D,4,0)</f>
        <v>82.778499999999994</v>
      </c>
      <c r="D2391" s="58" t="s">
        <v>262</v>
      </c>
      <c r="E2391" s="50" t="s">
        <v>58</v>
      </c>
      <c r="F2391" s="58">
        <v>1100</v>
      </c>
      <c r="G2391" s="13">
        <v>1108.01</v>
      </c>
      <c r="H2391" s="56">
        <v>0</v>
      </c>
      <c r="I2391" s="13">
        <f t="shared" si="196"/>
        <v>8.0099999999999909</v>
      </c>
      <c r="J2391" s="14">
        <f t="shared" si="188"/>
        <v>0.72818181818181726</v>
      </c>
      <c r="K2391" s="56">
        <v>2.4700000000000002</v>
      </c>
      <c r="L2391" s="15">
        <f t="shared" si="189"/>
        <v>0</v>
      </c>
      <c r="M2391" s="16">
        <f t="shared" si="190"/>
        <v>204.46289499999997</v>
      </c>
      <c r="N2391" s="17">
        <f t="shared" si="197"/>
        <v>2.4700000000000002</v>
      </c>
      <c r="O2391" s="17">
        <f t="shared" si="191"/>
        <v>2717</v>
      </c>
      <c r="P2391" s="18">
        <f t="shared" si="192"/>
        <v>224909.18449999997</v>
      </c>
      <c r="R2391" s="20"/>
      <c r="S2391" s="20"/>
      <c r="T2391" s="20"/>
      <c r="U2391" s="20"/>
      <c r="V2391" s="20"/>
      <c r="W2391" s="20"/>
      <c r="X2391" s="20"/>
      <c r="Y2391" s="20"/>
      <c r="Z2391" s="20"/>
      <c r="AA2391" s="20"/>
    </row>
    <row r="2392" spans="1:27" ht="12.75">
      <c r="A2392" s="20"/>
      <c r="B2392" s="10">
        <v>46183</v>
      </c>
      <c r="C2392" s="11">
        <f>VLOOKUP(B:B,'Курс валют'!A:D,4,0)</f>
        <v>82.778499999999994</v>
      </c>
      <c r="D2392" s="58" t="s">
        <v>263</v>
      </c>
      <c r="E2392" s="50" t="s">
        <v>58</v>
      </c>
      <c r="F2392" s="58">
        <v>1100</v>
      </c>
      <c r="G2392" s="13">
        <v>1108.01</v>
      </c>
      <c r="H2392" s="56">
        <v>0</v>
      </c>
      <c r="I2392" s="13">
        <f t="shared" si="196"/>
        <v>8.0099999999999909</v>
      </c>
      <c r="J2392" s="14">
        <f t="shared" si="188"/>
        <v>0.72818181818181726</v>
      </c>
      <c r="K2392" s="56">
        <v>2.46</v>
      </c>
      <c r="L2392" s="15">
        <f t="shared" si="189"/>
        <v>0</v>
      </c>
      <c r="M2392" s="16">
        <f t="shared" si="190"/>
        <v>203.63511</v>
      </c>
      <c r="N2392" s="17">
        <f t="shared" si="197"/>
        <v>2.46</v>
      </c>
      <c r="O2392" s="17">
        <f t="shared" si="191"/>
        <v>2706</v>
      </c>
      <c r="P2392" s="18">
        <f t="shared" si="192"/>
        <v>223998.62099999998</v>
      </c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</row>
    <row r="2393" spans="1:27" ht="12.75">
      <c r="A2393" s="20"/>
      <c r="B2393" s="10">
        <v>46184</v>
      </c>
      <c r="C2393" s="11">
        <f>VLOOKUP(B:B,'Курс валют'!A:D,4,0)</f>
        <v>83.081599999999995</v>
      </c>
      <c r="D2393" s="58" t="s">
        <v>264</v>
      </c>
      <c r="E2393" s="50" t="s">
        <v>58</v>
      </c>
      <c r="F2393" s="58">
        <v>1100</v>
      </c>
      <c r="G2393" s="13">
        <v>1108.01</v>
      </c>
      <c r="H2393" s="56">
        <v>0</v>
      </c>
      <c r="I2393" s="13">
        <f t="shared" si="196"/>
        <v>8.0099999999999909</v>
      </c>
      <c r="J2393" s="14">
        <f t="shared" si="188"/>
        <v>0.72818181818181726</v>
      </c>
      <c r="K2393" s="56">
        <v>2.4700000000000002</v>
      </c>
      <c r="L2393" s="15">
        <f t="shared" si="189"/>
        <v>0</v>
      </c>
      <c r="M2393" s="16">
        <f t="shared" si="190"/>
        <v>205.21155199999998</v>
      </c>
      <c r="N2393" s="17">
        <f t="shared" si="197"/>
        <v>2.4700000000000002</v>
      </c>
      <c r="O2393" s="17">
        <f t="shared" si="191"/>
        <v>2717</v>
      </c>
      <c r="P2393" s="18">
        <f t="shared" si="192"/>
        <v>225732.70719999998</v>
      </c>
      <c r="R2393" s="20"/>
      <c r="S2393" s="20"/>
      <c r="T2393" s="20"/>
      <c r="U2393" s="20"/>
      <c r="V2393" s="20"/>
      <c r="W2393" s="20"/>
      <c r="X2393" s="20"/>
      <c r="Y2393" s="20"/>
      <c r="Z2393" s="20"/>
      <c r="AA2393" s="20"/>
    </row>
    <row r="2394" spans="1:27" ht="12.75">
      <c r="A2394" s="20"/>
      <c r="B2394" s="10">
        <v>46184</v>
      </c>
      <c r="C2394" s="11">
        <f>VLOOKUP(B:B,'Курс валют'!A:D,4,0)</f>
        <v>83.081599999999995</v>
      </c>
      <c r="D2394" s="58" t="s">
        <v>265</v>
      </c>
      <c r="E2394" s="50" t="s">
        <v>58</v>
      </c>
      <c r="F2394" s="58">
        <v>1100</v>
      </c>
      <c r="G2394" s="13">
        <v>1108.01</v>
      </c>
      <c r="H2394" s="56">
        <v>0</v>
      </c>
      <c r="I2394" s="13">
        <f t="shared" si="196"/>
        <v>8.0099999999999909</v>
      </c>
      <c r="J2394" s="14">
        <f t="shared" si="188"/>
        <v>0.72818181818181726</v>
      </c>
      <c r="K2394" s="56">
        <v>2.46</v>
      </c>
      <c r="L2394" s="15">
        <f t="shared" si="189"/>
        <v>0</v>
      </c>
      <c r="M2394" s="16">
        <f t="shared" si="190"/>
        <v>204.38073599999998</v>
      </c>
      <c r="N2394" s="17">
        <f t="shared" si="197"/>
        <v>2.46</v>
      </c>
      <c r="O2394" s="17">
        <f t="shared" si="191"/>
        <v>2706</v>
      </c>
      <c r="P2394" s="18">
        <f t="shared" si="192"/>
        <v>224818.80959999998</v>
      </c>
      <c r="R2394" s="20"/>
      <c r="S2394" s="20"/>
      <c r="T2394" s="20"/>
      <c r="U2394" s="20"/>
      <c r="V2394" s="20"/>
      <c r="W2394" s="20"/>
      <c r="X2394" s="20"/>
      <c r="Y2394" s="20"/>
      <c r="Z2394" s="20"/>
      <c r="AA2394" s="20"/>
    </row>
    <row r="2395" spans="1:27" ht="12.75">
      <c r="A2395" s="20"/>
      <c r="B2395" s="10">
        <v>46184</v>
      </c>
      <c r="C2395" s="11">
        <f>VLOOKUP(B:B,'Курс валют'!A:D,4,0)</f>
        <v>83.081599999999995</v>
      </c>
      <c r="D2395" s="58" t="s">
        <v>266</v>
      </c>
      <c r="E2395" s="50" t="s">
        <v>58</v>
      </c>
      <c r="F2395" s="58">
        <v>1100</v>
      </c>
      <c r="G2395" s="13">
        <v>1108.01</v>
      </c>
      <c r="H2395" s="56">
        <v>0</v>
      </c>
      <c r="I2395" s="13">
        <f t="shared" si="196"/>
        <v>8.0099999999999909</v>
      </c>
      <c r="J2395" s="14">
        <f t="shared" si="188"/>
        <v>0.72818181818181726</v>
      </c>
      <c r="K2395" s="56">
        <v>2.46</v>
      </c>
      <c r="L2395" s="15">
        <f t="shared" si="189"/>
        <v>0</v>
      </c>
      <c r="M2395" s="16">
        <f t="shared" si="190"/>
        <v>204.38073599999998</v>
      </c>
      <c r="N2395" s="17">
        <f t="shared" si="197"/>
        <v>2.46</v>
      </c>
      <c r="O2395" s="17">
        <f t="shared" si="191"/>
        <v>2706</v>
      </c>
      <c r="P2395" s="18">
        <f t="shared" si="192"/>
        <v>224818.80959999998</v>
      </c>
      <c r="R2395" s="20"/>
      <c r="S2395" s="20"/>
      <c r="T2395" s="20"/>
      <c r="U2395" s="20"/>
      <c r="V2395" s="20"/>
      <c r="W2395" s="20"/>
      <c r="X2395" s="20"/>
      <c r="Y2395" s="20"/>
      <c r="Z2395" s="20"/>
      <c r="AA2395" s="20"/>
    </row>
    <row r="2396" spans="1:27" ht="12.75">
      <c r="A2396" s="20"/>
      <c r="B2396" s="10">
        <v>46184</v>
      </c>
      <c r="C2396" s="11">
        <f>VLOOKUP(B:B,'Курс валют'!A:D,4,0)</f>
        <v>83.081599999999995</v>
      </c>
      <c r="D2396" s="58" t="s">
        <v>267</v>
      </c>
      <c r="E2396" s="50" t="s">
        <v>58</v>
      </c>
      <c r="F2396" s="58">
        <v>1100</v>
      </c>
      <c r="G2396" s="13">
        <v>1108.01</v>
      </c>
      <c r="H2396" s="56">
        <v>0</v>
      </c>
      <c r="I2396" s="13">
        <f t="shared" si="196"/>
        <v>8.0099999999999909</v>
      </c>
      <c r="J2396" s="14">
        <f t="shared" si="188"/>
        <v>0.72818181818181726</v>
      </c>
      <c r="K2396" s="56">
        <v>2.4700000000000002</v>
      </c>
      <c r="L2396" s="15">
        <f t="shared" si="189"/>
        <v>0</v>
      </c>
      <c r="M2396" s="16">
        <f t="shared" si="190"/>
        <v>205.21155199999998</v>
      </c>
      <c r="N2396" s="17">
        <f t="shared" si="197"/>
        <v>2.4700000000000002</v>
      </c>
      <c r="O2396" s="17">
        <f t="shared" si="191"/>
        <v>2717</v>
      </c>
      <c r="P2396" s="18">
        <f t="shared" si="192"/>
        <v>225732.70719999998</v>
      </c>
      <c r="R2396" s="20"/>
      <c r="S2396" s="20"/>
      <c r="T2396" s="20"/>
      <c r="U2396" s="20"/>
      <c r="V2396" s="20"/>
      <c r="W2396" s="20"/>
      <c r="X2396" s="20"/>
      <c r="Y2396" s="20"/>
      <c r="Z2396" s="20"/>
      <c r="AA2396" s="20"/>
    </row>
    <row r="2397" spans="1:27" ht="12.75">
      <c r="A2397" s="20"/>
      <c r="B2397" s="10">
        <v>46184</v>
      </c>
      <c r="C2397" s="11">
        <f>VLOOKUP(B:B,'Курс валют'!A:D,4,0)</f>
        <v>83.081599999999995</v>
      </c>
      <c r="D2397" s="58" t="s">
        <v>268</v>
      </c>
      <c r="E2397" s="50" t="s">
        <v>58</v>
      </c>
      <c r="F2397" s="58">
        <v>1100</v>
      </c>
      <c r="G2397" s="13">
        <v>1108.01</v>
      </c>
      <c r="H2397" s="56">
        <v>0</v>
      </c>
      <c r="I2397" s="13">
        <f t="shared" si="196"/>
        <v>8.0099999999999909</v>
      </c>
      <c r="J2397" s="14">
        <f t="shared" si="188"/>
        <v>0.72818181818181726</v>
      </c>
      <c r="K2397" s="56">
        <v>2.46</v>
      </c>
      <c r="L2397" s="15">
        <f t="shared" si="189"/>
        <v>0</v>
      </c>
      <c r="M2397" s="16">
        <f t="shared" si="190"/>
        <v>204.38073599999998</v>
      </c>
      <c r="N2397" s="17">
        <f t="shared" si="197"/>
        <v>2.46</v>
      </c>
      <c r="O2397" s="17">
        <f t="shared" si="191"/>
        <v>2706</v>
      </c>
      <c r="P2397" s="18">
        <f t="shared" si="192"/>
        <v>224818.80959999998</v>
      </c>
      <c r="R2397" s="20"/>
      <c r="S2397" s="20"/>
      <c r="T2397" s="20"/>
      <c r="U2397" s="20"/>
      <c r="V2397" s="20"/>
      <c r="W2397" s="20"/>
      <c r="X2397" s="20"/>
      <c r="Y2397" s="20"/>
      <c r="Z2397" s="20"/>
      <c r="AA2397" s="20"/>
    </row>
    <row r="2398" spans="1:27" ht="12.75">
      <c r="A2398" s="20"/>
      <c r="B2398" s="10">
        <v>46184</v>
      </c>
      <c r="C2398" s="11">
        <f>VLOOKUP(B:B,'Курс валют'!A:D,4,0)</f>
        <v>83.081599999999995</v>
      </c>
      <c r="D2398" s="58" t="s">
        <v>269</v>
      </c>
      <c r="E2398" s="50" t="s">
        <v>58</v>
      </c>
      <c r="F2398" s="58">
        <v>1100</v>
      </c>
      <c r="G2398" s="13">
        <v>1108.01</v>
      </c>
      <c r="H2398" s="56">
        <v>0</v>
      </c>
      <c r="I2398" s="13">
        <f t="shared" si="196"/>
        <v>8.0099999999999909</v>
      </c>
      <c r="J2398" s="14">
        <f t="shared" si="188"/>
        <v>0.72818181818181726</v>
      </c>
      <c r="K2398" s="56">
        <v>2.4700000000000002</v>
      </c>
      <c r="L2398" s="15">
        <f t="shared" si="189"/>
        <v>0</v>
      </c>
      <c r="M2398" s="16">
        <f t="shared" si="190"/>
        <v>205.21155199999998</v>
      </c>
      <c r="N2398" s="17">
        <f t="shared" si="197"/>
        <v>2.4700000000000002</v>
      </c>
      <c r="O2398" s="17">
        <f t="shared" si="191"/>
        <v>2717</v>
      </c>
      <c r="P2398" s="18">
        <f t="shared" si="192"/>
        <v>225732.70719999998</v>
      </c>
      <c r="R2398" s="20"/>
      <c r="S2398" s="20"/>
      <c r="T2398" s="20"/>
      <c r="U2398" s="20"/>
      <c r="V2398" s="20"/>
      <c r="W2398" s="20"/>
      <c r="X2398" s="20"/>
      <c r="Y2398" s="20"/>
      <c r="Z2398" s="20"/>
      <c r="AA2398" s="20"/>
    </row>
    <row r="2399" spans="1:27" ht="12.75">
      <c r="A2399" s="20"/>
      <c r="B2399" s="10">
        <v>46184</v>
      </c>
      <c r="C2399" s="11">
        <f>VLOOKUP(B:B,'Курс валют'!A:D,4,0)</f>
        <v>83.081599999999995</v>
      </c>
      <c r="D2399" s="58" t="s">
        <v>270</v>
      </c>
      <c r="E2399" s="50" t="s">
        <v>58</v>
      </c>
      <c r="F2399" s="58">
        <v>1100</v>
      </c>
      <c r="G2399" s="13">
        <v>1108.01</v>
      </c>
      <c r="H2399" s="56">
        <v>0</v>
      </c>
      <c r="I2399" s="13">
        <f t="shared" si="196"/>
        <v>8.0099999999999909</v>
      </c>
      <c r="J2399" s="14">
        <f t="shared" si="188"/>
        <v>0.72818181818181726</v>
      </c>
      <c r="K2399" s="56">
        <v>2.46</v>
      </c>
      <c r="L2399" s="15">
        <f t="shared" si="189"/>
        <v>0</v>
      </c>
      <c r="M2399" s="16">
        <f t="shared" si="190"/>
        <v>204.38073599999998</v>
      </c>
      <c r="N2399" s="17">
        <f t="shared" si="197"/>
        <v>2.46</v>
      </c>
      <c r="O2399" s="17">
        <f t="shared" si="191"/>
        <v>2706</v>
      </c>
      <c r="P2399" s="18">
        <f t="shared" si="192"/>
        <v>224818.80959999998</v>
      </c>
      <c r="R2399" s="19"/>
      <c r="S2399" s="20"/>
      <c r="T2399" s="20"/>
      <c r="U2399" s="20"/>
      <c r="V2399" s="20"/>
      <c r="W2399" s="20"/>
      <c r="X2399" s="20"/>
      <c r="Y2399" s="20"/>
      <c r="Z2399" s="20"/>
      <c r="AA2399" s="20"/>
    </row>
    <row r="2400" spans="1:27" ht="12.75">
      <c r="B2400" s="10">
        <v>46184</v>
      </c>
      <c r="C2400" s="11">
        <f>VLOOKUP(B:B,'Курс валют'!A:D,4,0)</f>
        <v>83.081599999999995</v>
      </c>
      <c r="D2400" s="58" t="s">
        <v>271</v>
      </c>
      <c r="E2400" s="50" t="s">
        <v>58</v>
      </c>
      <c r="F2400" s="58">
        <v>1100</v>
      </c>
      <c r="G2400" s="13">
        <v>1108.01</v>
      </c>
      <c r="H2400" s="56">
        <v>0</v>
      </c>
      <c r="I2400" s="13">
        <f t="shared" si="196"/>
        <v>8.0099999999999909</v>
      </c>
      <c r="J2400" s="14">
        <f t="shared" si="188"/>
        <v>0.72818181818181726</v>
      </c>
      <c r="K2400" s="56">
        <v>2.46</v>
      </c>
      <c r="L2400" s="15">
        <f t="shared" si="189"/>
        <v>0</v>
      </c>
      <c r="M2400" s="16">
        <f t="shared" si="190"/>
        <v>204.38073599999998</v>
      </c>
      <c r="N2400" s="17">
        <f t="shared" si="197"/>
        <v>2.46</v>
      </c>
      <c r="O2400" s="17">
        <f t="shared" si="191"/>
        <v>2706</v>
      </c>
      <c r="P2400" s="18">
        <f t="shared" si="192"/>
        <v>224818.80959999998</v>
      </c>
      <c r="R2400" s="66"/>
    </row>
    <row r="2401" spans="2:18" ht="12.75">
      <c r="B2401" s="10">
        <v>46184</v>
      </c>
      <c r="C2401" s="11">
        <f>VLOOKUP(B:B,'Курс валют'!A:D,4,0)</f>
        <v>83.081599999999995</v>
      </c>
      <c r="D2401" s="58" t="s">
        <v>272</v>
      </c>
      <c r="E2401" s="50" t="s">
        <v>58</v>
      </c>
      <c r="F2401" s="58">
        <v>1100</v>
      </c>
      <c r="G2401" s="13">
        <v>1108.01</v>
      </c>
      <c r="H2401" s="56">
        <v>0</v>
      </c>
      <c r="I2401" s="13">
        <f t="shared" si="196"/>
        <v>8.0099999999999909</v>
      </c>
      <c r="J2401" s="14">
        <f t="shared" si="188"/>
        <v>0.72818181818181726</v>
      </c>
      <c r="K2401" s="56">
        <v>2.4700000000000002</v>
      </c>
      <c r="L2401" s="15">
        <f t="shared" si="189"/>
        <v>0</v>
      </c>
      <c r="M2401" s="16">
        <f t="shared" si="190"/>
        <v>205.21155199999998</v>
      </c>
      <c r="N2401" s="17">
        <f t="shared" si="197"/>
        <v>2.4700000000000002</v>
      </c>
      <c r="O2401" s="17">
        <f t="shared" si="191"/>
        <v>2717</v>
      </c>
      <c r="P2401" s="18">
        <f t="shared" si="192"/>
        <v>225732.70719999998</v>
      </c>
      <c r="R2401" s="66"/>
    </row>
    <row r="2402" spans="2:18" ht="12.75">
      <c r="B2402" s="10">
        <v>46184</v>
      </c>
      <c r="C2402" s="11">
        <f>VLOOKUP(B:B,'Курс валют'!A:D,4,0)</f>
        <v>83.081599999999995</v>
      </c>
      <c r="D2402" s="58" t="s">
        <v>273</v>
      </c>
      <c r="E2402" s="50" t="s">
        <v>58</v>
      </c>
      <c r="F2402" s="58">
        <v>1100</v>
      </c>
      <c r="G2402" s="13">
        <v>1108.01</v>
      </c>
      <c r="H2402" s="56">
        <v>0</v>
      </c>
      <c r="I2402" s="13">
        <f t="shared" si="196"/>
        <v>8.0099999999999909</v>
      </c>
      <c r="J2402" s="14">
        <f t="shared" si="188"/>
        <v>0.72818181818181726</v>
      </c>
      <c r="K2402" s="56">
        <v>2.46</v>
      </c>
      <c r="L2402" s="15">
        <f t="shared" si="189"/>
        <v>0</v>
      </c>
      <c r="M2402" s="16">
        <f t="shared" si="190"/>
        <v>204.38073599999998</v>
      </c>
      <c r="N2402" s="17">
        <f t="shared" si="197"/>
        <v>2.46</v>
      </c>
      <c r="O2402" s="17">
        <f t="shared" si="191"/>
        <v>2706</v>
      </c>
      <c r="P2402" s="18">
        <f t="shared" si="192"/>
        <v>224818.80959999998</v>
      </c>
      <c r="R2402" s="66"/>
    </row>
    <row r="2403" spans="2:18" ht="12.75">
      <c r="B2403" s="10">
        <v>46184</v>
      </c>
      <c r="C2403" s="11">
        <f>VLOOKUP(B:B,'Курс валют'!A:D,4,0)</f>
        <v>83.081599999999995</v>
      </c>
      <c r="D2403" s="58" t="s">
        <v>274</v>
      </c>
      <c r="E2403" s="50" t="s">
        <v>15</v>
      </c>
      <c r="F2403" s="58">
        <v>55</v>
      </c>
      <c r="G2403" s="13">
        <v>57</v>
      </c>
      <c r="H2403" s="56">
        <v>0</v>
      </c>
      <c r="I2403" s="13">
        <f t="shared" si="196"/>
        <v>2</v>
      </c>
      <c r="J2403" s="14">
        <f t="shared" si="188"/>
        <v>3.6363636363636362</v>
      </c>
      <c r="K2403" s="56">
        <v>7.87</v>
      </c>
      <c r="L2403" s="15">
        <f t="shared" si="189"/>
        <v>0</v>
      </c>
      <c r="M2403" s="16">
        <f t="shared" si="190"/>
        <v>653.85219200000006</v>
      </c>
      <c r="N2403" s="17">
        <f t="shared" si="197"/>
        <v>7.87</v>
      </c>
      <c r="O2403" s="17">
        <f t="shared" si="191"/>
        <v>432.85</v>
      </c>
      <c r="P2403" s="18">
        <f t="shared" si="192"/>
        <v>35961.870560000003</v>
      </c>
      <c r="R2403" s="66" t="s">
        <v>275</v>
      </c>
    </row>
    <row r="2404" spans="2:18" ht="12.75">
      <c r="B2404" s="10">
        <v>46184</v>
      </c>
      <c r="C2404" s="11">
        <f>VLOOKUP(B:B,'Курс валют'!A:D,4,0)</f>
        <v>83.081599999999995</v>
      </c>
      <c r="D2404" s="58" t="s">
        <v>276</v>
      </c>
      <c r="E2404" s="50" t="s">
        <v>15</v>
      </c>
      <c r="F2404" s="58">
        <v>65</v>
      </c>
      <c r="G2404" s="13">
        <v>68.2</v>
      </c>
      <c r="H2404" s="56">
        <v>0</v>
      </c>
      <c r="I2404" s="13">
        <f t="shared" si="196"/>
        <v>3.2000000000000028</v>
      </c>
      <c r="J2404" s="14">
        <f t="shared" si="188"/>
        <v>4.9230769230769269</v>
      </c>
      <c r="K2404" s="56">
        <v>5.29</v>
      </c>
      <c r="L2404" s="15">
        <f t="shared" si="189"/>
        <v>0</v>
      </c>
      <c r="M2404" s="16">
        <f t="shared" si="190"/>
        <v>439.50166400000001</v>
      </c>
      <c r="N2404" s="17">
        <f t="shared" si="197"/>
        <v>5.29</v>
      </c>
      <c r="O2404" s="17">
        <f t="shared" si="191"/>
        <v>343.85</v>
      </c>
      <c r="P2404" s="18">
        <f t="shared" si="192"/>
        <v>28567.60816</v>
      </c>
      <c r="R2404" s="66" t="s">
        <v>277</v>
      </c>
    </row>
    <row r="2405" spans="2:18" ht="12.75">
      <c r="B2405" s="10">
        <v>46184</v>
      </c>
      <c r="C2405" s="11">
        <f>VLOOKUP(B:B,'Курс валют'!A:D,4,0)</f>
        <v>83.081599999999995</v>
      </c>
      <c r="D2405" s="58" t="s">
        <v>278</v>
      </c>
      <c r="E2405" s="50" t="s">
        <v>15</v>
      </c>
      <c r="F2405" s="58">
        <v>70</v>
      </c>
      <c r="G2405" s="13">
        <v>71.8</v>
      </c>
      <c r="H2405" s="56">
        <v>0</v>
      </c>
      <c r="I2405" s="13">
        <f t="shared" si="196"/>
        <v>1.7999999999999972</v>
      </c>
      <c r="J2405" s="14">
        <f t="shared" si="188"/>
        <v>2.5714285714285672</v>
      </c>
      <c r="K2405" s="56">
        <v>3.64</v>
      </c>
      <c r="L2405" s="15">
        <f t="shared" si="189"/>
        <v>0</v>
      </c>
      <c r="M2405" s="16">
        <f t="shared" si="190"/>
        <v>302.41702400000003</v>
      </c>
      <c r="N2405" s="17">
        <f t="shared" si="197"/>
        <v>3.64</v>
      </c>
      <c r="O2405" s="17">
        <f t="shared" si="191"/>
        <v>254.8</v>
      </c>
      <c r="P2405" s="18">
        <f t="shared" si="192"/>
        <v>21169.19168</v>
      </c>
      <c r="R2405" s="66" t="s">
        <v>279</v>
      </c>
    </row>
    <row r="2406" spans="2:18" ht="12.75">
      <c r="B2406" s="10">
        <v>46185</v>
      </c>
      <c r="C2406" s="11">
        <f>VLOOKUP(B:B,'Курс валют'!A:D,4,0)</f>
        <v>82.974299999999999</v>
      </c>
      <c r="D2406" s="58" t="s">
        <v>280</v>
      </c>
      <c r="E2406" s="50" t="s">
        <v>15</v>
      </c>
      <c r="F2406" s="58">
        <v>1100</v>
      </c>
      <c r="G2406" s="13">
        <v>1108.5</v>
      </c>
      <c r="H2406" s="56">
        <v>0</v>
      </c>
      <c r="I2406" s="13">
        <f t="shared" si="196"/>
        <v>8.5</v>
      </c>
      <c r="J2406" s="14">
        <f t="shared" si="188"/>
        <v>0.77272727272727271</v>
      </c>
      <c r="K2406" s="56">
        <v>2.38</v>
      </c>
      <c r="L2406" s="15">
        <f t="shared" si="189"/>
        <v>0</v>
      </c>
      <c r="M2406" s="16">
        <f t="shared" si="190"/>
        <v>197.47883400000001</v>
      </c>
      <c r="N2406" s="17">
        <f t="shared" si="197"/>
        <v>2.38</v>
      </c>
      <c r="O2406" s="17">
        <f t="shared" si="191"/>
        <v>2618</v>
      </c>
      <c r="P2406" s="18">
        <f t="shared" si="192"/>
        <v>217226.71739999999</v>
      </c>
      <c r="R2406" s="66"/>
    </row>
    <row r="2407" spans="2:18" ht="12.75">
      <c r="B2407" s="10">
        <v>46185</v>
      </c>
      <c r="C2407" s="11">
        <f>VLOOKUP(B:B,'Курс валют'!A:D,4,0)</f>
        <v>82.974299999999999</v>
      </c>
      <c r="D2407" s="58" t="s">
        <v>281</v>
      </c>
      <c r="E2407" s="50" t="s">
        <v>15</v>
      </c>
      <c r="F2407" s="58">
        <v>1100</v>
      </c>
      <c r="G2407" s="13">
        <v>1108.5</v>
      </c>
      <c r="H2407" s="56">
        <v>0</v>
      </c>
      <c r="I2407" s="13">
        <f t="shared" si="196"/>
        <v>8.5</v>
      </c>
      <c r="J2407" s="14">
        <f t="shared" si="188"/>
        <v>0.77272727272727271</v>
      </c>
      <c r="K2407" s="56">
        <v>2.38</v>
      </c>
      <c r="L2407" s="15">
        <f t="shared" si="189"/>
        <v>0</v>
      </c>
      <c r="M2407" s="16">
        <f t="shared" si="190"/>
        <v>197.47883400000001</v>
      </c>
      <c r="N2407" s="17">
        <f t="shared" si="197"/>
        <v>2.38</v>
      </c>
      <c r="O2407" s="17">
        <f t="shared" si="191"/>
        <v>2618</v>
      </c>
      <c r="P2407" s="18">
        <f t="shared" si="192"/>
        <v>217226.71739999999</v>
      </c>
    </row>
    <row r="2408" spans="2:18" ht="12.75">
      <c r="B2408" s="10">
        <v>46185</v>
      </c>
      <c r="C2408" s="11">
        <f>VLOOKUP(B:B,'Курс валют'!A:D,4,0)</f>
        <v>82.974299999999999</v>
      </c>
      <c r="D2408" s="58" t="s">
        <v>282</v>
      </c>
      <c r="E2408" s="50" t="s">
        <v>15</v>
      </c>
      <c r="F2408" s="58">
        <v>1100</v>
      </c>
      <c r="G2408" s="13">
        <v>1108.5</v>
      </c>
      <c r="H2408" s="56">
        <v>0</v>
      </c>
      <c r="I2408" s="13">
        <f t="shared" si="196"/>
        <v>8.5</v>
      </c>
      <c r="J2408" s="14">
        <f t="shared" si="188"/>
        <v>0.77272727272727271</v>
      </c>
      <c r="K2408" s="56">
        <v>2.38</v>
      </c>
      <c r="L2408" s="15">
        <f t="shared" si="189"/>
        <v>0</v>
      </c>
      <c r="M2408" s="16">
        <f t="shared" si="190"/>
        <v>197.47883400000001</v>
      </c>
      <c r="N2408" s="17">
        <f t="shared" si="197"/>
        <v>2.38</v>
      </c>
      <c r="O2408" s="17">
        <f t="shared" si="191"/>
        <v>2618</v>
      </c>
      <c r="P2408" s="18">
        <f t="shared" si="192"/>
        <v>217226.71739999999</v>
      </c>
    </row>
    <row r="2409" spans="2:18" ht="12.75">
      <c r="B2409" s="10">
        <v>46185</v>
      </c>
      <c r="C2409" s="11">
        <f>VLOOKUP(B:B,'Курс валют'!A:D,4,0)</f>
        <v>82.974299999999999</v>
      </c>
      <c r="D2409" s="58" t="s">
        <v>283</v>
      </c>
      <c r="E2409" s="50" t="s">
        <v>15</v>
      </c>
      <c r="F2409" s="58">
        <v>1100</v>
      </c>
      <c r="G2409" s="13">
        <v>1108.5</v>
      </c>
      <c r="H2409" s="56">
        <v>0</v>
      </c>
      <c r="I2409" s="13">
        <f t="shared" si="196"/>
        <v>8.5</v>
      </c>
      <c r="J2409" s="14">
        <f t="shared" si="188"/>
        <v>0.77272727272727271</v>
      </c>
      <c r="K2409" s="56">
        <v>2.38</v>
      </c>
      <c r="L2409" s="15">
        <f t="shared" si="189"/>
        <v>0</v>
      </c>
      <c r="M2409" s="16">
        <f t="shared" si="190"/>
        <v>197.47883400000001</v>
      </c>
      <c r="N2409" s="17">
        <f t="shared" si="197"/>
        <v>2.38</v>
      </c>
      <c r="O2409" s="17">
        <f t="shared" si="191"/>
        <v>2618</v>
      </c>
      <c r="P2409" s="18">
        <f t="shared" si="192"/>
        <v>217226.71739999999</v>
      </c>
    </row>
    <row r="2410" spans="2:18" ht="12.75">
      <c r="B2410" s="10">
        <v>46185</v>
      </c>
      <c r="C2410" s="11">
        <f>VLOOKUP(B:B,'Курс валют'!A:D,4,0)</f>
        <v>82.974299999999999</v>
      </c>
      <c r="D2410" s="58" t="s">
        <v>284</v>
      </c>
      <c r="E2410" s="50" t="s">
        <v>15</v>
      </c>
      <c r="F2410" s="58">
        <v>1100</v>
      </c>
      <c r="G2410" s="13">
        <v>1108.5</v>
      </c>
      <c r="H2410" s="56">
        <v>0</v>
      </c>
      <c r="I2410" s="13">
        <f t="shared" si="196"/>
        <v>8.5</v>
      </c>
      <c r="J2410" s="14">
        <f t="shared" si="188"/>
        <v>0.77272727272727271</v>
      </c>
      <c r="K2410" s="56">
        <v>2.38</v>
      </c>
      <c r="L2410" s="15">
        <f t="shared" si="189"/>
        <v>0</v>
      </c>
      <c r="M2410" s="16">
        <f t="shared" si="190"/>
        <v>197.47883400000001</v>
      </c>
      <c r="N2410" s="17">
        <f t="shared" si="197"/>
        <v>2.38</v>
      </c>
      <c r="O2410" s="17">
        <f t="shared" si="191"/>
        <v>2618</v>
      </c>
      <c r="P2410" s="18">
        <f t="shared" si="192"/>
        <v>217226.71739999999</v>
      </c>
    </row>
    <row r="2411" spans="2:18" ht="12.75">
      <c r="B2411" s="10">
        <v>46185</v>
      </c>
      <c r="C2411" s="11">
        <f>VLOOKUP(B:B,'Курс валют'!A:D,4,0)</f>
        <v>82.974299999999999</v>
      </c>
      <c r="D2411" s="58" t="s">
        <v>285</v>
      </c>
      <c r="E2411" s="50" t="s">
        <v>15</v>
      </c>
      <c r="F2411" s="58">
        <v>1100</v>
      </c>
      <c r="G2411" s="13">
        <v>1108.5</v>
      </c>
      <c r="H2411" s="56">
        <v>0</v>
      </c>
      <c r="I2411" s="13">
        <f t="shared" si="196"/>
        <v>8.5</v>
      </c>
      <c r="J2411" s="14">
        <f t="shared" si="188"/>
        <v>0.77272727272727271</v>
      </c>
      <c r="K2411" s="56">
        <v>2.37</v>
      </c>
      <c r="L2411" s="15">
        <f t="shared" si="189"/>
        <v>0</v>
      </c>
      <c r="M2411" s="16">
        <f t="shared" si="190"/>
        <v>196.649091</v>
      </c>
      <c r="N2411" s="17">
        <f t="shared" si="197"/>
        <v>2.37</v>
      </c>
      <c r="O2411" s="17">
        <f t="shared" si="191"/>
        <v>2607</v>
      </c>
      <c r="P2411" s="18">
        <f t="shared" si="192"/>
        <v>216314.0001</v>
      </c>
    </row>
    <row r="2412" spans="2:18" ht="12.75">
      <c r="B2412" s="10">
        <v>46185</v>
      </c>
      <c r="C2412" s="11">
        <f>VLOOKUP(B:B,'Курс валют'!A:D,4,0)</f>
        <v>82.974299999999999</v>
      </c>
      <c r="D2412" s="58" t="s">
        <v>286</v>
      </c>
      <c r="E2412" s="50" t="s">
        <v>15</v>
      </c>
      <c r="F2412" s="58">
        <v>1100</v>
      </c>
      <c r="G2412" s="13">
        <v>1108.5</v>
      </c>
      <c r="H2412" s="56">
        <v>0</v>
      </c>
      <c r="I2412" s="13">
        <f t="shared" si="196"/>
        <v>8.5</v>
      </c>
      <c r="J2412" s="14">
        <f t="shared" si="188"/>
        <v>0.77272727272727271</v>
      </c>
      <c r="K2412" s="56">
        <v>2.3199999999999998</v>
      </c>
      <c r="L2412" s="15">
        <f t="shared" si="189"/>
        <v>0</v>
      </c>
      <c r="M2412" s="16">
        <f t="shared" si="190"/>
        <v>192.50037599999999</v>
      </c>
      <c r="N2412" s="17">
        <f t="shared" si="197"/>
        <v>2.3199999999999998</v>
      </c>
      <c r="O2412" s="17">
        <f t="shared" si="191"/>
        <v>2552</v>
      </c>
      <c r="P2412" s="18">
        <f t="shared" si="192"/>
        <v>211750.4136</v>
      </c>
    </row>
    <row r="2413" spans="2:18" ht="12.75">
      <c r="B2413" s="10">
        <v>46185</v>
      </c>
      <c r="C2413" s="11">
        <f>VLOOKUP(B:B,'Курс валют'!A:D,4,0)</f>
        <v>82.974299999999999</v>
      </c>
      <c r="D2413" s="58" t="s">
        <v>287</v>
      </c>
      <c r="E2413" s="50" t="s">
        <v>15</v>
      </c>
      <c r="F2413" s="58">
        <v>1100</v>
      </c>
      <c r="G2413" s="13">
        <v>1108.5</v>
      </c>
      <c r="H2413" s="56">
        <v>0</v>
      </c>
      <c r="I2413" s="13">
        <f t="shared" si="196"/>
        <v>8.5</v>
      </c>
      <c r="J2413" s="14">
        <f t="shared" si="188"/>
        <v>0.77272727272727271</v>
      </c>
      <c r="K2413" s="56">
        <v>2.3199999999999998</v>
      </c>
      <c r="L2413" s="15">
        <f t="shared" si="189"/>
        <v>0</v>
      </c>
      <c r="M2413" s="16">
        <f t="shared" si="190"/>
        <v>192.50037599999999</v>
      </c>
      <c r="N2413" s="17">
        <f t="shared" si="197"/>
        <v>2.3199999999999998</v>
      </c>
      <c r="O2413" s="17">
        <f t="shared" si="191"/>
        <v>2552</v>
      </c>
      <c r="P2413" s="18">
        <f t="shared" si="192"/>
        <v>211750.4136</v>
      </c>
    </row>
    <row r="2414" spans="2:18" ht="12.75">
      <c r="B2414" s="10">
        <v>46185</v>
      </c>
      <c r="C2414" s="11">
        <f>VLOOKUP(B:B,'Курс валют'!A:D,4,0)</f>
        <v>82.974299999999999</v>
      </c>
      <c r="D2414" s="58" t="s">
        <v>288</v>
      </c>
      <c r="E2414" s="50" t="s">
        <v>15</v>
      </c>
      <c r="F2414" s="58">
        <v>1100</v>
      </c>
      <c r="G2414" s="13">
        <v>1108.5</v>
      </c>
      <c r="H2414" s="56">
        <v>0</v>
      </c>
      <c r="I2414" s="13">
        <f t="shared" si="196"/>
        <v>8.5</v>
      </c>
      <c r="J2414" s="14">
        <f t="shared" si="188"/>
        <v>0.77272727272727271</v>
      </c>
      <c r="K2414" s="56">
        <v>2.3199999999999998</v>
      </c>
      <c r="L2414" s="15">
        <f t="shared" si="189"/>
        <v>0</v>
      </c>
      <c r="M2414" s="16">
        <f t="shared" si="190"/>
        <v>192.50037599999999</v>
      </c>
      <c r="N2414" s="17">
        <f t="shared" si="197"/>
        <v>2.3199999999999998</v>
      </c>
      <c r="O2414" s="17">
        <f t="shared" si="191"/>
        <v>2552</v>
      </c>
      <c r="P2414" s="18">
        <f t="shared" si="192"/>
        <v>211750.4136</v>
      </c>
    </row>
    <row r="2415" spans="2:18" ht="12.75">
      <c r="B2415" s="10">
        <v>46185</v>
      </c>
      <c r="C2415" s="11">
        <f>VLOOKUP(B:B,'Курс валют'!A:D,4,0)</f>
        <v>82.974299999999999</v>
      </c>
      <c r="D2415" s="58" t="s">
        <v>289</v>
      </c>
      <c r="E2415" s="50" t="s">
        <v>15</v>
      </c>
      <c r="F2415" s="58">
        <v>1100</v>
      </c>
      <c r="G2415" s="13">
        <v>1108.5</v>
      </c>
      <c r="H2415" s="56">
        <v>0</v>
      </c>
      <c r="I2415" s="13">
        <f t="shared" si="196"/>
        <v>8.5</v>
      </c>
      <c r="J2415" s="14">
        <f t="shared" si="188"/>
        <v>0.77272727272727271</v>
      </c>
      <c r="K2415" s="56">
        <v>2.3199999999999998</v>
      </c>
      <c r="L2415" s="15">
        <f t="shared" si="189"/>
        <v>0</v>
      </c>
      <c r="M2415" s="16">
        <f t="shared" si="190"/>
        <v>192.50037599999999</v>
      </c>
      <c r="N2415" s="17">
        <f t="shared" si="197"/>
        <v>2.3199999999999998</v>
      </c>
      <c r="O2415" s="17">
        <f t="shared" si="191"/>
        <v>2552</v>
      </c>
      <c r="P2415" s="18">
        <f t="shared" si="192"/>
        <v>211750.4136</v>
      </c>
    </row>
    <row r="2416" spans="2:18" ht="12.75">
      <c r="B2416" s="10">
        <v>46185</v>
      </c>
      <c r="C2416" s="11">
        <f>VLOOKUP(B:B,'Курс валют'!A:D,4,0)</f>
        <v>82.974299999999999</v>
      </c>
      <c r="D2416" s="58" t="s">
        <v>290</v>
      </c>
      <c r="E2416" s="50" t="s">
        <v>112</v>
      </c>
      <c r="F2416" s="58">
        <v>24</v>
      </c>
      <c r="G2416" s="13">
        <v>26.95</v>
      </c>
      <c r="H2416" s="56">
        <v>0</v>
      </c>
      <c r="I2416" s="13">
        <f t="shared" si="196"/>
        <v>2.9499999999999993</v>
      </c>
      <c r="J2416" s="14">
        <f t="shared" si="188"/>
        <v>12.291666666666663</v>
      </c>
      <c r="K2416" s="56">
        <v>3.44</v>
      </c>
      <c r="L2416" s="15">
        <f t="shared" si="189"/>
        <v>0</v>
      </c>
      <c r="M2416" s="16">
        <f t="shared" si="190"/>
        <v>285.43159200000002</v>
      </c>
      <c r="N2416" s="17">
        <f t="shared" si="197"/>
        <v>3.44</v>
      </c>
      <c r="O2416" s="17">
        <f t="shared" si="191"/>
        <v>82.56</v>
      </c>
      <c r="P2416" s="18">
        <f t="shared" si="192"/>
        <v>6850.3582080000006</v>
      </c>
    </row>
    <row r="2417" spans="2:16" ht="12.75">
      <c r="B2417" s="10">
        <v>46186</v>
      </c>
      <c r="C2417" s="11">
        <f>VLOOKUP(B:B,'Курс валют'!A:D,4,0)</f>
        <v>82.974299999999999</v>
      </c>
      <c r="D2417" s="58" t="s">
        <v>291</v>
      </c>
      <c r="E2417" s="50" t="s">
        <v>15</v>
      </c>
      <c r="F2417" s="58">
        <v>1100</v>
      </c>
      <c r="G2417" s="13">
        <v>1108.5</v>
      </c>
      <c r="H2417" s="56">
        <v>0</v>
      </c>
      <c r="I2417" s="13">
        <f t="shared" si="196"/>
        <v>8.5</v>
      </c>
      <c r="J2417" s="14">
        <f t="shared" si="188"/>
        <v>0.77272727272727271</v>
      </c>
      <c r="K2417" s="56">
        <v>2.3199999999999998</v>
      </c>
      <c r="L2417" s="15">
        <f t="shared" si="189"/>
        <v>0</v>
      </c>
      <c r="M2417" s="16">
        <f t="shared" si="190"/>
        <v>192.50037599999999</v>
      </c>
      <c r="N2417" s="17">
        <f t="shared" si="197"/>
        <v>2.3199999999999998</v>
      </c>
      <c r="O2417" s="17">
        <f t="shared" si="191"/>
        <v>2552</v>
      </c>
      <c r="P2417" s="18">
        <f t="shared" si="192"/>
        <v>211750.4136</v>
      </c>
    </row>
    <row r="2418" spans="2:16" ht="12.75">
      <c r="B2418" s="10">
        <v>46186</v>
      </c>
      <c r="C2418" s="11">
        <f>VLOOKUP(B:B,'Курс валют'!A:D,4,0)</f>
        <v>82.974299999999999</v>
      </c>
      <c r="D2418" s="58" t="s">
        <v>292</v>
      </c>
      <c r="E2418" s="50" t="s">
        <v>15</v>
      </c>
      <c r="F2418" s="58">
        <v>1100</v>
      </c>
      <c r="G2418" s="13">
        <v>1108.5</v>
      </c>
      <c r="H2418" s="56">
        <v>0</v>
      </c>
      <c r="I2418" s="13">
        <f t="shared" si="196"/>
        <v>8.5</v>
      </c>
      <c r="J2418" s="14">
        <f t="shared" si="188"/>
        <v>0.77272727272727271</v>
      </c>
      <c r="K2418" s="56">
        <v>2.3199999999999998</v>
      </c>
      <c r="L2418" s="15">
        <f t="shared" si="189"/>
        <v>0</v>
      </c>
      <c r="M2418" s="16">
        <f t="shared" si="190"/>
        <v>192.50037599999999</v>
      </c>
      <c r="N2418" s="17">
        <f t="shared" si="197"/>
        <v>2.3199999999999998</v>
      </c>
      <c r="O2418" s="17">
        <f t="shared" si="191"/>
        <v>2552</v>
      </c>
      <c r="P2418" s="18">
        <f t="shared" si="192"/>
        <v>211750.4136</v>
      </c>
    </row>
    <row r="2419" spans="2:16" ht="12.75">
      <c r="B2419" s="10">
        <v>46186</v>
      </c>
      <c r="C2419" s="11">
        <f>VLOOKUP(B:B,'Курс валют'!A:D,4,0)</f>
        <v>82.974299999999999</v>
      </c>
      <c r="D2419" s="58" t="s">
        <v>293</v>
      </c>
      <c r="E2419" s="50" t="s">
        <v>15</v>
      </c>
      <c r="F2419" s="58">
        <v>1100</v>
      </c>
      <c r="G2419" s="13">
        <v>1108.5</v>
      </c>
      <c r="H2419" s="56">
        <v>0</v>
      </c>
      <c r="I2419" s="13">
        <f t="shared" si="196"/>
        <v>8.5</v>
      </c>
      <c r="J2419" s="14">
        <f t="shared" si="188"/>
        <v>0.77272727272727271</v>
      </c>
      <c r="K2419" s="56">
        <v>2.3199999999999998</v>
      </c>
      <c r="L2419" s="15">
        <f t="shared" si="189"/>
        <v>0</v>
      </c>
      <c r="M2419" s="16">
        <f t="shared" si="190"/>
        <v>192.50037599999999</v>
      </c>
      <c r="N2419" s="17">
        <f t="shared" si="197"/>
        <v>2.3199999999999998</v>
      </c>
      <c r="O2419" s="17">
        <f t="shared" si="191"/>
        <v>2552</v>
      </c>
      <c r="P2419" s="18">
        <f t="shared" si="192"/>
        <v>211750.4136</v>
      </c>
    </row>
    <row r="2420" spans="2:16" ht="12.75">
      <c r="B2420" s="10">
        <v>46186</v>
      </c>
      <c r="C2420" s="11">
        <f>VLOOKUP(B:B,'Курс валют'!A:D,4,0)</f>
        <v>82.974299999999999</v>
      </c>
      <c r="D2420" s="58" t="s">
        <v>294</v>
      </c>
      <c r="E2420" s="50" t="s">
        <v>15</v>
      </c>
      <c r="F2420" s="58">
        <v>1100</v>
      </c>
      <c r="G2420" s="13">
        <v>1108.5</v>
      </c>
      <c r="H2420" s="56">
        <v>0</v>
      </c>
      <c r="I2420" s="13">
        <f t="shared" si="196"/>
        <v>8.5</v>
      </c>
      <c r="J2420" s="14">
        <f t="shared" si="188"/>
        <v>0.77272727272727271</v>
      </c>
      <c r="K2420" s="56">
        <v>2.3199999999999998</v>
      </c>
      <c r="L2420" s="15">
        <f t="shared" si="189"/>
        <v>0</v>
      </c>
      <c r="M2420" s="16">
        <f t="shared" si="190"/>
        <v>192.50037599999999</v>
      </c>
      <c r="N2420" s="17">
        <f t="shared" si="197"/>
        <v>2.3199999999999998</v>
      </c>
      <c r="O2420" s="17">
        <f t="shared" si="191"/>
        <v>2552</v>
      </c>
      <c r="P2420" s="18">
        <f t="shared" si="192"/>
        <v>211750.4136</v>
      </c>
    </row>
    <row r="2421" spans="2:16" ht="12.75">
      <c r="B2421" s="10">
        <v>46186</v>
      </c>
      <c r="C2421" s="11">
        <f>VLOOKUP(B:B,'Курс валют'!A:D,4,0)</f>
        <v>82.974299999999999</v>
      </c>
      <c r="D2421" s="58" t="s">
        <v>295</v>
      </c>
      <c r="E2421" s="50" t="s">
        <v>15</v>
      </c>
      <c r="F2421" s="58">
        <v>1100</v>
      </c>
      <c r="G2421" s="13">
        <v>1108.5</v>
      </c>
      <c r="H2421" s="56">
        <v>0</v>
      </c>
      <c r="I2421" s="13">
        <f t="shared" si="196"/>
        <v>8.5</v>
      </c>
      <c r="J2421" s="14">
        <f t="shared" si="188"/>
        <v>0.77272727272727271</v>
      </c>
      <c r="K2421" s="56">
        <v>2.3199999999999998</v>
      </c>
      <c r="L2421" s="15">
        <f t="shared" si="189"/>
        <v>0</v>
      </c>
      <c r="M2421" s="16">
        <f t="shared" si="190"/>
        <v>192.50037599999999</v>
      </c>
      <c r="N2421" s="17">
        <f t="shared" si="197"/>
        <v>2.3199999999999998</v>
      </c>
      <c r="O2421" s="17">
        <f t="shared" si="191"/>
        <v>2552</v>
      </c>
      <c r="P2421" s="18">
        <f t="shared" si="192"/>
        <v>211750.4136</v>
      </c>
    </row>
    <row r="2422" spans="2:16" ht="12.75">
      <c r="B2422" s="10">
        <v>46186</v>
      </c>
      <c r="C2422" s="11">
        <f>VLOOKUP(B:B,'Курс валют'!A:D,4,0)</f>
        <v>82.974299999999999</v>
      </c>
      <c r="D2422" s="58" t="s">
        <v>296</v>
      </c>
      <c r="E2422" s="50" t="s">
        <v>15</v>
      </c>
      <c r="F2422" s="58">
        <v>1100</v>
      </c>
      <c r="G2422" s="13">
        <v>1108.5</v>
      </c>
      <c r="H2422" s="56">
        <v>0</v>
      </c>
      <c r="I2422" s="13">
        <f t="shared" si="196"/>
        <v>8.5</v>
      </c>
      <c r="J2422" s="14">
        <f t="shared" si="188"/>
        <v>0.77272727272727271</v>
      </c>
      <c r="K2422" s="56">
        <v>2.3199999999999998</v>
      </c>
      <c r="L2422" s="15">
        <f t="shared" si="189"/>
        <v>0</v>
      </c>
      <c r="M2422" s="16">
        <f t="shared" si="190"/>
        <v>192.50037599999999</v>
      </c>
      <c r="N2422" s="17">
        <f t="shared" si="197"/>
        <v>2.3199999999999998</v>
      </c>
      <c r="O2422" s="17">
        <f t="shared" si="191"/>
        <v>2552</v>
      </c>
      <c r="P2422" s="18">
        <f t="shared" si="192"/>
        <v>211750.4136</v>
      </c>
    </row>
    <row r="2423" spans="2:16" ht="12.75">
      <c r="B2423" s="10">
        <v>46186</v>
      </c>
      <c r="C2423" s="11">
        <f>VLOOKUP(B:B,'Курс валют'!A:D,4,0)</f>
        <v>82.974299999999999</v>
      </c>
      <c r="D2423" s="58" t="s">
        <v>297</v>
      </c>
      <c r="E2423" s="50" t="s">
        <v>15</v>
      </c>
      <c r="F2423" s="58">
        <v>1100</v>
      </c>
      <c r="G2423" s="13">
        <v>1108.5</v>
      </c>
      <c r="H2423" s="56">
        <v>0</v>
      </c>
      <c r="I2423" s="13">
        <f t="shared" si="196"/>
        <v>8.5</v>
      </c>
      <c r="J2423" s="14">
        <f t="shared" si="188"/>
        <v>0.77272727272727271</v>
      </c>
      <c r="K2423" s="56">
        <v>2.3199999999999998</v>
      </c>
      <c r="L2423" s="15">
        <f t="shared" si="189"/>
        <v>0</v>
      </c>
      <c r="M2423" s="16">
        <f t="shared" si="190"/>
        <v>192.50037599999999</v>
      </c>
      <c r="N2423" s="17">
        <f t="shared" si="197"/>
        <v>2.3199999999999998</v>
      </c>
      <c r="O2423" s="17">
        <f t="shared" si="191"/>
        <v>2552</v>
      </c>
      <c r="P2423" s="18">
        <f t="shared" si="192"/>
        <v>211750.4136</v>
      </c>
    </row>
    <row r="2424" spans="2:16" ht="12.75">
      <c r="B2424" s="10">
        <v>46186</v>
      </c>
      <c r="C2424" s="11">
        <f>VLOOKUP(B:B,'Курс валют'!A:D,4,0)</f>
        <v>82.974299999999999</v>
      </c>
      <c r="D2424" s="58" t="s">
        <v>298</v>
      </c>
      <c r="E2424" s="50" t="s">
        <v>15</v>
      </c>
      <c r="F2424" s="58">
        <v>1100</v>
      </c>
      <c r="G2424" s="13">
        <v>1108.5</v>
      </c>
      <c r="H2424" s="56">
        <v>0</v>
      </c>
      <c r="I2424" s="13">
        <f t="shared" si="196"/>
        <v>8.5</v>
      </c>
      <c r="J2424" s="14">
        <f t="shared" si="188"/>
        <v>0.77272727272727271</v>
      </c>
      <c r="K2424" s="56">
        <v>2.3199999999999998</v>
      </c>
      <c r="L2424" s="15">
        <f t="shared" si="189"/>
        <v>0</v>
      </c>
      <c r="M2424" s="16">
        <f t="shared" si="190"/>
        <v>192.50037599999999</v>
      </c>
      <c r="N2424" s="17">
        <f t="shared" si="197"/>
        <v>2.3199999999999998</v>
      </c>
      <c r="O2424" s="17">
        <f t="shared" si="191"/>
        <v>2552</v>
      </c>
      <c r="P2424" s="18">
        <f t="shared" si="192"/>
        <v>211750.4136</v>
      </c>
    </row>
    <row r="2425" spans="2:16" ht="12.75">
      <c r="B2425" s="10">
        <v>46186</v>
      </c>
      <c r="C2425" s="11">
        <f>VLOOKUP(B:B,'Курс валют'!A:D,4,0)</f>
        <v>82.974299999999999</v>
      </c>
      <c r="D2425" s="58" t="s">
        <v>299</v>
      </c>
      <c r="E2425" s="50" t="s">
        <v>15</v>
      </c>
      <c r="F2425" s="58">
        <v>1100</v>
      </c>
      <c r="G2425" s="13">
        <v>1108.5</v>
      </c>
      <c r="H2425" s="56">
        <v>0</v>
      </c>
      <c r="I2425" s="13">
        <f t="shared" si="196"/>
        <v>8.5</v>
      </c>
      <c r="J2425" s="14">
        <f t="shared" si="188"/>
        <v>0.77272727272727271</v>
      </c>
      <c r="K2425" s="56">
        <v>2.3199999999999998</v>
      </c>
      <c r="L2425" s="15">
        <f t="shared" si="189"/>
        <v>0</v>
      </c>
      <c r="M2425" s="16">
        <f t="shared" si="190"/>
        <v>192.50037599999999</v>
      </c>
      <c r="N2425" s="17">
        <f t="shared" si="197"/>
        <v>2.3199999999999998</v>
      </c>
      <c r="O2425" s="17">
        <f t="shared" si="191"/>
        <v>2552</v>
      </c>
      <c r="P2425" s="18">
        <f t="shared" si="192"/>
        <v>211750.4136</v>
      </c>
    </row>
    <row r="2426" spans="2:16" ht="12.75">
      <c r="B2426" s="10">
        <v>46186</v>
      </c>
      <c r="C2426" s="11">
        <f>VLOOKUP(B:B,'Курс валют'!A:D,4,0)</f>
        <v>82.974299999999999</v>
      </c>
      <c r="D2426" s="58" t="s">
        <v>300</v>
      </c>
      <c r="E2426" s="50" t="s">
        <v>15</v>
      </c>
      <c r="F2426" s="58">
        <v>1100</v>
      </c>
      <c r="G2426" s="13">
        <v>1108.5</v>
      </c>
      <c r="H2426" s="56">
        <v>0</v>
      </c>
      <c r="I2426" s="13">
        <f t="shared" si="196"/>
        <v>8.5</v>
      </c>
      <c r="J2426" s="14">
        <f t="shared" si="188"/>
        <v>0.77272727272727271</v>
      </c>
      <c r="K2426" s="56">
        <v>2.3199999999999998</v>
      </c>
      <c r="L2426" s="15">
        <f t="shared" si="189"/>
        <v>0</v>
      </c>
      <c r="M2426" s="16">
        <f t="shared" si="190"/>
        <v>192.50037599999999</v>
      </c>
      <c r="N2426" s="17">
        <f t="shared" si="197"/>
        <v>2.3199999999999998</v>
      </c>
      <c r="O2426" s="17">
        <f t="shared" si="191"/>
        <v>2552</v>
      </c>
      <c r="P2426" s="18">
        <f t="shared" si="192"/>
        <v>211750.4136</v>
      </c>
    </row>
    <row r="2427" spans="2:16" ht="12.75">
      <c r="B2427" s="10">
        <v>46187</v>
      </c>
      <c r="C2427" s="11">
        <f>VLOOKUP(B:B,'Курс валют'!A:D,4,0)</f>
        <v>82.974299999999999</v>
      </c>
      <c r="D2427" s="58" t="s">
        <v>301</v>
      </c>
      <c r="E2427" s="50" t="s">
        <v>15</v>
      </c>
      <c r="F2427" s="58">
        <v>1100</v>
      </c>
      <c r="G2427" s="13">
        <v>1108.5</v>
      </c>
      <c r="H2427" s="56">
        <v>0</v>
      </c>
      <c r="I2427" s="13">
        <f t="shared" si="196"/>
        <v>8.5</v>
      </c>
      <c r="J2427" s="14">
        <f t="shared" si="188"/>
        <v>0.77272727272727271</v>
      </c>
      <c r="K2427" s="56">
        <v>2.3199999999999998</v>
      </c>
      <c r="L2427" s="15">
        <f t="shared" si="189"/>
        <v>0</v>
      </c>
      <c r="M2427" s="16">
        <f t="shared" si="190"/>
        <v>192.50037599999999</v>
      </c>
      <c r="N2427" s="17">
        <f t="shared" si="197"/>
        <v>2.3199999999999998</v>
      </c>
      <c r="O2427" s="17">
        <f t="shared" si="191"/>
        <v>2552</v>
      </c>
      <c r="P2427" s="18">
        <f t="shared" si="192"/>
        <v>211750.4136</v>
      </c>
    </row>
    <row r="2428" spans="2:16" ht="12.75">
      <c r="B2428" s="10">
        <v>46187</v>
      </c>
      <c r="C2428" s="11">
        <f>VLOOKUP(B:B,'Курс валют'!A:D,4,0)</f>
        <v>82.974299999999999</v>
      </c>
      <c r="D2428" s="58" t="s">
        <v>302</v>
      </c>
      <c r="E2428" s="50" t="s">
        <v>15</v>
      </c>
      <c r="F2428" s="58">
        <v>1100</v>
      </c>
      <c r="G2428" s="13">
        <v>1108.5</v>
      </c>
      <c r="H2428" s="56">
        <v>0</v>
      </c>
      <c r="I2428" s="13">
        <f t="shared" si="196"/>
        <v>8.5</v>
      </c>
      <c r="J2428" s="14">
        <f t="shared" si="188"/>
        <v>0.77272727272727271</v>
      </c>
      <c r="K2428" s="56">
        <v>2.31</v>
      </c>
      <c r="L2428" s="15">
        <f t="shared" si="189"/>
        <v>0</v>
      </c>
      <c r="M2428" s="16">
        <f t="shared" si="190"/>
        <v>191.67063300000001</v>
      </c>
      <c r="N2428" s="17">
        <f t="shared" si="197"/>
        <v>2.31</v>
      </c>
      <c r="O2428" s="17">
        <f t="shared" si="191"/>
        <v>2541</v>
      </c>
      <c r="P2428" s="18">
        <f t="shared" si="192"/>
        <v>210837.69630000001</v>
      </c>
    </row>
    <row r="2429" spans="2:16" ht="12.75">
      <c r="B2429" s="10">
        <v>46187</v>
      </c>
      <c r="C2429" s="11">
        <f>VLOOKUP(B:B,'Курс валют'!A:D,4,0)</f>
        <v>82.974299999999999</v>
      </c>
      <c r="D2429" s="58" t="s">
        <v>303</v>
      </c>
      <c r="E2429" s="50" t="s">
        <v>15</v>
      </c>
      <c r="F2429" s="58">
        <v>1100</v>
      </c>
      <c r="G2429" s="13">
        <v>1108.5</v>
      </c>
      <c r="H2429" s="56">
        <v>0</v>
      </c>
      <c r="I2429" s="13">
        <f t="shared" si="196"/>
        <v>8.5</v>
      </c>
      <c r="J2429" s="14">
        <f t="shared" si="188"/>
        <v>0.77272727272727271</v>
      </c>
      <c r="K2429" s="56">
        <v>2.31</v>
      </c>
      <c r="L2429" s="15">
        <f t="shared" si="189"/>
        <v>0</v>
      </c>
      <c r="M2429" s="16">
        <f t="shared" si="190"/>
        <v>191.67063300000001</v>
      </c>
      <c r="N2429" s="17">
        <f t="shared" si="197"/>
        <v>2.31</v>
      </c>
      <c r="O2429" s="17">
        <f t="shared" si="191"/>
        <v>2541</v>
      </c>
      <c r="P2429" s="18">
        <f t="shared" si="192"/>
        <v>210837.69630000001</v>
      </c>
    </row>
    <row r="2430" spans="2:16" ht="12.75">
      <c r="B2430" s="10">
        <v>46187</v>
      </c>
      <c r="C2430" s="11">
        <f>VLOOKUP(B:B,'Курс валют'!A:D,4,0)</f>
        <v>82.974299999999999</v>
      </c>
      <c r="D2430" s="58" t="s">
        <v>304</v>
      </c>
      <c r="E2430" s="50" t="s">
        <v>15</v>
      </c>
      <c r="F2430" s="58">
        <v>1100</v>
      </c>
      <c r="G2430" s="13">
        <v>1108.5</v>
      </c>
      <c r="H2430" s="56">
        <v>0</v>
      </c>
      <c r="I2430" s="13">
        <f t="shared" si="196"/>
        <v>8.5</v>
      </c>
      <c r="J2430" s="14">
        <f t="shared" si="188"/>
        <v>0.77272727272727271</v>
      </c>
      <c r="K2430" s="56">
        <v>2.3199999999999998</v>
      </c>
      <c r="L2430" s="15">
        <f t="shared" si="189"/>
        <v>0</v>
      </c>
      <c r="M2430" s="16">
        <f t="shared" si="190"/>
        <v>192.50037599999999</v>
      </c>
      <c r="N2430" s="17">
        <f t="shared" si="197"/>
        <v>2.3199999999999998</v>
      </c>
      <c r="O2430" s="17">
        <f t="shared" si="191"/>
        <v>2552</v>
      </c>
      <c r="P2430" s="18">
        <f t="shared" si="192"/>
        <v>211750.4136</v>
      </c>
    </row>
    <row r="2431" spans="2:16" ht="12.75">
      <c r="B2431" s="10">
        <v>46187</v>
      </c>
      <c r="C2431" s="11">
        <f>VLOOKUP(B:B,'Курс валют'!A:D,4,0)</f>
        <v>82.974299999999999</v>
      </c>
      <c r="D2431" s="58" t="s">
        <v>305</v>
      </c>
      <c r="E2431" s="50" t="s">
        <v>15</v>
      </c>
      <c r="F2431" s="58">
        <v>1100</v>
      </c>
      <c r="G2431" s="13">
        <v>1108.5</v>
      </c>
      <c r="H2431" s="56">
        <v>0</v>
      </c>
      <c r="I2431" s="13">
        <f t="shared" si="196"/>
        <v>8.5</v>
      </c>
      <c r="J2431" s="14">
        <f t="shared" si="188"/>
        <v>0.77272727272727271</v>
      </c>
      <c r="K2431" s="56">
        <v>2.3199999999999998</v>
      </c>
      <c r="L2431" s="15">
        <f t="shared" si="189"/>
        <v>0</v>
      </c>
      <c r="M2431" s="16">
        <f t="shared" si="190"/>
        <v>192.50037599999999</v>
      </c>
      <c r="N2431" s="17">
        <f t="shared" si="197"/>
        <v>2.3199999999999998</v>
      </c>
      <c r="O2431" s="17">
        <f t="shared" si="191"/>
        <v>2552</v>
      </c>
      <c r="P2431" s="18">
        <f t="shared" si="192"/>
        <v>211750.4136</v>
      </c>
    </row>
    <row r="2432" spans="2:16" ht="12.75">
      <c r="B2432" s="10">
        <v>46187</v>
      </c>
      <c r="C2432" s="11">
        <f>VLOOKUP(B:B,'Курс валют'!A:D,4,0)</f>
        <v>82.974299999999999</v>
      </c>
      <c r="D2432" s="58" t="s">
        <v>306</v>
      </c>
      <c r="E2432" s="50" t="s">
        <v>15</v>
      </c>
      <c r="F2432" s="58">
        <v>1100</v>
      </c>
      <c r="G2432" s="13">
        <v>1108.5</v>
      </c>
      <c r="H2432" s="56">
        <v>0</v>
      </c>
      <c r="I2432" s="13">
        <f t="shared" si="196"/>
        <v>8.5</v>
      </c>
      <c r="J2432" s="14">
        <f t="shared" si="188"/>
        <v>0.77272727272727271</v>
      </c>
      <c r="K2432" s="56">
        <v>2.3199999999999998</v>
      </c>
      <c r="L2432" s="15">
        <f t="shared" si="189"/>
        <v>0</v>
      </c>
      <c r="M2432" s="16">
        <f t="shared" si="190"/>
        <v>192.50037599999999</v>
      </c>
      <c r="N2432" s="17">
        <f t="shared" si="197"/>
        <v>2.3199999999999998</v>
      </c>
      <c r="O2432" s="17">
        <f t="shared" si="191"/>
        <v>2552</v>
      </c>
      <c r="P2432" s="18">
        <f t="shared" si="192"/>
        <v>211750.4136</v>
      </c>
    </row>
    <row r="2433" spans="2:16" ht="12.75">
      <c r="B2433" s="10">
        <v>46187</v>
      </c>
      <c r="C2433" s="11">
        <f>VLOOKUP(B:B,'Курс валют'!A:D,4,0)</f>
        <v>82.974299999999999</v>
      </c>
      <c r="D2433" s="58" t="s">
        <v>307</v>
      </c>
      <c r="E2433" s="50" t="s">
        <v>15</v>
      </c>
      <c r="F2433" s="58">
        <v>1100</v>
      </c>
      <c r="G2433" s="13">
        <v>1108.5</v>
      </c>
      <c r="H2433" s="56">
        <v>0</v>
      </c>
      <c r="I2433" s="13">
        <f t="shared" si="196"/>
        <v>8.5</v>
      </c>
      <c r="J2433" s="14">
        <f t="shared" si="188"/>
        <v>0.77272727272727271</v>
      </c>
      <c r="K2433" s="56">
        <v>2.31</v>
      </c>
      <c r="L2433" s="15">
        <f t="shared" si="189"/>
        <v>0</v>
      </c>
      <c r="M2433" s="16">
        <f t="shared" si="190"/>
        <v>191.67063300000001</v>
      </c>
      <c r="N2433" s="17">
        <f t="shared" si="197"/>
        <v>2.31</v>
      </c>
      <c r="O2433" s="17">
        <f t="shared" si="191"/>
        <v>2541</v>
      </c>
      <c r="P2433" s="18">
        <f t="shared" si="192"/>
        <v>210837.69630000001</v>
      </c>
    </row>
    <row r="2434" spans="2:16" ht="12.75">
      <c r="B2434" s="10">
        <v>46187</v>
      </c>
      <c r="C2434" s="11">
        <f>VLOOKUP(B:B,'Курс валют'!A:D,4,0)</f>
        <v>82.974299999999999</v>
      </c>
      <c r="D2434" s="58" t="s">
        <v>308</v>
      </c>
      <c r="E2434" s="50" t="s">
        <v>15</v>
      </c>
      <c r="F2434" s="58">
        <v>1100</v>
      </c>
      <c r="G2434" s="13">
        <v>1108.5</v>
      </c>
      <c r="H2434" s="56">
        <v>0</v>
      </c>
      <c r="I2434" s="13">
        <f t="shared" si="196"/>
        <v>8.5</v>
      </c>
      <c r="J2434" s="14">
        <f t="shared" si="188"/>
        <v>0.77272727272727271</v>
      </c>
      <c r="K2434" s="56">
        <v>2.3199999999999998</v>
      </c>
      <c r="L2434" s="15">
        <f t="shared" si="189"/>
        <v>0</v>
      </c>
      <c r="M2434" s="16">
        <f t="shared" si="190"/>
        <v>192.50037599999999</v>
      </c>
      <c r="N2434" s="17">
        <f t="shared" si="197"/>
        <v>2.3199999999999998</v>
      </c>
      <c r="O2434" s="17">
        <f t="shared" si="191"/>
        <v>2552</v>
      </c>
      <c r="P2434" s="18">
        <f t="shared" si="192"/>
        <v>211750.4136</v>
      </c>
    </row>
    <row r="2435" spans="2:16" ht="12.75">
      <c r="B2435" s="10">
        <v>46187</v>
      </c>
      <c r="C2435" s="11">
        <f>VLOOKUP(B:B,'Курс валют'!A:D,4,0)</f>
        <v>82.974299999999999</v>
      </c>
      <c r="D2435" s="58" t="s">
        <v>309</v>
      </c>
      <c r="E2435" s="50" t="s">
        <v>15</v>
      </c>
      <c r="F2435" s="58">
        <v>1100</v>
      </c>
      <c r="G2435" s="13">
        <v>1108.5</v>
      </c>
      <c r="H2435" s="56">
        <v>0</v>
      </c>
      <c r="I2435" s="13">
        <f t="shared" si="196"/>
        <v>8.5</v>
      </c>
      <c r="J2435" s="14">
        <f t="shared" si="188"/>
        <v>0.77272727272727271</v>
      </c>
      <c r="K2435" s="56">
        <v>2.31</v>
      </c>
      <c r="L2435" s="15">
        <f t="shared" si="189"/>
        <v>0</v>
      </c>
      <c r="M2435" s="16">
        <f t="shared" si="190"/>
        <v>191.67063300000001</v>
      </c>
      <c r="N2435" s="17">
        <f t="shared" si="197"/>
        <v>2.31</v>
      </c>
      <c r="O2435" s="17">
        <f t="shared" si="191"/>
        <v>2541</v>
      </c>
      <c r="P2435" s="18">
        <f t="shared" si="192"/>
        <v>210837.69630000001</v>
      </c>
    </row>
    <row r="2436" spans="2:16" ht="12.75">
      <c r="B2436" s="10">
        <v>46187</v>
      </c>
      <c r="C2436" s="11">
        <f>VLOOKUP(B:B,'Курс валют'!A:D,4,0)</f>
        <v>82.974299999999999</v>
      </c>
      <c r="D2436" s="58" t="s">
        <v>310</v>
      </c>
      <c r="E2436" s="50" t="s">
        <v>15</v>
      </c>
      <c r="F2436" s="58">
        <v>1100</v>
      </c>
      <c r="G2436" s="13">
        <v>1108.5</v>
      </c>
      <c r="H2436" s="56">
        <v>0</v>
      </c>
      <c r="I2436" s="13">
        <f t="shared" si="196"/>
        <v>8.5</v>
      </c>
      <c r="J2436" s="14">
        <f t="shared" si="188"/>
        <v>0.77272727272727271</v>
      </c>
      <c r="K2436" s="56">
        <v>2.3199999999999998</v>
      </c>
      <c r="L2436" s="15">
        <f t="shared" si="189"/>
        <v>0</v>
      </c>
      <c r="M2436" s="16">
        <f t="shared" si="190"/>
        <v>192.50037599999999</v>
      </c>
      <c r="N2436" s="17">
        <f t="shared" si="197"/>
        <v>2.3199999999999998</v>
      </c>
      <c r="O2436" s="17">
        <f t="shared" si="191"/>
        <v>2552</v>
      </c>
      <c r="P2436" s="18">
        <f t="shared" si="192"/>
        <v>211750.4136</v>
      </c>
    </row>
    <row r="2437" spans="2:16" ht="12.75">
      <c r="B2437" s="10">
        <v>46188</v>
      </c>
      <c r="C2437" s="11">
        <f>VLOOKUP(B:B,'Курс валют'!A:D,4,0)</f>
        <v>82.974299999999999</v>
      </c>
      <c r="D2437" s="58" t="s">
        <v>311</v>
      </c>
      <c r="E2437" s="50" t="s">
        <v>15</v>
      </c>
      <c r="F2437" s="58">
        <v>1100</v>
      </c>
      <c r="G2437" s="13">
        <v>1105.5</v>
      </c>
      <c r="H2437" s="56">
        <v>0</v>
      </c>
      <c r="I2437" s="13">
        <f t="shared" si="196"/>
        <v>5.5</v>
      </c>
      <c r="J2437" s="14">
        <f t="shared" si="188"/>
        <v>0.5</v>
      </c>
      <c r="K2437" s="56">
        <v>2.31</v>
      </c>
      <c r="L2437" s="15">
        <f t="shared" si="189"/>
        <v>0</v>
      </c>
      <c r="M2437" s="16">
        <f t="shared" si="190"/>
        <v>191.67063300000001</v>
      </c>
      <c r="N2437" s="17">
        <f t="shared" si="197"/>
        <v>2.31</v>
      </c>
      <c r="O2437" s="17">
        <f t="shared" si="191"/>
        <v>2541</v>
      </c>
      <c r="P2437" s="18">
        <f t="shared" si="192"/>
        <v>210837.69630000001</v>
      </c>
    </row>
    <row r="2438" spans="2:16" ht="12.75">
      <c r="B2438" s="10">
        <v>46188</v>
      </c>
      <c r="C2438" s="11">
        <f>VLOOKUP(B:B,'Курс валют'!A:D,4,0)</f>
        <v>82.974299999999999</v>
      </c>
      <c r="D2438" s="58" t="s">
        <v>312</v>
      </c>
      <c r="E2438" s="50" t="s">
        <v>15</v>
      </c>
      <c r="F2438" s="58">
        <v>1100</v>
      </c>
      <c r="G2438" s="13">
        <v>1105.5</v>
      </c>
      <c r="H2438" s="56">
        <v>0</v>
      </c>
      <c r="I2438" s="13">
        <f t="shared" si="196"/>
        <v>5.5</v>
      </c>
      <c r="J2438" s="14">
        <f t="shared" si="188"/>
        <v>0.5</v>
      </c>
      <c r="K2438" s="56">
        <v>2.31</v>
      </c>
      <c r="L2438" s="15">
        <f t="shared" si="189"/>
        <v>0</v>
      </c>
      <c r="M2438" s="16">
        <f t="shared" si="190"/>
        <v>191.67063300000001</v>
      </c>
      <c r="N2438" s="17">
        <f t="shared" si="197"/>
        <v>2.31</v>
      </c>
      <c r="O2438" s="17">
        <f t="shared" si="191"/>
        <v>2541</v>
      </c>
      <c r="P2438" s="18">
        <f t="shared" si="192"/>
        <v>210837.69630000001</v>
      </c>
    </row>
    <row r="2439" spans="2:16" ht="12.75">
      <c r="B2439" s="10">
        <v>46188</v>
      </c>
      <c r="C2439" s="11">
        <f>VLOOKUP(B:B,'Курс валют'!A:D,4,0)</f>
        <v>82.974299999999999</v>
      </c>
      <c r="D2439" s="58" t="s">
        <v>313</v>
      </c>
      <c r="E2439" s="50" t="s">
        <v>15</v>
      </c>
      <c r="F2439" s="58">
        <v>1100</v>
      </c>
      <c r="G2439" s="13">
        <v>1105.5</v>
      </c>
      <c r="H2439" s="56">
        <v>0</v>
      </c>
      <c r="I2439" s="13">
        <f t="shared" si="196"/>
        <v>5.5</v>
      </c>
      <c r="J2439" s="14">
        <f t="shared" si="188"/>
        <v>0.5</v>
      </c>
      <c r="K2439" s="56">
        <v>2.31</v>
      </c>
      <c r="L2439" s="15">
        <f t="shared" si="189"/>
        <v>0</v>
      </c>
      <c r="M2439" s="16">
        <f t="shared" si="190"/>
        <v>191.67063300000001</v>
      </c>
      <c r="N2439" s="17">
        <f t="shared" si="197"/>
        <v>2.31</v>
      </c>
      <c r="O2439" s="17">
        <f t="shared" si="191"/>
        <v>2541</v>
      </c>
      <c r="P2439" s="18">
        <f t="shared" si="192"/>
        <v>210837.69630000001</v>
      </c>
    </row>
    <row r="2440" spans="2:16" ht="12.75">
      <c r="B2440" s="10">
        <v>46188</v>
      </c>
      <c r="C2440" s="11">
        <f>VLOOKUP(B:B,'Курс валют'!A:D,4,0)</f>
        <v>82.974299999999999</v>
      </c>
      <c r="D2440" s="58" t="s">
        <v>314</v>
      </c>
      <c r="E2440" s="50" t="s">
        <v>15</v>
      </c>
      <c r="F2440" s="58">
        <v>1100</v>
      </c>
      <c r="G2440" s="13">
        <v>1105.5</v>
      </c>
      <c r="H2440" s="56">
        <v>0</v>
      </c>
      <c r="I2440" s="13">
        <f t="shared" si="196"/>
        <v>5.5</v>
      </c>
      <c r="J2440" s="14">
        <f t="shared" si="188"/>
        <v>0.5</v>
      </c>
      <c r="K2440" s="56">
        <v>2.31</v>
      </c>
      <c r="L2440" s="15">
        <f t="shared" si="189"/>
        <v>0</v>
      </c>
      <c r="M2440" s="16">
        <f t="shared" si="190"/>
        <v>191.67063300000001</v>
      </c>
      <c r="N2440" s="17">
        <f t="shared" si="197"/>
        <v>2.31</v>
      </c>
      <c r="O2440" s="17">
        <f t="shared" si="191"/>
        <v>2541</v>
      </c>
      <c r="P2440" s="18">
        <f t="shared" si="192"/>
        <v>210837.69630000001</v>
      </c>
    </row>
    <row r="2441" spans="2:16" ht="12.75">
      <c r="B2441" s="10">
        <v>46188</v>
      </c>
      <c r="C2441" s="11">
        <f>VLOOKUP(B:B,'Курс валют'!A:D,4,0)</f>
        <v>82.974299999999999</v>
      </c>
      <c r="D2441" s="58" t="s">
        <v>315</v>
      </c>
      <c r="E2441" s="50" t="s">
        <v>15</v>
      </c>
      <c r="F2441" s="58">
        <v>1100</v>
      </c>
      <c r="G2441" s="13">
        <v>1105.5</v>
      </c>
      <c r="H2441" s="56">
        <v>0</v>
      </c>
      <c r="I2441" s="13">
        <f t="shared" si="196"/>
        <v>5.5</v>
      </c>
      <c r="J2441" s="14">
        <f t="shared" si="188"/>
        <v>0.5</v>
      </c>
      <c r="K2441" s="56">
        <v>2.31</v>
      </c>
      <c r="L2441" s="15">
        <f t="shared" si="189"/>
        <v>0</v>
      </c>
      <c r="M2441" s="16">
        <f t="shared" si="190"/>
        <v>191.67063300000001</v>
      </c>
      <c r="N2441" s="17">
        <f t="shared" si="197"/>
        <v>2.31</v>
      </c>
      <c r="O2441" s="17">
        <f t="shared" si="191"/>
        <v>2541</v>
      </c>
      <c r="P2441" s="18">
        <f t="shared" si="192"/>
        <v>210837.69630000001</v>
      </c>
    </row>
    <row r="2442" spans="2:16" ht="12.75">
      <c r="B2442" s="10">
        <v>46188</v>
      </c>
      <c r="C2442" s="11">
        <f>VLOOKUP(B:B,'Курс валют'!A:D,4,0)</f>
        <v>82.974299999999999</v>
      </c>
      <c r="D2442" s="58" t="s">
        <v>316</v>
      </c>
      <c r="E2442" s="50" t="s">
        <v>15</v>
      </c>
      <c r="F2442" s="58">
        <v>1100</v>
      </c>
      <c r="G2442" s="13">
        <v>1105.5</v>
      </c>
      <c r="H2442" s="56">
        <v>0</v>
      </c>
      <c r="I2442" s="13">
        <f t="shared" si="196"/>
        <v>5.5</v>
      </c>
      <c r="J2442" s="14">
        <f t="shared" si="188"/>
        <v>0.5</v>
      </c>
      <c r="K2442" s="56">
        <v>2.31</v>
      </c>
      <c r="L2442" s="15">
        <f t="shared" si="189"/>
        <v>0</v>
      </c>
      <c r="M2442" s="16">
        <f t="shared" si="190"/>
        <v>191.67063300000001</v>
      </c>
      <c r="N2442" s="17">
        <f t="shared" si="197"/>
        <v>2.31</v>
      </c>
      <c r="O2442" s="17">
        <f t="shared" si="191"/>
        <v>2541</v>
      </c>
      <c r="P2442" s="18">
        <f t="shared" si="192"/>
        <v>210837.69630000001</v>
      </c>
    </row>
    <row r="2443" spans="2:16" ht="12.75">
      <c r="B2443" s="10">
        <v>46188</v>
      </c>
      <c r="C2443" s="11">
        <f>VLOOKUP(B:B,'Курс валют'!A:D,4,0)</f>
        <v>82.974299999999999</v>
      </c>
      <c r="D2443" s="58" t="s">
        <v>317</v>
      </c>
      <c r="E2443" s="50" t="s">
        <v>15</v>
      </c>
      <c r="F2443" s="58">
        <v>1100</v>
      </c>
      <c r="G2443" s="13">
        <v>1105.5</v>
      </c>
      <c r="H2443" s="56">
        <v>0</v>
      </c>
      <c r="I2443" s="13">
        <f t="shared" si="196"/>
        <v>5.5</v>
      </c>
      <c r="J2443" s="14">
        <f t="shared" si="188"/>
        <v>0.5</v>
      </c>
      <c r="K2443" s="56">
        <v>2.31</v>
      </c>
      <c r="L2443" s="15">
        <f t="shared" si="189"/>
        <v>0</v>
      </c>
      <c r="M2443" s="16">
        <f t="shared" si="190"/>
        <v>191.67063300000001</v>
      </c>
      <c r="N2443" s="17">
        <f t="shared" si="197"/>
        <v>2.31</v>
      </c>
      <c r="O2443" s="17">
        <f t="shared" si="191"/>
        <v>2541</v>
      </c>
      <c r="P2443" s="18">
        <f t="shared" si="192"/>
        <v>210837.69630000001</v>
      </c>
    </row>
    <row r="2444" spans="2:16" ht="12.75">
      <c r="B2444" s="10">
        <v>46188</v>
      </c>
      <c r="C2444" s="11">
        <f>VLOOKUP(B:B,'Курс валют'!A:D,4,0)</f>
        <v>82.974299999999999</v>
      </c>
      <c r="D2444" s="58" t="s">
        <v>318</v>
      </c>
      <c r="E2444" s="50" t="s">
        <v>15</v>
      </c>
      <c r="F2444" s="58">
        <v>1100</v>
      </c>
      <c r="G2444" s="13">
        <v>1105.5</v>
      </c>
      <c r="H2444" s="56">
        <v>0</v>
      </c>
      <c r="I2444" s="13">
        <f t="shared" si="196"/>
        <v>5.5</v>
      </c>
      <c r="J2444" s="14">
        <f t="shared" si="188"/>
        <v>0.5</v>
      </c>
      <c r="K2444" s="56">
        <v>2.31</v>
      </c>
      <c r="L2444" s="15">
        <f t="shared" si="189"/>
        <v>0</v>
      </c>
      <c r="M2444" s="16">
        <f t="shared" si="190"/>
        <v>191.67063300000001</v>
      </c>
      <c r="N2444" s="17">
        <f t="shared" si="197"/>
        <v>2.31</v>
      </c>
      <c r="O2444" s="17">
        <f t="shared" si="191"/>
        <v>2541</v>
      </c>
      <c r="P2444" s="18">
        <f t="shared" si="192"/>
        <v>210837.69630000001</v>
      </c>
    </row>
    <row r="2445" spans="2:16" ht="12.75">
      <c r="B2445" s="10">
        <v>46188</v>
      </c>
      <c r="C2445" s="11">
        <f>VLOOKUP(B:B,'Курс валют'!A:D,4,0)</f>
        <v>82.974299999999999</v>
      </c>
      <c r="D2445" s="58" t="s">
        <v>319</v>
      </c>
      <c r="E2445" s="50" t="s">
        <v>15</v>
      </c>
      <c r="F2445" s="58">
        <v>1100</v>
      </c>
      <c r="G2445" s="13">
        <v>1105.5</v>
      </c>
      <c r="H2445" s="56">
        <v>0</v>
      </c>
      <c r="I2445" s="13">
        <f t="shared" si="196"/>
        <v>5.5</v>
      </c>
      <c r="J2445" s="14">
        <f t="shared" si="188"/>
        <v>0.5</v>
      </c>
      <c r="K2445" s="56">
        <v>2.31</v>
      </c>
      <c r="L2445" s="15">
        <f t="shared" si="189"/>
        <v>0</v>
      </c>
      <c r="M2445" s="16">
        <f t="shared" si="190"/>
        <v>191.67063300000001</v>
      </c>
      <c r="N2445" s="17">
        <f t="shared" si="197"/>
        <v>2.31</v>
      </c>
      <c r="O2445" s="17">
        <f t="shared" si="191"/>
        <v>2541</v>
      </c>
      <c r="P2445" s="18">
        <f t="shared" si="192"/>
        <v>210837.69630000001</v>
      </c>
    </row>
    <row r="2446" spans="2:16" ht="12.75">
      <c r="B2446" s="10">
        <v>46188</v>
      </c>
      <c r="C2446" s="11">
        <f>VLOOKUP(B:B,'Курс валют'!A:D,4,0)</f>
        <v>82.974299999999999</v>
      </c>
      <c r="D2446" s="58" t="s">
        <v>320</v>
      </c>
      <c r="E2446" s="50" t="s">
        <v>15</v>
      </c>
      <c r="F2446" s="58">
        <v>1100</v>
      </c>
      <c r="G2446" s="13">
        <v>1105.5</v>
      </c>
      <c r="H2446" s="56">
        <v>0</v>
      </c>
      <c r="I2446" s="13">
        <f t="shared" si="196"/>
        <v>5.5</v>
      </c>
      <c r="J2446" s="14">
        <f t="shared" si="188"/>
        <v>0.5</v>
      </c>
      <c r="K2446" s="56">
        <v>2.31</v>
      </c>
      <c r="L2446" s="15">
        <f t="shared" si="189"/>
        <v>0</v>
      </c>
      <c r="M2446" s="16">
        <f t="shared" si="190"/>
        <v>191.67063300000001</v>
      </c>
      <c r="N2446" s="17">
        <f t="shared" si="197"/>
        <v>2.31</v>
      </c>
      <c r="O2446" s="17">
        <f t="shared" si="191"/>
        <v>2541</v>
      </c>
      <c r="P2446" s="18">
        <f t="shared" si="192"/>
        <v>210837.69630000001</v>
      </c>
    </row>
    <row r="2447" spans="2:16" ht="12.75">
      <c r="B2447" s="10">
        <v>46189</v>
      </c>
      <c r="C2447" s="11">
        <f>VLOOKUP(B:B,'Курс валют'!A:D,4,0)</f>
        <v>83.804400000000001</v>
      </c>
      <c r="D2447" s="58" t="s">
        <v>321</v>
      </c>
      <c r="E2447" s="50" t="s">
        <v>15</v>
      </c>
      <c r="F2447" s="58">
        <v>1100</v>
      </c>
      <c r="G2447" s="13">
        <v>1105.5</v>
      </c>
      <c r="H2447" s="56">
        <v>0</v>
      </c>
      <c r="I2447" s="13">
        <f t="shared" si="196"/>
        <v>5.5</v>
      </c>
      <c r="J2447" s="14">
        <f t="shared" si="188"/>
        <v>0.5</v>
      </c>
      <c r="K2447" s="56">
        <v>2.31</v>
      </c>
      <c r="L2447" s="15">
        <f t="shared" si="189"/>
        <v>0</v>
      </c>
      <c r="M2447" s="16">
        <f t="shared" si="190"/>
        <v>193.58816400000001</v>
      </c>
      <c r="N2447" s="17">
        <f t="shared" si="197"/>
        <v>2.31</v>
      </c>
      <c r="O2447" s="17">
        <f t="shared" si="191"/>
        <v>2541</v>
      </c>
      <c r="P2447" s="18">
        <f t="shared" si="192"/>
        <v>212946.9804</v>
      </c>
    </row>
    <row r="2448" spans="2:16" ht="12.75">
      <c r="B2448" s="10">
        <v>46189</v>
      </c>
      <c r="C2448" s="11">
        <f>VLOOKUP(B:B,'Курс валют'!A:D,4,0)</f>
        <v>83.804400000000001</v>
      </c>
      <c r="D2448" s="58" t="s">
        <v>322</v>
      </c>
      <c r="E2448" s="50" t="s">
        <v>15</v>
      </c>
      <c r="F2448" s="58">
        <v>1100</v>
      </c>
      <c r="G2448" s="13">
        <v>1105.5</v>
      </c>
      <c r="H2448" s="56">
        <v>0</v>
      </c>
      <c r="I2448" s="13">
        <f t="shared" si="196"/>
        <v>5.5</v>
      </c>
      <c r="J2448" s="14">
        <f t="shared" si="188"/>
        <v>0.5</v>
      </c>
      <c r="K2448" s="56">
        <v>2.31</v>
      </c>
      <c r="L2448" s="15">
        <f t="shared" si="189"/>
        <v>0</v>
      </c>
      <c r="M2448" s="16">
        <f t="shared" si="190"/>
        <v>193.58816400000001</v>
      </c>
      <c r="N2448" s="17">
        <f t="shared" si="197"/>
        <v>2.31</v>
      </c>
      <c r="O2448" s="17">
        <f t="shared" si="191"/>
        <v>2541</v>
      </c>
      <c r="P2448" s="18">
        <f t="shared" si="192"/>
        <v>212946.9804</v>
      </c>
    </row>
    <row r="2449" spans="2:16" ht="12.75">
      <c r="B2449" s="10">
        <v>46189</v>
      </c>
      <c r="C2449" s="11">
        <f>VLOOKUP(B:B,'Курс валют'!A:D,4,0)</f>
        <v>83.804400000000001</v>
      </c>
      <c r="D2449" s="58" t="s">
        <v>323</v>
      </c>
      <c r="E2449" s="50" t="s">
        <v>15</v>
      </c>
      <c r="F2449" s="58">
        <v>1100</v>
      </c>
      <c r="G2449" s="13">
        <v>1105.5</v>
      </c>
      <c r="H2449" s="56">
        <v>0</v>
      </c>
      <c r="I2449" s="13">
        <f t="shared" si="196"/>
        <v>5.5</v>
      </c>
      <c r="J2449" s="14">
        <f t="shared" si="188"/>
        <v>0.5</v>
      </c>
      <c r="K2449" s="56">
        <v>2.31</v>
      </c>
      <c r="L2449" s="15">
        <f t="shared" si="189"/>
        <v>0</v>
      </c>
      <c r="M2449" s="16">
        <f t="shared" si="190"/>
        <v>193.58816400000001</v>
      </c>
      <c r="N2449" s="17">
        <f t="shared" si="197"/>
        <v>2.31</v>
      </c>
      <c r="O2449" s="17">
        <f t="shared" si="191"/>
        <v>2541</v>
      </c>
      <c r="P2449" s="18">
        <f t="shared" si="192"/>
        <v>212946.9804</v>
      </c>
    </row>
    <row r="2450" spans="2:16" ht="12.75">
      <c r="B2450" s="10">
        <v>46189</v>
      </c>
      <c r="C2450" s="11">
        <f>VLOOKUP(B:B,'Курс валют'!A:D,4,0)</f>
        <v>83.804400000000001</v>
      </c>
      <c r="D2450" s="58" t="s">
        <v>324</v>
      </c>
      <c r="E2450" s="50" t="s">
        <v>15</v>
      </c>
      <c r="F2450" s="58">
        <v>1100</v>
      </c>
      <c r="G2450" s="13">
        <v>1105.5</v>
      </c>
      <c r="H2450" s="56">
        <v>0</v>
      </c>
      <c r="I2450" s="13">
        <f t="shared" si="196"/>
        <v>5.5</v>
      </c>
      <c r="J2450" s="14">
        <f t="shared" si="188"/>
        <v>0.5</v>
      </c>
      <c r="K2450" s="56">
        <v>2.31</v>
      </c>
      <c r="L2450" s="15">
        <f t="shared" si="189"/>
        <v>0</v>
      </c>
      <c r="M2450" s="16">
        <f t="shared" si="190"/>
        <v>193.58816400000001</v>
      </c>
      <c r="N2450" s="17">
        <f t="shared" si="197"/>
        <v>2.31</v>
      </c>
      <c r="O2450" s="17">
        <f t="shared" si="191"/>
        <v>2541</v>
      </c>
      <c r="P2450" s="18">
        <f t="shared" si="192"/>
        <v>212946.9804</v>
      </c>
    </row>
    <row r="2451" spans="2:16" ht="12.75">
      <c r="B2451" s="10">
        <v>46189</v>
      </c>
      <c r="C2451" s="11">
        <f>VLOOKUP(B:B,'Курс валют'!A:D,4,0)</f>
        <v>83.804400000000001</v>
      </c>
      <c r="D2451" s="58" t="s">
        <v>325</v>
      </c>
      <c r="E2451" s="50" t="s">
        <v>15</v>
      </c>
      <c r="F2451" s="58">
        <v>1100</v>
      </c>
      <c r="G2451" s="13">
        <v>1105.5</v>
      </c>
      <c r="H2451" s="56">
        <v>0</v>
      </c>
      <c r="I2451" s="13">
        <f t="shared" si="196"/>
        <v>5.5</v>
      </c>
      <c r="J2451" s="14">
        <f t="shared" si="188"/>
        <v>0.5</v>
      </c>
      <c r="K2451" s="56">
        <v>2.31</v>
      </c>
      <c r="L2451" s="15">
        <f t="shared" si="189"/>
        <v>0</v>
      </c>
      <c r="M2451" s="16">
        <f t="shared" si="190"/>
        <v>193.58816400000001</v>
      </c>
      <c r="N2451" s="17">
        <f t="shared" si="197"/>
        <v>2.31</v>
      </c>
      <c r="O2451" s="17">
        <f t="shared" si="191"/>
        <v>2541</v>
      </c>
      <c r="P2451" s="18">
        <f t="shared" si="192"/>
        <v>212946.9804</v>
      </c>
    </row>
    <row r="2452" spans="2:16" ht="12.75">
      <c r="B2452" s="10">
        <v>46189</v>
      </c>
      <c r="C2452" s="11">
        <f>VLOOKUP(B:B,'Курс валют'!A:D,4,0)</f>
        <v>83.804400000000001</v>
      </c>
      <c r="D2452" s="58" t="s">
        <v>326</v>
      </c>
      <c r="E2452" s="50" t="s">
        <v>15</v>
      </c>
      <c r="F2452" s="58">
        <v>1100</v>
      </c>
      <c r="G2452" s="13">
        <v>1105.5</v>
      </c>
      <c r="H2452" s="56">
        <v>0</v>
      </c>
      <c r="I2452" s="13">
        <f t="shared" si="196"/>
        <v>5.5</v>
      </c>
      <c r="J2452" s="14">
        <f t="shared" si="188"/>
        <v>0.5</v>
      </c>
      <c r="K2452" s="56">
        <v>2.31</v>
      </c>
      <c r="L2452" s="15">
        <f t="shared" si="189"/>
        <v>0</v>
      </c>
      <c r="M2452" s="16">
        <f t="shared" si="190"/>
        <v>193.58816400000001</v>
      </c>
      <c r="N2452" s="17">
        <f t="shared" si="197"/>
        <v>2.31</v>
      </c>
      <c r="O2452" s="17">
        <f t="shared" si="191"/>
        <v>2541</v>
      </c>
      <c r="P2452" s="18">
        <f t="shared" si="192"/>
        <v>212946.9804</v>
      </c>
    </row>
    <row r="2453" spans="2:16" ht="12.75">
      <c r="B2453" s="10">
        <v>46189</v>
      </c>
      <c r="C2453" s="11">
        <f>VLOOKUP(B:B,'Курс валют'!A:D,4,0)</f>
        <v>83.804400000000001</v>
      </c>
      <c r="D2453" s="58" t="s">
        <v>327</v>
      </c>
      <c r="E2453" s="50" t="s">
        <v>15</v>
      </c>
      <c r="F2453" s="58">
        <v>1100</v>
      </c>
      <c r="G2453" s="13">
        <v>1105.5</v>
      </c>
      <c r="H2453" s="56">
        <v>0</v>
      </c>
      <c r="I2453" s="13">
        <f t="shared" si="196"/>
        <v>5.5</v>
      </c>
      <c r="J2453" s="14">
        <f t="shared" si="188"/>
        <v>0.5</v>
      </c>
      <c r="K2453" s="56">
        <v>2.3199999999999998</v>
      </c>
      <c r="L2453" s="15">
        <f t="shared" si="189"/>
        <v>0</v>
      </c>
      <c r="M2453" s="16">
        <f t="shared" si="190"/>
        <v>194.426208</v>
      </c>
      <c r="N2453" s="17">
        <f t="shared" si="197"/>
        <v>2.3199999999999998</v>
      </c>
      <c r="O2453" s="17">
        <f t="shared" si="191"/>
        <v>2552</v>
      </c>
      <c r="P2453" s="18">
        <f t="shared" si="192"/>
        <v>213868.82879999999</v>
      </c>
    </row>
    <row r="2454" spans="2:16" ht="12.75">
      <c r="B2454" s="10">
        <v>46189</v>
      </c>
      <c r="C2454" s="11">
        <f>VLOOKUP(B:B,'Курс валют'!A:D,4,0)</f>
        <v>83.804400000000001</v>
      </c>
      <c r="D2454" s="58" t="s">
        <v>328</v>
      </c>
      <c r="E2454" s="50" t="s">
        <v>15</v>
      </c>
      <c r="F2454" s="58">
        <v>1100</v>
      </c>
      <c r="G2454" s="13">
        <v>1105.5</v>
      </c>
      <c r="H2454" s="56">
        <v>0</v>
      </c>
      <c r="I2454" s="13">
        <f t="shared" si="196"/>
        <v>5.5</v>
      </c>
      <c r="J2454" s="14">
        <f t="shared" si="188"/>
        <v>0.5</v>
      </c>
      <c r="K2454" s="56">
        <v>2.31</v>
      </c>
      <c r="L2454" s="15">
        <f t="shared" si="189"/>
        <v>0</v>
      </c>
      <c r="M2454" s="16">
        <f t="shared" si="190"/>
        <v>193.58816400000001</v>
      </c>
      <c r="N2454" s="17">
        <f t="shared" si="197"/>
        <v>2.31</v>
      </c>
      <c r="O2454" s="17">
        <f t="shared" si="191"/>
        <v>2541</v>
      </c>
      <c r="P2454" s="18">
        <f t="shared" si="192"/>
        <v>212946.9804</v>
      </c>
    </row>
    <row r="2455" spans="2:16" ht="12.75">
      <c r="B2455" s="10">
        <v>46189</v>
      </c>
      <c r="C2455" s="11">
        <f>VLOOKUP(B:B,'Курс валют'!A:D,4,0)</f>
        <v>83.804400000000001</v>
      </c>
      <c r="D2455" s="58" t="s">
        <v>329</v>
      </c>
      <c r="E2455" s="50" t="s">
        <v>15</v>
      </c>
      <c r="F2455" s="58">
        <v>1100</v>
      </c>
      <c r="G2455" s="13">
        <v>1105.5</v>
      </c>
      <c r="H2455" s="56">
        <v>0</v>
      </c>
      <c r="I2455" s="13">
        <f t="shared" si="196"/>
        <v>5.5</v>
      </c>
      <c r="J2455" s="14">
        <f t="shared" si="188"/>
        <v>0.5</v>
      </c>
      <c r="K2455" s="56">
        <v>2.31</v>
      </c>
      <c r="L2455" s="15">
        <f t="shared" si="189"/>
        <v>0</v>
      </c>
      <c r="M2455" s="16">
        <f t="shared" si="190"/>
        <v>193.58816400000001</v>
      </c>
      <c r="N2455" s="17">
        <f t="shared" si="197"/>
        <v>2.31</v>
      </c>
      <c r="O2455" s="17">
        <f t="shared" si="191"/>
        <v>2541</v>
      </c>
      <c r="P2455" s="18">
        <f t="shared" si="192"/>
        <v>212946.9804</v>
      </c>
    </row>
    <row r="2456" spans="2:16" ht="12.75">
      <c r="B2456" s="10">
        <v>46189</v>
      </c>
      <c r="C2456" s="11">
        <f>VLOOKUP(B:B,'Курс валют'!A:D,4,0)</f>
        <v>83.804400000000001</v>
      </c>
      <c r="D2456" s="58" t="s">
        <v>330</v>
      </c>
      <c r="E2456" s="50" t="s">
        <v>15</v>
      </c>
      <c r="F2456" s="58">
        <v>1100</v>
      </c>
      <c r="G2456" s="13">
        <v>1105.5</v>
      </c>
      <c r="H2456" s="56">
        <v>0</v>
      </c>
      <c r="I2456" s="13">
        <f t="shared" si="196"/>
        <v>5.5</v>
      </c>
      <c r="J2456" s="14">
        <f t="shared" si="188"/>
        <v>0.5</v>
      </c>
      <c r="K2456" s="56">
        <v>2.31</v>
      </c>
      <c r="L2456" s="15">
        <f t="shared" si="189"/>
        <v>0</v>
      </c>
      <c r="M2456" s="16">
        <f t="shared" si="190"/>
        <v>193.58816400000001</v>
      </c>
      <c r="N2456" s="17">
        <f t="shared" si="197"/>
        <v>2.31</v>
      </c>
      <c r="O2456" s="17">
        <f t="shared" si="191"/>
        <v>2541</v>
      </c>
      <c r="P2456" s="18">
        <f t="shared" si="192"/>
        <v>212946.9804</v>
      </c>
    </row>
    <row r="2457" spans="2:16" ht="12.75">
      <c r="B2457" s="10">
        <v>46190</v>
      </c>
      <c r="C2457" s="11">
        <f>VLOOKUP(B:B,'Курс валют'!A:D,4,0)</f>
        <v>83.731499999999997</v>
      </c>
      <c r="D2457" s="58" t="s">
        <v>331</v>
      </c>
      <c r="E2457" s="50" t="s">
        <v>15</v>
      </c>
      <c r="F2457" s="58">
        <v>1100</v>
      </c>
      <c r="G2457" s="13">
        <v>1107.5</v>
      </c>
      <c r="H2457" s="56">
        <v>0</v>
      </c>
      <c r="I2457" s="13">
        <f t="shared" si="196"/>
        <v>7.5</v>
      </c>
      <c r="J2457" s="14">
        <f t="shared" si="188"/>
        <v>0.68181818181818177</v>
      </c>
      <c r="K2457" s="56">
        <v>2.1</v>
      </c>
      <c r="L2457" s="15">
        <f t="shared" si="189"/>
        <v>0</v>
      </c>
      <c r="M2457" s="16">
        <f t="shared" si="190"/>
        <v>175.83614999999998</v>
      </c>
      <c r="N2457" s="17">
        <f t="shared" si="197"/>
        <v>2.1</v>
      </c>
      <c r="O2457" s="17">
        <f t="shared" si="191"/>
        <v>2310</v>
      </c>
      <c r="P2457" s="18">
        <f t="shared" si="192"/>
        <v>193419.76499999998</v>
      </c>
    </row>
    <row r="2458" spans="2:16" ht="12.75">
      <c r="B2458" s="10">
        <v>46190</v>
      </c>
      <c r="C2458" s="11">
        <f>VLOOKUP(B:B,'Курс валют'!A:D,4,0)</f>
        <v>83.731499999999997</v>
      </c>
      <c r="D2458" s="58" t="s">
        <v>332</v>
      </c>
      <c r="E2458" s="50" t="s">
        <v>15</v>
      </c>
      <c r="F2458" s="58">
        <v>1100</v>
      </c>
      <c r="G2458" s="13">
        <v>1107.5</v>
      </c>
      <c r="H2458" s="56">
        <v>0</v>
      </c>
      <c r="I2458" s="13">
        <f t="shared" si="196"/>
        <v>7.5</v>
      </c>
      <c r="J2458" s="14">
        <f t="shared" si="188"/>
        <v>0.68181818181818177</v>
      </c>
      <c r="K2458" s="56">
        <v>2.09</v>
      </c>
      <c r="L2458" s="15">
        <f t="shared" si="189"/>
        <v>0</v>
      </c>
      <c r="M2458" s="16">
        <f t="shared" si="190"/>
        <v>174.99883499999999</v>
      </c>
      <c r="N2458" s="17">
        <f t="shared" si="197"/>
        <v>2.09</v>
      </c>
      <c r="O2458" s="17">
        <f t="shared" si="191"/>
        <v>2299</v>
      </c>
      <c r="P2458" s="18">
        <f t="shared" si="192"/>
        <v>192498.71849999999</v>
      </c>
    </row>
    <row r="2459" spans="2:16" ht="12.75">
      <c r="B2459" s="10">
        <v>46190</v>
      </c>
      <c r="C2459" s="11">
        <f>VLOOKUP(B:B,'Курс валют'!A:D,4,0)</f>
        <v>83.731499999999997</v>
      </c>
      <c r="D2459" s="58" t="s">
        <v>333</v>
      </c>
      <c r="E2459" s="50" t="s">
        <v>15</v>
      </c>
      <c r="F2459" s="58">
        <v>1100</v>
      </c>
      <c r="G2459" s="13">
        <v>1107.5</v>
      </c>
      <c r="H2459" s="56">
        <v>0</v>
      </c>
      <c r="I2459" s="13">
        <f t="shared" si="196"/>
        <v>7.5</v>
      </c>
      <c r="J2459" s="14">
        <f t="shared" si="188"/>
        <v>0.68181818181818177</v>
      </c>
      <c r="K2459" s="56">
        <v>2.09</v>
      </c>
      <c r="L2459" s="15">
        <f t="shared" si="189"/>
        <v>0</v>
      </c>
      <c r="M2459" s="16">
        <f t="shared" si="190"/>
        <v>174.99883499999999</v>
      </c>
      <c r="N2459" s="17">
        <f t="shared" si="197"/>
        <v>2.09</v>
      </c>
      <c r="O2459" s="17">
        <f t="shared" si="191"/>
        <v>2299</v>
      </c>
      <c r="P2459" s="18">
        <f t="shared" si="192"/>
        <v>192498.71849999999</v>
      </c>
    </row>
    <row r="2460" spans="2:16" ht="12.75">
      <c r="B2460" s="10">
        <v>46190</v>
      </c>
      <c r="C2460" s="11">
        <f>VLOOKUP(B:B,'Курс валют'!A:D,4,0)</f>
        <v>83.731499999999997</v>
      </c>
      <c r="D2460" s="58" t="s">
        <v>334</v>
      </c>
      <c r="E2460" s="50" t="s">
        <v>15</v>
      </c>
      <c r="F2460" s="58">
        <v>1100</v>
      </c>
      <c r="G2460" s="13">
        <v>1107.5</v>
      </c>
      <c r="H2460" s="56">
        <v>0</v>
      </c>
      <c r="I2460" s="13">
        <f t="shared" si="196"/>
        <v>7.5</v>
      </c>
      <c r="J2460" s="14">
        <f t="shared" si="188"/>
        <v>0.68181818181818177</v>
      </c>
      <c r="K2460" s="56">
        <v>2.1</v>
      </c>
      <c r="L2460" s="15">
        <f t="shared" si="189"/>
        <v>0</v>
      </c>
      <c r="M2460" s="16">
        <f t="shared" si="190"/>
        <v>175.83614999999998</v>
      </c>
      <c r="N2460" s="17">
        <f t="shared" si="197"/>
        <v>2.1</v>
      </c>
      <c r="O2460" s="17">
        <f t="shared" si="191"/>
        <v>2310</v>
      </c>
      <c r="P2460" s="18">
        <f t="shared" si="192"/>
        <v>193419.76499999998</v>
      </c>
    </row>
    <row r="2461" spans="2:16" ht="12.75">
      <c r="B2461" s="10">
        <v>46190</v>
      </c>
      <c r="C2461" s="11">
        <f>VLOOKUP(B:B,'Курс валют'!A:D,4,0)</f>
        <v>83.731499999999997</v>
      </c>
      <c r="D2461" s="58" t="s">
        <v>335</v>
      </c>
      <c r="E2461" s="50" t="s">
        <v>15</v>
      </c>
      <c r="F2461" s="58">
        <v>1100</v>
      </c>
      <c r="G2461" s="13">
        <v>1107.5</v>
      </c>
      <c r="H2461" s="56">
        <v>0</v>
      </c>
      <c r="I2461" s="13">
        <f t="shared" si="196"/>
        <v>7.5</v>
      </c>
      <c r="J2461" s="14">
        <f t="shared" si="188"/>
        <v>0.68181818181818177</v>
      </c>
      <c r="K2461" s="56">
        <v>2.09</v>
      </c>
      <c r="L2461" s="15">
        <f t="shared" si="189"/>
        <v>0</v>
      </c>
      <c r="M2461" s="16">
        <f t="shared" si="190"/>
        <v>174.99883499999999</v>
      </c>
      <c r="N2461" s="17">
        <f t="shared" si="197"/>
        <v>2.09</v>
      </c>
      <c r="O2461" s="17">
        <f t="shared" si="191"/>
        <v>2299</v>
      </c>
      <c r="P2461" s="18">
        <f t="shared" si="192"/>
        <v>192498.71849999999</v>
      </c>
    </row>
    <row r="2462" spans="2:16" ht="12.75">
      <c r="B2462" s="10">
        <v>46190</v>
      </c>
      <c r="C2462" s="11">
        <f>VLOOKUP(B:B,'Курс валют'!A:D,4,0)</f>
        <v>83.731499999999997</v>
      </c>
      <c r="D2462" s="58" t="s">
        <v>336</v>
      </c>
      <c r="E2462" s="50" t="s">
        <v>15</v>
      </c>
      <c r="F2462" s="58">
        <v>1100</v>
      </c>
      <c r="G2462" s="13">
        <v>1107.5</v>
      </c>
      <c r="H2462" s="56">
        <v>0</v>
      </c>
      <c r="I2462" s="13">
        <f t="shared" si="196"/>
        <v>7.5</v>
      </c>
      <c r="J2462" s="14">
        <f t="shared" si="188"/>
        <v>0.68181818181818177</v>
      </c>
      <c r="K2462" s="56">
        <v>2.1</v>
      </c>
      <c r="L2462" s="15">
        <f t="shared" si="189"/>
        <v>0</v>
      </c>
      <c r="M2462" s="16">
        <f t="shared" si="190"/>
        <v>175.83614999999998</v>
      </c>
      <c r="N2462" s="17">
        <f t="shared" si="197"/>
        <v>2.1</v>
      </c>
      <c r="O2462" s="17">
        <f t="shared" si="191"/>
        <v>2310</v>
      </c>
      <c r="P2462" s="18">
        <f t="shared" si="192"/>
        <v>193419.76499999998</v>
      </c>
    </row>
    <row r="2463" spans="2:16" ht="12.75">
      <c r="B2463" s="10">
        <v>46190</v>
      </c>
      <c r="C2463" s="11">
        <f>VLOOKUP(B:B,'Курс валют'!A:D,4,0)</f>
        <v>83.731499999999997</v>
      </c>
      <c r="D2463" s="58" t="s">
        <v>337</v>
      </c>
      <c r="E2463" s="50" t="s">
        <v>15</v>
      </c>
      <c r="F2463" s="58">
        <v>1100</v>
      </c>
      <c r="G2463" s="13">
        <v>1107.5</v>
      </c>
      <c r="H2463" s="56">
        <v>0</v>
      </c>
      <c r="I2463" s="13">
        <f t="shared" si="196"/>
        <v>7.5</v>
      </c>
      <c r="J2463" s="14">
        <f t="shared" si="188"/>
        <v>0.68181818181818177</v>
      </c>
      <c r="K2463" s="56">
        <v>2.09</v>
      </c>
      <c r="L2463" s="15">
        <f t="shared" si="189"/>
        <v>0</v>
      </c>
      <c r="M2463" s="16">
        <f t="shared" si="190"/>
        <v>174.99883499999999</v>
      </c>
      <c r="N2463" s="17">
        <f t="shared" si="197"/>
        <v>2.09</v>
      </c>
      <c r="O2463" s="17">
        <f t="shared" si="191"/>
        <v>2299</v>
      </c>
      <c r="P2463" s="18">
        <f t="shared" si="192"/>
        <v>192498.71849999999</v>
      </c>
    </row>
    <row r="2464" spans="2:16" ht="12.75">
      <c r="B2464" s="10">
        <v>46190</v>
      </c>
      <c r="C2464" s="11">
        <f>VLOOKUP(B:B,'Курс валют'!A:D,4,0)</f>
        <v>83.731499999999997</v>
      </c>
      <c r="D2464" s="58" t="s">
        <v>338</v>
      </c>
      <c r="E2464" s="50" t="s">
        <v>15</v>
      </c>
      <c r="F2464" s="58">
        <v>1100</v>
      </c>
      <c r="G2464" s="13">
        <v>1107.5</v>
      </c>
      <c r="H2464" s="56">
        <v>0</v>
      </c>
      <c r="I2464" s="13">
        <f t="shared" si="196"/>
        <v>7.5</v>
      </c>
      <c r="J2464" s="14">
        <f t="shared" si="188"/>
        <v>0.68181818181818177</v>
      </c>
      <c r="K2464" s="56">
        <v>2.1</v>
      </c>
      <c r="L2464" s="15">
        <f t="shared" si="189"/>
        <v>0</v>
      </c>
      <c r="M2464" s="16">
        <f t="shared" si="190"/>
        <v>175.83614999999998</v>
      </c>
      <c r="N2464" s="17">
        <f t="shared" si="197"/>
        <v>2.1</v>
      </c>
      <c r="O2464" s="17">
        <f t="shared" si="191"/>
        <v>2310</v>
      </c>
      <c r="P2464" s="18">
        <f t="shared" si="192"/>
        <v>193419.76499999998</v>
      </c>
    </row>
    <row r="2465" spans="2:18" ht="12.75">
      <c r="B2465" s="10">
        <v>46190</v>
      </c>
      <c r="C2465" s="11">
        <f>VLOOKUP(B:B,'Курс валют'!A:D,4,0)</f>
        <v>83.731499999999997</v>
      </c>
      <c r="D2465" s="58" t="s">
        <v>339</v>
      </c>
      <c r="E2465" s="50" t="s">
        <v>15</v>
      </c>
      <c r="F2465" s="58">
        <v>1100</v>
      </c>
      <c r="G2465" s="13">
        <v>1107.5</v>
      </c>
      <c r="H2465" s="56">
        <v>0</v>
      </c>
      <c r="I2465" s="13">
        <f t="shared" si="196"/>
        <v>7.5</v>
      </c>
      <c r="J2465" s="14">
        <f t="shared" si="188"/>
        <v>0.68181818181818177</v>
      </c>
      <c r="K2465" s="56">
        <v>2.09</v>
      </c>
      <c r="L2465" s="15">
        <f t="shared" si="189"/>
        <v>0</v>
      </c>
      <c r="M2465" s="16">
        <f t="shared" si="190"/>
        <v>174.99883499999999</v>
      </c>
      <c r="N2465" s="17">
        <f t="shared" si="197"/>
        <v>2.09</v>
      </c>
      <c r="O2465" s="17">
        <f t="shared" si="191"/>
        <v>2299</v>
      </c>
      <c r="P2465" s="18">
        <f t="shared" si="192"/>
        <v>192498.71849999999</v>
      </c>
    </row>
    <row r="2466" spans="2:18" ht="12.75">
      <c r="B2466" s="10">
        <v>46190</v>
      </c>
      <c r="C2466" s="11">
        <f>VLOOKUP(B:B,'Курс валют'!A:D,4,0)</f>
        <v>83.731499999999997</v>
      </c>
      <c r="D2466" s="58" t="s">
        <v>340</v>
      </c>
      <c r="E2466" s="50" t="s">
        <v>15</v>
      </c>
      <c r="F2466" s="58">
        <v>1100</v>
      </c>
      <c r="G2466" s="13">
        <v>1107.5</v>
      </c>
      <c r="H2466" s="56">
        <v>0</v>
      </c>
      <c r="I2466" s="13">
        <f t="shared" si="196"/>
        <v>7.5</v>
      </c>
      <c r="J2466" s="14">
        <f t="shared" si="188"/>
        <v>0.68181818181818177</v>
      </c>
      <c r="K2466" s="56">
        <v>2.1</v>
      </c>
      <c r="L2466" s="15">
        <f t="shared" si="189"/>
        <v>0</v>
      </c>
      <c r="M2466" s="16">
        <f t="shared" si="190"/>
        <v>175.83614999999998</v>
      </c>
      <c r="N2466" s="17">
        <f t="shared" si="197"/>
        <v>2.1</v>
      </c>
      <c r="O2466" s="17">
        <f t="shared" si="191"/>
        <v>2310</v>
      </c>
      <c r="P2466" s="18">
        <f t="shared" si="192"/>
        <v>193419.76499999998</v>
      </c>
    </row>
    <row r="2467" spans="2:18" ht="12.75">
      <c r="B2467" s="10">
        <v>46190</v>
      </c>
      <c r="C2467" s="11">
        <f>VLOOKUP(B:B,'Курс валют'!A:D,4,0)</f>
        <v>83.731499999999997</v>
      </c>
      <c r="D2467" s="58" t="s">
        <v>341</v>
      </c>
      <c r="E2467" s="50" t="s">
        <v>68</v>
      </c>
      <c r="F2467" s="58">
        <v>560.5</v>
      </c>
      <c r="G2467" s="13">
        <v>647</v>
      </c>
      <c r="H2467" s="56">
        <v>0</v>
      </c>
      <c r="I2467" s="13">
        <f t="shared" si="196"/>
        <v>86.5</v>
      </c>
      <c r="J2467" s="14">
        <f t="shared" si="188"/>
        <v>15.432649420160571</v>
      </c>
      <c r="K2467" s="56">
        <v>3.08</v>
      </c>
      <c r="L2467" s="15">
        <f t="shared" si="189"/>
        <v>0</v>
      </c>
      <c r="M2467" s="16">
        <f t="shared" si="190"/>
        <v>257.89302000000004</v>
      </c>
      <c r="N2467" s="17">
        <f t="shared" si="197"/>
        <v>3.08</v>
      </c>
      <c r="O2467" s="17">
        <f t="shared" si="191"/>
        <v>1726.3400000000001</v>
      </c>
      <c r="P2467" s="18">
        <f t="shared" si="192"/>
        <v>144549.03771</v>
      </c>
      <c r="R2467" s="33" t="s">
        <v>342</v>
      </c>
    </row>
    <row r="2468" spans="2:18" ht="12.75">
      <c r="B2468" s="10">
        <v>46191</v>
      </c>
      <c r="C2468" s="11">
        <f>VLOOKUP(B:B,'Курс валют'!A:D,4,0)</f>
        <v>84.343900000000005</v>
      </c>
      <c r="D2468" s="58" t="s">
        <v>343</v>
      </c>
      <c r="E2468" s="50" t="s">
        <v>15</v>
      </c>
      <c r="F2468" s="58">
        <v>1100</v>
      </c>
      <c r="G2468" s="13">
        <v>1107.5</v>
      </c>
      <c r="H2468" s="56">
        <v>0</v>
      </c>
      <c r="I2468" s="13">
        <f t="shared" si="196"/>
        <v>7.5</v>
      </c>
      <c r="J2468" s="14">
        <f t="shared" si="188"/>
        <v>0.68181818181818177</v>
      </c>
      <c r="K2468" s="56">
        <v>2.1</v>
      </c>
      <c r="L2468" s="15">
        <f t="shared" si="189"/>
        <v>0</v>
      </c>
      <c r="M2468" s="16">
        <f t="shared" si="190"/>
        <v>177.12219000000002</v>
      </c>
      <c r="N2468" s="17">
        <f t="shared" si="197"/>
        <v>2.1</v>
      </c>
      <c r="O2468" s="17">
        <f t="shared" si="191"/>
        <v>2310</v>
      </c>
      <c r="P2468" s="18">
        <f t="shared" si="192"/>
        <v>194834.40900000001</v>
      </c>
    </row>
    <row r="2469" spans="2:18" ht="12.75">
      <c r="B2469" s="10">
        <v>46191</v>
      </c>
      <c r="C2469" s="11">
        <f>VLOOKUP(B:B,'Курс валют'!A:D,4,0)</f>
        <v>84.343900000000005</v>
      </c>
      <c r="D2469" s="58" t="s">
        <v>344</v>
      </c>
      <c r="E2469" s="50" t="s">
        <v>15</v>
      </c>
      <c r="F2469" s="58">
        <v>1100</v>
      </c>
      <c r="G2469" s="13">
        <v>1107.5</v>
      </c>
      <c r="H2469" s="56">
        <v>0</v>
      </c>
      <c r="I2469" s="13">
        <f t="shared" si="196"/>
        <v>7.5</v>
      </c>
      <c r="J2469" s="14">
        <f t="shared" si="188"/>
        <v>0.68181818181818177</v>
      </c>
      <c r="K2469" s="56">
        <v>2.09</v>
      </c>
      <c r="L2469" s="15">
        <f t="shared" si="189"/>
        <v>0</v>
      </c>
      <c r="M2469" s="16">
        <f t="shared" si="190"/>
        <v>176.27875100000003</v>
      </c>
      <c r="N2469" s="17">
        <f t="shared" si="197"/>
        <v>2.09</v>
      </c>
      <c r="O2469" s="17">
        <f t="shared" si="191"/>
        <v>2299</v>
      </c>
      <c r="P2469" s="18">
        <f t="shared" si="192"/>
        <v>193906.62610000002</v>
      </c>
    </row>
    <row r="2470" spans="2:18" ht="12.75">
      <c r="B2470" s="10">
        <v>46191</v>
      </c>
      <c r="C2470" s="11">
        <f>VLOOKUP(B:B,'Курс валют'!A:D,4,0)</f>
        <v>84.343900000000005</v>
      </c>
      <c r="D2470" s="58" t="s">
        <v>345</v>
      </c>
      <c r="E2470" s="50" t="s">
        <v>15</v>
      </c>
      <c r="F2470" s="58">
        <v>1100</v>
      </c>
      <c r="G2470" s="13">
        <v>1107.5</v>
      </c>
      <c r="H2470" s="56">
        <v>0</v>
      </c>
      <c r="I2470" s="13">
        <f t="shared" si="196"/>
        <v>7.5</v>
      </c>
      <c r="J2470" s="14">
        <f t="shared" si="188"/>
        <v>0.68181818181818177</v>
      </c>
      <c r="K2470" s="56">
        <v>2.09</v>
      </c>
      <c r="L2470" s="15">
        <f t="shared" si="189"/>
        <v>0</v>
      </c>
      <c r="M2470" s="16">
        <f t="shared" si="190"/>
        <v>176.27875100000003</v>
      </c>
      <c r="N2470" s="17">
        <f t="shared" si="197"/>
        <v>2.09</v>
      </c>
      <c r="O2470" s="17">
        <f t="shared" si="191"/>
        <v>2299</v>
      </c>
      <c r="P2470" s="18">
        <f t="shared" si="192"/>
        <v>193906.62610000002</v>
      </c>
    </row>
    <row r="2471" spans="2:18" ht="12.75">
      <c r="B2471" s="10">
        <v>46191</v>
      </c>
      <c r="C2471" s="11">
        <f>VLOOKUP(B:B,'Курс валют'!A:D,4,0)</f>
        <v>84.343900000000005</v>
      </c>
      <c r="D2471" s="58" t="s">
        <v>346</v>
      </c>
      <c r="E2471" s="50" t="s">
        <v>15</v>
      </c>
      <c r="F2471" s="58">
        <v>1100</v>
      </c>
      <c r="G2471" s="13">
        <v>1107.5</v>
      </c>
      <c r="H2471" s="56">
        <v>0</v>
      </c>
      <c r="I2471" s="13">
        <f t="shared" si="196"/>
        <v>7.5</v>
      </c>
      <c r="J2471" s="14">
        <f t="shared" si="188"/>
        <v>0.68181818181818177</v>
      </c>
      <c r="K2471" s="56">
        <v>2.1</v>
      </c>
      <c r="L2471" s="15">
        <f t="shared" si="189"/>
        <v>0</v>
      </c>
      <c r="M2471" s="16">
        <f t="shared" si="190"/>
        <v>177.12219000000002</v>
      </c>
      <c r="N2471" s="17">
        <f t="shared" si="197"/>
        <v>2.1</v>
      </c>
      <c r="O2471" s="17">
        <f t="shared" si="191"/>
        <v>2310</v>
      </c>
      <c r="P2471" s="18">
        <f t="shared" si="192"/>
        <v>194834.40900000001</v>
      </c>
    </row>
    <row r="2472" spans="2:18" ht="12.75">
      <c r="B2472" s="10">
        <v>46191</v>
      </c>
      <c r="C2472" s="11">
        <f>VLOOKUP(B:B,'Курс валют'!A:D,4,0)</f>
        <v>84.343900000000005</v>
      </c>
      <c r="D2472" s="58" t="s">
        <v>347</v>
      </c>
      <c r="E2472" s="50" t="s">
        <v>15</v>
      </c>
      <c r="F2472" s="58">
        <v>1100</v>
      </c>
      <c r="G2472" s="13">
        <v>1107.5</v>
      </c>
      <c r="H2472" s="56">
        <v>0</v>
      </c>
      <c r="I2472" s="13">
        <f t="shared" si="196"/>
        <v>7.5</v>
      </c>
      <c r="J2472" s="14">
        <f t="shared" si="188"/>
        <v>0.68181818181818177</v>
      </c>
      <c r="K2472" s="56">
        <v>2.09</v>
      </c>
      <c r="L2472" s="15">
        <f t="shared" si="189"/>
        <v>0</v>
      </c>
      <c r="M2472" s="16">
        <f t="shared" si="190"/>
        <v>176.27875100000003</v>
      </c>
      <c r="N2472" s="17">
        <f t="shared" si="197"/>
        <v>2.09</v>
      </c>
      <c r="O2472" s="17">
        <f t="shared" si="191"/>
        <v>2299</v>
      </c>
      <c r="P2472" s="18">
        <f t="shared" si="192"/>
        <v>193906.62610000002</v>
      </c>
    </row>
    <row r="2473" spans="2:18" ht="12.75">
      <c r="B2473" s="10">
        <v>46191</v>
      </c>
      <c r="C2473" s="11">
        <f>VLOOKUP(B:B,'Курс валют'!A:D,4,0)</f>
        <v>84.343900000000005</v>
      </c>
      <c r="D2473" s="58" t="s">
        <v>348</v>
      </c>
      <c r="E2473" s="50" t="s">
        <v>15</v>
      </c>
      <c r="F2473" s="58">
        <v>1100</v>
      </c>
      <c r="G2473" s="13">
        <v>1107.5</v>
      </c>
      <c r="H2473" s="56">
        <v>0</v>
      </c>
      <c r="I2473" s="13">
        <f t="shared" si="196"/>
        <v>7.5</v>
      </c>
      <c r="J2473" s="14">
        <f t="shared" si="188"/>
        <v>0.68181818181818177</v>
      </c>
      <c r="K2473" s="56">
        <v>2.1</v>
      </c>
      <c r="L2473" s="15">
        <f t="shared" si="189"/>
        <v>0</v>
      </c>
      <c r="M2473" s="16">
        <f t="shared" si="190"/>
        <v>177.12219000000002</v>
      </c>
      <c r="N2473" s="17">
        <f t="shared" si="197"/>
        <v>2.1</v>
      </c>
      <c r="O2473" s="17">
        <f t="shared" si="191"/>
        <v>2310</v>
      </c>
      <c r="P2473" s="18">
        <f t="shared" si="192"/>
        <v>194834.40900000001</v>
      </c>
    </row>
    <row r="2474" spans="2:18" ht="12.75">
      <c r="B2474" s="10">
        <v>46191</v>
      </c>
      <c r="C2474" s="11">
        <f>VLOOKUP(B:B,'Курс валют'!A:D,4,0)</f>
        <v>84.343900000000005</v>
      </c>
      <c r="D2474" s="58" t="s">
        <v>349</v>
      </c>
      <c r="E2474" s="50" t="s">
        <v>15</v>
      </c>
      <c r="F2474" s="58">
        <v>1100</v>
      </c>
      <c r="G2474" s="13">
        <v>1107.5</v>
      </c>
      <c r="H2474" s="56">
        <v>0</v>
      </c>
      <c r="I2474" s="13">
        <f t="shared" si="196"/>
        <v>7.5</v>
      </c>
      <c r="J2474" s="14">
        <f t="shared" si="188"/>
        <v>0.68181818181818177</v>
      </c>
      <c r="K2474" s="56">
        <v>2.09</v>
      </c>
      <c r="L2474" s="15">
        <f t="shared" si="189"/>
        <v>0</v>
      </c>
      <c r="M2474" s="16">
        <f t="shared" si="190"/>
        <v>176.27875100000003</v>
      </c>
      <c r="N2474" s="17">
        <f t="shared" si="197"/>
        <v>2.09</v>
      </c>
      <c r="O2474" s="17">
        <f t="shared" si="191"/>
        <v>2299</v>
      </c>
      <c r="P2474" s="18">
        <f t="shared" si="192"/>
        <v>193906.62610000002</v>
      </c>
    </row>
    <row r="2475" spans="2:18" ht="12.75">
      <c r="B2475" s="10">
        <v>46191</v>
      </c>
      <c r="C2475" s="11">
        <f>VLOOKUP(B:B,'Курс валют'!A:D,4,0)</f>
        <v>84.343900000000005</v>
      </c>
      <c r="D2475" s="58" t="s">
        <v>350</v>
      </c>
      <c r="E2475" s="50" t="s">
        <v>15</v>
      </c>
      <c r="F2475" s="58">
        <v>1100</v>
      </c>
      <c r="G2475" s="13">
        <v>1107.5</v>
      </c>
      <c r="H2475" s="56">
        <v>0</v>
      </c>
      <c r="I2475" s="13">
        <f t="shared" si="196"/>
        <v>7.5</v>
      </c>
      <c r="J2475" s="14">
        <f t="shared" si="188"/>
        <v>0.68181818181818177</v>
      </c>
      <c r="K2475" s="56">
        <v>2.1</v>
      </c>
      <c r="L2475" s="15">
        <f t="shared" si="189"/>
        <v>0</v>
      </c>
      <c r="M2475" s="16">
        <f t="shared" si="190"/>
        <v>177.12219000000002</v>
      </c>
      <c r="N2475" s="17">
        <f t="shared" si="197"/>
        <v>2.1</v>
      </c>
      <c r="O2475" s="17">
        <f t="shared" si="191"/>
        <v>2310</v>
      </c>
      <c r="P2475" s="18">
        <f t="shared" si="192"/>
        <v>194834.40900000001</v>
      </c>
    </row>
    <row r="2476" spans="2:18" ht="12.75">
      <c r="B2476" s="10">
        <v>46191</v>
      </c>
      <c r="C2476" s="11">
        <f>VLOOKUP(B:B,'Курс валют'!A:D,4,0)</f>
        <v>84.343900000000005</v>
      </c>
      <c r="D2476" s="58" t="s">
        <v>351</v>
      </c>
      <c r="E2476" s="50" t="s">
        <v>15</v>
      </c>
      <c r="F2476" s="58">
        <v>1100</v>
      </c>
      <c r="G2476" s="13">
        <v>1107.5</v>
      </c>
      <c r="H2476" s="56">
        <v>0</v>
      </c>
      <c r="I2476" s="13">
        <f t="shared" si="196"/>
        <v>7.5</v>
      </c>
      <c r="J2476" s="14">
        <f t="shared" si="188"/>
        <v>0.68181818181818177</v>
      </c>
      <c r="K2476" s="56">
        <v>2.09</v>
      </c>
      <c r="L2476" s="15">
        <f t="shared" si="189"/>
        <v>0</v>
      </c>
      <c r="M2476" s="16">
        <f t="shared" si="190"/>
        <v>176.27875100000003</v>
      </c>
      <c r="N2476" s="17">
        <f t="shared" si="197"/>
        <v>2.09</v>
      </c>
      <c r="O2476" s="17">
        <f t="shared" si="191"/>
        <v>2299</v>
      </c>
      <c r="P2476" s="18">
        <f t="shared" si="192"/>
        <v>193906.62610000002</v>
      </c>
    </row>
    <row r="2477" spans="2:18" ht="12.75">
      <c r="B2477" s="10">
        <v>46191</v>
      </c>
      <c r="C2477" s="11">
        <f>VLOOKUP(B:B,'Курс валют'!A:D,4,0)</f>
        <v>84.343900000000005</v>
      </c>
      <c r="D2477" s="58" t="s">
        <v>352</v>
      </c>
      <c r="E2477" s="50" t="s">
        <v>15</v>
      </c>
      <c r="F2477" s="58">
        <v>1100</v>
      </c>
      <c r="G2477" s="13">
        <v>1107.5</v>
      </c>
      <c r="H2477" s="56">
        <v>0</v>
      </c>
      <c r="I2477" s="13">
        <f t="shared" si="196"/>
        <v>7.5</v>
      </c>
      <c r="J2477" s="14">
        <f t="shared" si="188"/>
        <v>0.68181818181818177</v>
      </c>
      <c r="K2477" s="56">
        <v>2.09</v>
      </c>
      <c r="L2477" s="15">
        <f t="shared" si="189"/>
        <v>0</v>
      </c>
      <c r="M2477" s="16">
        <f t="shared" si="190"/>
        <v>176.27875100000003</v>
      </c>
      <c r="N2477" s="17">
        <f t="shared" si="197"/>
        <v>2.09</v>
      </c>
      <c r="O2477" s="17">
        <f t="shared" si="191"/>
        <v>2299</v>
      </c>
      <c r="P2477" s="18">
        <f t="shared" si="192"/>
        <v>193906.62610000002</v>
      </c>
    </row>
    <row r="2478" spans="2:18" ht="12.75">
      <c r="B2478" s="10">
        <v>46192</v>
      </c>
      <c r="C2478" s="11">
        <f>VLOOKUP(B:B,'Курс валют'!A:D,4,0)</f>
        <v>85.030500000000004</v>
      </c>
      <c r="D2478" s="58" t="s">
        <v>353</v>
      </c>
      <c r="E2478" s="50" t="s">
        <v>15</v>
      </c>
      <c r="F2478" s="58">
        <v>1100</v>
      </c>
      <c r="G2478" s="13">
        <v>1107.5</v>
      </c>
      <c r="H2478" s="56">
        <v>0</v>
      </c>
      <c r="I2478" s="13">
        <f t="shared" si="196"/>
        <v>7.5</v>
      </c>
      <c r="J2478" s="14">
        <f t="shared" si="188"/>
        <v>0.68181818181818177</v>
      </c>
      <c r="K2478" s="56">
        <v>2.09</v>
      </c>
      <c r="L2478" s="15">
        <f t="shared" si="189"/>
        <v>0</v>
      </c>
      <c r="M2478" s="16">
        <f t="shared" si="190"/>
        <v>177.71374499999999</v>
      </c>
      <c r="N2478" s="17">
        <f t="shared" si="197"/>
        <v>2.09</v>
      </c>
      <c r="O2478" s="17">
        <f t="shared" si="191"/>
        <v>2299</v>
      </c>
      <c r="P2478" s="18">
        <f t="shared" si="192"/>
        <v>195485.1195</v>
      </c>
    </row>
    <row r="2479" spans="2:18" ht="12.75">
      <c r="B2479" s="10">
        <v>46192</v>
      </c>
      <c r="C2479" s="11">
        <f>VLOOKUP(B:B,'Курс валют'!A:D,4,0)</f>
        <v>85.030500000000004</v>
      </c>
      <c r="D2479" s="58" t="s">
        <v>354</v>
      </c>
      <c r="E2479" s="50" t="s">
        <v>15</v>
      </c>
      <c r="F2479" s="58">
        <v>1100</v>
      </c>
      <c r="G2479" s="13">
        <v>1107.5</v>
      </c>
      <c r="H2479" s="56">
        <v>0</v>
      </c>
      <c r="I2479" s="13">
        <f t="shared" si="196"/>
        <v>7.5</v>
      </c>
      <c r="J2479" s="14">
        <f t="shared" si="188"/>
        <v>0.68181818181818177</v>
      </c>
      <c r="K2479" s="56">
        <v>2.09</v>
      </c>
      <c r="L2479" s="15">
        <f t="shared" si="189"/>
        <v>0</v>
      </c>
      <c r="M2479" s="16">
        <f t="shared" si="190"/>
        <v>177.71374499999999</v>
      </c>
      <c r="N2479" s="17">
        <f t="shared" si="197"/>
        <v>2.09</v>
      </c>
      <c r="O2479" s="17">
        <f t="shared" si="191"/>
        <v>2299</v>
      </c>
      <c r="P2479" s="18">
        <f t="shared" si="192"/>
        <v>195485.1195</v>
      </c>
    </row>
    <row r="2480" spans="2:18" ht="12.75">
      <c r="B2480" s="10">
        <v>46192</v>
      </c>
      <c r="C2480" s="11">
        <f>VLOOKUP(B:B,'Курс валют'!A:D,4,0)</f>
        <v>85.030500000000004</v>
      </c>
      <c r="D2480" s="58" t="s">
        <v>355</v>
      </c>
      <c r="E2480" s="50" t="s">
        <v>15</v>
      </c>
      <c r="F2480" s="58">
        <v>1100</v>
      </c>
      <c r="G2480" s="13">
        <v>1107.5</v>
      </c>
      <c r="H2480" s="56">
        <v>0</v>
      </c>
      <c r="I2480" s="13">
        <f t="shared" si="196"/>
        <v>7.5</v>
      </c>
      <c r="J2480" s="14">
        <f t="shared" si="188"/>
        <v>0.68181818181818177</v>
      </c>
      <c r="K2480" s="56">
        <v>2.09</v>
      </c>
      <c r="L2480" s="15">
        <f t="shared" si="189"/>
        <v>0</v>
      </c>
      <c r="M2480" s="16">
        <f t="shared" si="190"/>
        <v>177.71374499999999</v>
      </c>
      <c r="N2480" s="17">
        <f t="shared" si="197"/>
        <v>2.09</v>
      </c>
      <c r="O2480" s="17">
        <f t="shared" si="191"/>
        <v>2299</v>
      </c>
      <c r="P2480" s="18">
        <f t="shared" si="192"/>
        <v>195485.1195</v>
      </c>
    </row>
    <row r="2481" spans="2:18" ht="12.75">
      <c r="B2481" s="10">
        <v>46192</v>
      </c>
      <c r="C2481" s="11">
        <f>VLOOKUP(B:B,'Курс валют'!A:D,4,0)</f>
        <v>85.030500000000004</v>
      </c>
      <c r="D2481" s="58" t="s">
        <v>356</v>
      </c>
      <c r="E2481" s="50" t="s">
        <v>15</v>
      </c>
      <c r="F2481" s="58">
        <v>1100</v>
      </c>
      <c r="G2481" s="13">
        <v>1107.5</v>
      </c>
      <c r="H2481" s="56">
        <v>0</v>
      </c>
      <c r="I2481" s="13">
        <f t="shared" si="196"/>
        <v>7.5</v>
      </c>
      <c r="J2481" s="14">
        <f t="shared" si="188"/>
        <v>0.68181818181818177</v>
      </c>
      <c r="K2481" s="56">
        <v>2.09</v>
      </c>
      <c r="L2481" s="15">
        <f t="shared" si="189"/>
        <v>0</v>
      </c>
      <c r="M2481" s="16">
        <f t="shared" si="190"/>
        <v>177.71374499999999</v>
      </c>
      <c r="N2481" s="17">
        <f t="shared" si="197"/>
        <v>2.09</v>
      </c>
      <c r="O2481" s="17">
        <f t="shared" si="191"/>
        <v>2299</v>
      </c>
      <c r="P2481" s="18">
        <f t="shared" si="192"/>
        <v>195485.1195</v>
      </c>
    </row>
    <row r="2482" spans="2:18" ht="12.75">
      <c r="B2482" s="10">
        <v>46192</v>
      </c>
      <c r="C2482" s="11">
        <f>VLOOKUP(B:B,'Курс валют'!A:D,4,0)</f>
        <v>85.030500000000004</v>
      </c>
      <c r="D2482" s="58" t="s">
        <v>357</v>
      </c>
      <c r="E2482" s="50" t="s">
        <v>207</v>
      </c>
      <c r="F2482" s="58">
        <v>400</v>
      </c>
      <c r="G2482" s="13">
        <v>400</v>
      </c>
      <c r="H2482" s="56">
        <v>0</v>
      </c>
      <c r="I2482" s="13">
        <f t="shared" si="196"/>
        <v>0</v>
      </c>
      <c r="J2482" s="14">
        <f t="shared" si="188"/>
        <v>0</v>
      </c>
      <c r="K2482" s="56">
        <v>2.87</v>
      </c>
      <c r="L2482" s="15">
        <f t="shared" si="189"/>
        <v>0</v>
      </c>
      <c r="M2482" s="16">
        <f t="shared" si="190"/>
        <v>244.03753500000002</v>
      </c>
      <c r="N2482" s="17">
        <f t="shared" si="197"/>
        <v>2.87</v>
      </c>
      <c r="O2482" s="17">
        <f t="shared" si="191"/>
        <v>1148</v>
      </c>
      <c r="P2482" s="18">
        <f t="shared" si="192"/>
        <v>97615.01400000001</v>
      </c>
      <c r="R2482" s="33" t="s">
        <v>358</v>
      </c>
    </row>
    <row r="2483" spans="2:18" ht="12.75">
      <c r="B2483" s="10">
        <v>46192</v>
      </c>
      <c r="C2483" s="11">
        <f>VLOOKUP(B:B,'Курс валют'!A:D,4,0)</f>
        <v>85.030500000000004</v>
      </c>
      <c r="D2483" s="58" t="s">
        <v>359</v>
      </c>
      <c r="E2483" s="50" t="s">
        <v>125</v>
      </c>
      <c r="F2483" s="58">
        <v>2200</v>
      </c>
      <c r="G2483" s="13">
        <v>2218.52</v>
      </c>
      <c r="H2483" s="56">
        <v>0</v>
      </c>
      <c r="I2483" s="13">
        <f t="shared" si="196"/>
        <v>18.519999999999982</v>
      </c>
      <c r="J2483" s="14">
        <f t="shared" si="188"/>
        <v>0.84181818181818113</v>
      </c>
      <c r="K2483" s="56">
        <v>1.82</v>
      </c>
      <c r="L2483" s="15">
        <f t="shared" si="189"/>
        <v>0</v>
      </c>
      <c r="M2483" s="16">
        <f t="shared" si="190"/>
        <v>154.75551000000002</v>
      </c>
      <c r="N2483" s="17">
        <f t="shared" si="197"/>
        <v>1.82</v>
      </c>
      <c r="O2483" s="17">
        <f t="shared" si="191"/>
        <v>4004</v>
      </c>
      <c r="P2483" s="18">
        <f t="shared" si="192"/>
        <v>340462.12200000003</v>
      </c>
    </row>
    <row r="2484" spans="2:18" ht="12.75">
      <c r="B2484" s="10">
        <v>46192</v>
      </c>
      <c r="C2484" s="11">
        <f>VLOOKUP(B:B,'Курс валют'!A:D,4,0)</f>
        <v>85.030500000000004</v>
      </c>
      <c r="D2484" s="57" t="s">
        <v>360</v>
      </c>
      <c r="E2484" s="50" t="s">
        <v>15</v>
      </c>
      <c r="F2484" s="58">
        <v>1100</v>
      </c>
      <c r="G2484" s="13">
        <v>1107.5</v>
      </c>
      <c r="H2484" s="56">
        <v>0</v>
      </c>
      <c r="I2484" s="13">
        <f t="shared" si="196"/>
        <v>7.5</v>
      </c>
      <c r="J2484" s="14">
        <f t="shared" si="188"/>
        <v>0.68181818181818177</v>
      </c>
      <c r="K2484" s="56">
        <v>2.09</v>
      </c>
      <c r="L2484" s="15">
        <f t="shared" si="189"/>
        <v>0</v>
      </c>
      <c r="M2484" s="16">
        <f t="shared" si="190"/>
        <v>177.71374499999999</v>
      </c>
      <c r="N2484" s="17">
        <f t="shared" si="197"/>
        <v>2.09</v>
      </c>
      <c r="O2484" s="17">
        <f t="shared" si="191"/>
        <v>2299</v>
      </c>
      <c r="P2484" s="18">
        <f t="shared" si="192"/>
        <v>195485.1195</v>
      </c>
    </row>
    <row r="2485" spans="2:18" ht="12.75">
      <c r="B2485" s="10">
        <v>46192</v>
      </c>
      <c r="C2485" s="11">
        <f>VLOOKUP(B:B,'Курс валют'!A:D,4,0)</f>
        <v>85.030500000000004</v>
      </c>
      <c r="D2485" s="57" t="s">
        <v>361</v>
      </c>
      <c r="E2485" s="50" t="s">
        <v>15</v>
      </c>
      <c r="F2485" s="58">
        <v>1100</v>
      </c>
      <c r="G2485" s="13">
        <v>1107.5</v>
      </c>
      <c r="H2485" s="56">
        <v>0</v>
      </c>
      <c r="I2485" s="13">
        <f t="shared" si="196"/>
        <v>7.5</v>
      </c>
      <c r="J2485" s="14">
        <f t="shared" si="188"/>
        <v>0.68181818181818177</v>
      </c>
      <c r="K2485" s="56">
        <v>2.09</v>
      </c>
      <c r="L2485" s="15">
        <f t="shared" si="189"/>
        <v>0</v>
      </c>
      <c r="M2485" s="16">
        <f t="shared" si="190"/>
        <v>177.71374499999999</v>
      </c>
      <c r="N2485" s="17">
        <f t="shared" si="197"/>
        <v>2.09</v>
      </c>
      <c r="O2485" s="17">
        <f t="shared" si="191"/>
        <v>2299</v>
      </c>
      <c r="P2485" s="18">
        <f t="shared" si="192"/>
        <v>195485.1195</v>
      </c>
    </row>
    <row r="2486" spans="2:18" ht="12.75">
      <c r="B2486" s="10">
        <v>46192</v>
      </c>
      <c r="C2486" s="11">
        <f>VLOOKUP(B:B,'Курс валют'!A:D,4,0)</f>
        <v>85.030500000000004</v>
      </c>
      <c r="D2486" s="57" t="s">
        <v>362</v>
      </c>
      <c r="E2486" s="50" t="s">
        <v>15</v>
      </c>
      <c r="F2486" s="58">
        <v>1100</v>
      </c>
      <c r="G2486" s="13">
        <v>1107.5</v>
      </c>
      <c r="H2486" s="56">
        <v>0</v>
      </c>
      <c r="I2486" s="13">
        <f t="shared" si="196"/>
        <v>7.5</v>
      </c>
      <c r="J2486" s="14">
        <f t="shared" si="188"/>
        <v>0.68181818181818177</v>
      </c>
      <c r="K2486" s="56">
        <v>2.09</v>
      </c>
      <c r="L2486" s="15">
        <f t="shared" si="189"/>
        <v>0</v>
      </c>
      <c r="M2486" s="16">
        <f t="shared" si="190"/>
        <v>177.71374499999999</v>
      </c>
      <c r="N2486" s="17">
        <f t="shared" si="197"/>
        <v>2.09</v>
      </c>
      <c r="O2486" s="17">
        <f t="shared" si="191"/>
        <v>2299</v>
      </c>
      <c r="P2486" s="18">
        <f t="shared" si="192"/>
        <v>195485.1195</v>
      </c>
    </row>
    <row r="2487" spans="2:18" ht="12.75">
      <c r="B2487" s="10">
        <v>46192</v>
      </c>
      <c r="C2487" s="11">
        <f>VLOOKUP(B:B,'Курс валют'!A:D,4,0)</f>
        <v>85.030500000000004</v>
      </c>
      <c r="D2487" s="57" t="s">
        <v>363</v>
      </c>
      <c r="E2487" s="50" t="s">
        <v>15</v>
      </c>
      <c r="F2487" s="58">
        <v>1100</v>
      </c>
      <c r="G2487" s="13">
        <v>1107.5</v>
      </c>
      <c r="H2487" s="56">
        <v>0</v>
      </c>
      <c r="I2487" s="13">
        <f t="shared" si="196"/>
        <v>7.5</v>
      </c>
      <c r="J2487" s="14">
        <f t="shared" si="188"/>
        <v>0.68181818181818177</v>
      </c>
      <c r="K2487" s="56">
        <v>2.09</v>
      </c>
      <c r="L2487" s="15">
        <f t="shared" si="189"/>
        <v>0</v>
      </c>
      <c r="M2487" s="16">
        <f t="shared" si="190"/>
        <v>177.71374499999999</v>
      </c>
      <c r="N2487" s="17">
        <f t="shared" si="197"/>
        <v>2.09</v>
      </c>
      <c r="O2487" s="17">
        <f t="shared" si="191"/>
        <v>2299</v>
      </c>
      <c r="P2487" s="18">
        <f t="shared" si="192"/>
        <v>195485.1195</v>
      </c>
    </row>
    <row r="2488" spans="2:18" ht="12.75">
      <c r="B2488" s="10">
        <v>46192</v>
      </c>
      <c r="C2488" s="11">
        <f>VLOOKUP(B:B,'Курс валют'!A:D,4,0)</f>
        <v>85.030500000000004</v>
      </c>
      <c r="D2488" s="57" t="s">
        <v>364</v>
      </c>
      <c r="E2488" s="50" t="s">
        <v>15</v>
      </c>
      <c r="F2488" s="58">
        <v>1100</v>
      </c>
      <c r="G2488" s="13">
        <v>1107.5</v>
      </c>
      <c r="H2488" s="56">
        <v>0</v>
      </c>
      <c r="I2488" s="13">
        <f t="shared" si="196"/>
        <v>7.5</v>
      </c>
      <c r="J2488" s="14">
        <f t="shared" si="188"/>
        <v>0.68181818181818177</v>
      </c>
      <c r="K2488" s="56">
        <v>2.09</v>
      </c>
      <c r="L2488" s="15">
        <f t="shared" si="189"/>
        <v>0</v>
      </c>
      <c r="M2488" s="16">
        <f t="shared" si="190"/>
        <v>177.71374499999999</v>
      </c>
      <c r="N2488" s="17">
        <f t="shared" si="197"/>
        <v>2.09</v>
      </c>
      <c r="O2488" s="17">
        <f t="shared" si="191"/>
        <v>2299</v>
      </c>
      <c r="P2488" s="18">
        <f t="shared" si="192"/>
        <v>195485.1195</v>
      </c>
    </row>
    <row r="2489" spans="2:18" ht="12.75">
      <c r="B2489" s="10">
        <v>46192</v>
      </c>
      <c r="C2489" s="11">
        <f>VLOOKUP(B:B,'Курс валют'!A:D,4,0)</f>
        <v>85.030500000000004</v>
      </c>
      <c r="D2489" s="57" t="s">
        <v>365</v>
      </c>
      <c r="E2489" s="50" t="s">
        <v>15</v>
      </c>
      <c r="F2489" s="58">
        <v>1100</v>
      </c>
      <c r="G2489" s="13">
        <v>1107.5</v>
      </c>
      <c r="H2489" s="56">
        <v>0</v>
      </c>
      <c r="I2489" s="13">
        <f t="shared" si="196"/>
        <v>7.5</v>
      </c>
      <c r="J2489" s="14">
        <f t="shared" si="188"/>
        <v>0.68181818181818177</v>
      </c>
      <c r="K2489" s="56">
        <v>2.09</v>
      </c>
      <c r="L2489" s="15">
        <f t="shared" si="189"/>
        <v>0</v>
      </c>
      <c r="M2489" s="16">
        <f t="shared" si="190"/>
        <v>177.71374499999999</v>
      </c>
      <c r="N2489" s="17">
        <f t="shared" si="197"/>
        <v>2.09</v>
      </c>
      <c r="O2489" s="17">
        <f t="shared" si="191"/>
        <v>2299</v>
      </c>
      <c r="P2489" s="18">
        <f t="shared" si="192"/>
        <v>195485.1195</v>
      </c>
    </row>
    <row r="2490" spans="2:18" ht="12.75">
      <c r="B2490" s="10">
        <v>46193</v>
      </c>
      <c r="C2490" s="11">
        <f>VLOOKUP(B:B,'Курс валют'!A:D,4,0)</f>
        <v>84.168400000000005</v>
      </c>
      <c r="D2490" s="57" t="s">
        <v>366</v>
      </c>
      <c r="E2490" s="50" t="s">
        <v>60</v>
      </c>
      <c r="F2490" s="58">
        <v>2250</v>
      </c>
      <c r="G2490" s="13">
        <v>2288.6999999999998</v>
      </c>
      <c r="H2490" s="56">
        <v>0</v>
      </c>
      <c r="I2490" s="13">
        <f t="shared" si="196"/>
        <v>38.699999999999818</v>
      </c>
      <c r="J2490" s="14">
        <f t="shared" si="188"/>
        <v>1.719999999999992</v>
      </c>
      <c r="K2490" s="56">
        <v>2.12</v>
      </c>
      <c r="L2490" s="15">
        <f t="shared" si="189"/>
        <v>0</v>
      </c>
      <c r="M2490" s="16">
        <f t="shared" si="190"/>
        <v>178.43700800000002</v>
      </c>
      <c r="N2490" s="17">
        <f t="shared" si="197"/>
        <v>2.12</v>
      </c>
      <c r="O2490" s="17">
        <f t="shared" si="191"/>
        <v>4770</v>
      </c>
      <c r="P2490" s="18">
        <f t="shared" si="192"/>
        <v>401483.26800000004</v>
      </c>
    </row>
    <row r="2491" spans="2:18" ht="12.75">
      <c r="B2491" s="10">
        <v>46193</v>
      </c>
      <c r="C2491" s="11">
        <f>VLOOKUP(B:B,'Курс валют'!A:D,4,0)</f>
        <v>84.168400000000005</v>
      </c>
      <c r="D2491" s="57" t="s">
        <v>367</v>
      </c>
      <c r="E2491" s="50" t="s">
        <v>204</v>
      </c>
      <c r="F2491" s="58">
        <v>660</v>
      </c>
      <c r="G2491" s="13">
        <v>660</v>
      </c>
      <c r="H2491" s="56">
        <v>0</v>
      </c>
      <c r="I2491" s="13">
        <f t="shared" si="196"/>
        <v>0</v>
      </c>
      <c r="J2491" s="14">
        <f t="shared" si="188"/>
        <v>0</v>
      </c>
      <c r="K2491" s="56">
        <v>2.61</v>
      </c>
      <c r="L2491" s="15">
        <f t="shared" si="189"/>
        <v>0</v>
      </c>
      <c r="M2491" s="16">
        <f t="shared" si="190"/>
        <v>219.67952400000001</v>
      </c>
      <c r="N2491" s="17">
        <f t="shared" si="197"/>
        <v>2.61</v>
      </c>
      <c r="O2491" s="17">
        <f t="shared" si="191"/>
        <v>1722.6</v>
      </c>
      <c r="P2491" s="18">
        <f t="shared" si="192"/>
        <v>144988.48584000001</v>
      </c>
      <c r="R2491" s="33" t="s">
        <v>368</v>
      </c>
    </row>
    <row r="2492" spans="2:18" ht="12.75">
      <c r="B2492" s="10">
        <v>46193</v>
      </c>
      <c r="C2492" s="11">
        <f>VLOOKUP(B:B,'Курс валют'!A:D,4,0)</f>
        <v>84.168400000000005</v>
      </c>
      <c r="D2492" s="57" t="s">
        <v>369</v>
      </c>
      <c r="E2492" s="50" t="s">
        <v>15</v>
      </c>
      <c r="F2492" s="58">
        <v>1100</v>
      </c>
      <c r="G2492" s="13">
        <v>1107.5</v>
      </c>
      <c r="H2492" s="56">
        <v>0</v>
      </c>
      <c r="I2492" s="13">
        <f t="shared" si="196"/>
        <v>7.5</v>
      </c>
      <c r="J2492" s="14">
        <f t="shared" si="188"/>
        <v>0.68181818181818177</v>
      </c>
      <c r="K2492" s="56">
        <v>2.1</v>
      </c>
      <c r="L2492" s="15">
        <f t="shared" si="189"/>
        <v>0</v>
      </c>
      <c r="M2492" s="16">
        <f t="shared" si="190"/>
        <v>176.75364000000002</v>
      </c>
      <c r="N2492" s="17">
        <f t="shared" si="197"/>
        <v>2.1</v>
      </c>
      <c r="O2492" s="17">
        <f t="shared" si="191"/>
        <v>2310</v>
      </c>
      <c r="P2492" s="18">
        <f t="shared" si="192"/>
        <v>194429.00400000002</v>
      </c>
    </row>
    <row r="2493" spans="2:18" ht="12.75">
      <c r="B2493" s="10">
        <v>46193</v>
      </c>
      <c r="C2493" s="11">
        <f>VLOOKUP(B:B,'Курс валют'!A:D,4,0)</f>
        <v>84.168400000000005</v>
      </c>
      <c r="D2493" s="57" t="s">
        <v>370</v>
      </c>
      <c r="E2493" s="50" t="s">
        <v>15</v>
      </c>
      <c r="F2493" s="58">
        <v>1100</v>
      </c>
      <c r="G2493" s="13">
        <v>1107.5</v>
      </c>
      <c r="H2493" s="56">
        <v>0</v>
      </c>
      <c r="I2493" s="13">
        <f t="shared" si="196"/>
        <v>7.5</v>
      </c>
      <c r="J2493" s="14">
        <f t="shared" si="188"/>
        <v>0.68181818181818177</v>
      </c>
      <c r="K2493" s="56">
        <v>2.09</v>
      </c>
      <c r="L2493" s="15">
        <f t="shared" si="189"/>
        <v>0</v>
      </c>
      <c r="M2493" s="16">
        <f t="shared" si="190"/>
        <v>175.911956</v>
      </c>
      <c r="N2493" s="17">
        <f t="shared" si="197"/>
        <v>2.09</v>
      </c>
      <c r="O2493" s="17">
        <f t="shared" si="191"/>
        <v>2299</v>
      </c>
      <c r="P2493" s="18">
        <f t="shared" si="192"/>
        <v>193503.15160000001</v>
      </c>
    </row>
    <row r="2494" spans="2:18" ht="12.75">
      <c r="B2494" s="10">
        <v>46193</v>
      </c>
      <c r="C2494" s="11">
        <f>VLOOKUP(B:B,'Курс валют'!A:D,4,0)</f>
        <v>84.168400000000005</v>
      </c>
      <c r="D2494" s="57" t="s">
        <v>371</v>
      </c>
      <c r="E2494" s="50" t="s">
        <v>15</v>
      </c>
      <c r="F2494" s="58">
        <v>1100</v>
      </c>
      <c r="G2494" s="13">
        <v>1107.5</v>
      </c>
      <c r="H2494" s="56">
        <v>0</v>
      </c>
      <c r="I2494" s="13">
        <f t="shared" si="196"/>
        <v>7.5</v>
      </c>
      <c r="J2494" s="14">
        <f t="shared" si="188"/>
        <v>0.68181818181818177</v>
      </c>
      <c r="K2494" s="56">
        <v>2.09</v>
      </c>
      <c r="L2494" s="15">
        <f t="shared" si="189"/>
        <v>0</v>
      </c>
      <c r="M2494" s="16">
        <f t="shared" si="190"/>
        <v>175.911956</v>
      </c>
      <c r="N2494" s="17">
        <f t="shared" si="197"/>
        <v>2.09</v>
      </c>
      <c r="O2494" s="17">
        <f t="shared" si="191"/>
        <v>2299</v>
      </c>
      <c r="P2494" s="18">
        <f t="shared" si="192"/>
        <v>193503.15160000001</v>
      </c>
    </row>
    <row r="2495" spans="2:18" ht="12.75">
      <c r="B2495" s="10">
        <v>46193</v>
      </c>
      <c r="C2495" s="11">
        <f>VLOOKUP(B:B,'Курс валют'!A:D,4,0)</f>
        <v>84.168400000000005</v>
      </c>
      <c r="D2495" s="57" t="s">
        <v>372</v>
      </c>
      <c r="E2495" s="50" t="s">
        <v>15</v>
      </c>
      <c r="F2495" s="58">
        <v>1100</v>
      </c>
      <c r="G2495" s="13">
        <v>1107.5</v>
      </c>
      <c r="H2495" s="56">
        <v>0</v>
      </c>
      <c r="I2495" s="13">
        <f t="shared" si="196"/>
        <v>7.5</v>
      </c>
      <c r="J2495" s="14">
        <f t="shared" si="188"/>
        <v>0.68181818181818177</v>
      </c>
      <c r="K2495" s="56">
        <v>2.09</v>
      </c>
      <c r="L2495" s="15">
        <f t="shared" si="189"/>
        <v>0</v>
      </c>
      <c r="M2495" s="16">
        <f t="shared" si="190"/>
        <v>175.911956</v>
      </c>
      <c r="N2495" s="17">
        <f t="shared" si="197"/>
        <v>2.09</v>
      </c>
      <c r="O2495" s="17">
        <f t="shared" si="191"/>
        <v>2299</v>
      </c>
      <c r="P2495" s="18">
        <f t="shared" si="192"/>
        <v>193503.15160000001</v>
      </c>
    </row>
    <row r="2496" spans="2:18" ht="12.75">
      <c r="B2496" s="10">
        <v>46193</v>
      </c>
      <c r="C2496" s="11">
        <f>VLOOKUP(B:B,'Курс валют'!A:D,4,0)</f>
        <v>84.168400000000005</v>
      </c>
      <c r="D2496" s="57" t="s">
        <v>373</v>
      </c>
      <c r="E2496" s="50" t="s">
        <v>15</v>
      </c>
      <c r="F2496" s="58">
        <v>1100</v>
      </c>
      <c r="G2496" s="13">
        <v>1107.5</v>
      </c>
      <c r="H2496" s="56">
        <v>0</v>
      </c>
      <c r="I2496" s="13">
        <f t="shared" si="196"/>
        <v>7.5</v>
      </c>
      <c r="J2496" s="14">
        <f t="shared" si="188"/>
        <v>0.68181818181818177</v>
      </c>
      <c r="K2496" s="56">
        <v>2.1</v>
      </c>
      <c r="L2496" s="15">
        <f t="shared" si="189"/>
        <v>0</v>
      </c>
      <c r="M2496" s="16">
        <f t="shared" si="190"/>
        <v>176.75364000000002</v>
      </c>
      <c r="N2496" s="17">
        <f t="shared" si="197"/>
        <v>2.1</v>
      </c>
      <c r="O2496" s="17">
        <f t="shared" si="191"/>
        <v>2310</v>
      </c>
      <c r="P2496" s="18">
        <f t="shared" si="192"/>
        <v>194429.00400000002</v>
      </c>
    </row>
    <row r="2497" spans="2:16" ht="12.75">
      <c r="B2497" s="10">
        <v>46193</v>
      </c>
      <c r="C2497" s="11">
        <f>VLOOKUP(B:B,'Курс валют'!A:D,4,0)</f>
        <v>84.168400000000005</v>
      </c>
      <c r="D2497" s="57" t="s">
        <v>374</v>
      </c>
      <c r="E2497" s="50" t="s">
        <v>15</v>
      </c>
      <c r="F2497" s="58">
        <v>1100</v>
      </c>
      <c r="G2497" s="13">
        <v>1107.5</v>
      </c>
      <c r="H2497" s="56">
        <v>0</v>
      </c>
      <c r="I2497" s="13">
        <f t="shared" si="196"/>
        <v>7.5</v>
      </c>
      <c r="J2497" s="14">
        <f t="shared" si="188"/>
        <v>0.68181818181818177</v>
      </c>
      <c r="K2497" s="56">
        <v>2.1</v>
      </c>
      <c r="L2497" s="15">
        <f t="shared" si="189"/>
        <v>0</v>
      </c>
      <c r="M2497" s="16">
        <f t="shared" si="190"/>
        <v>176.75364000000002</v>
      </c>
      <c r="N2497" s="17">
        <f t="shared" si="197"/>
        <v>2.1</v>
      </c>
      <c r="O2497" s="17">
        <f t="shared" si="191"/>
        <v>2310</v>
      </c>
      <c r="P2497" s="18">
        <f t="shared" si="192"/>
        <v>194429.00400000002</v>
      </c>
    </row>
    <row r="2498" spans="2:16" ht="12.75">
      <c r="B2498" s="10">
        <v>46193</v>
      </c>
      <c r="C2498" s="11">
        <f>VLOOKUP(B:B,'Курс валют'!A:D,4,0)</f>
        <v>84.168400000000005</v>
      </c>
      <c r="D2498" s="57" t="s">
        <v>375</v>
      </c>
      <c r="E2498" s="50" t="s">
        <v>15</v>
      </c>
      <c r="F2498" s="58">
        <v>1100</v>
      </c>
      <c r="G2498" s="13">
        <v>1107.5</v>
      </c>
      <c r="H2498" s="56">
        <v>0</v>
      </c>
      <c r="I2498" s="13">
        <f t="shared" si="196"/>
        <v>7.5</v>
      </c>
      <c r="J2498" s="14">
        <f t="shared" si="188"/>
        <v>0.68181818181818177</v>
      </c>
      <c r="K2498" s="56">
        <v>2.09</v>
      </c>
      <c r="L2498" s="15">
        <f t="shared" si="189"/>
        <v>0</v>
      </c>
      <c r="M2498" s="16">
        <f t="shared" si="190"/>
        <v>175.911956</v>
      </c>
      <c r="N2498" s="17">
        <f t="shared" si="197"/>
        <v>2.09</v>
      </c>
      <c r="O2498" s="17">
        <f t="shared" si="191"/>
        <v>2299</v>
      </c>
      <c r="P2498" s="18">
        <f t="shared" si="192"/>
        <v>193503.15160000001</v>
      </c>
    </row>
    <row r="2499" spans="2:16" ht="12.75">
      <c r="B2499" s="10">
        <v>46193</v>
      </c>
      <c r="C2499" s="11">
        <f>VLOOKUP(B:B,'Курс валют'!A:D,4,0)</f>
        <v>84.168400000000005</v>
      </c>
      <c r="D2499" s="57" t="s">
        <v>376</v>
      </c>
      <c r="E2499" s="50" t="s">
        <v>15</v>
      </c>
      <c r="F2499" s="58">
        <v>1100</v>
      </c>
      <c r="G2499" s="13">
        <v>1107.5</v>
      </c>
      <c r="H2499" s="56">
        <v>0</v>
      </c>
      <c r="I2499" s="13">
        <f t="shared" si="196"/>
        <v>7.5</v>
      </c>
      <c r="J2499" s="14">
        <f t="shared" si="188"/>
        <v>0.68181818181818177</v>
      </c>
      <c r="K2499" s="56">
        <v>2.09</v>
      </c>
      <c r="L2499" s="15">
        <f t="shared" si="189"/>
        <v>0</v>
      </c>
      <c r="M2499" s="16">
        <f t="shared" si="190"/>
        <v>175.911956</v>
      </c>
      <c r="N2499" s="17">
        <f t="shared" si="197"/>
        <v>2.09</v>
      </c>
      <c r="O2499" s="17">
        <f t="shared" si="191"/>
        <v>2299</v>
      </c>
      <c r="P2499" s="18">
        <f t="shared" si="192"/>
        <v>193503.15160000001</v>
      </c>
    </row>
    <row r="2500" spans="2:16" ht="12.75">
      <c r="B2500" s="10">
        <v>46193</v>
      </c>
      <c r="C2500" s="11">
        <f>VLOOKUP(B:B,'Курс валют'!A:D,4,0)</f>
        <v>84.168400000000005</v>
      </c>
      <c r="D2500" s="57" t="s">
        <v>377</v>
      </c>
      <c r="E2500" s="50" t="s">
        <v>15</v>
      </c>
      <c r="F2500" s="58">
        <v>1100</v>
      </c>
      <c r="G2500" s="13">
        <v>1107.5</v>
      </c>
      <c r="H2500" s="56">
        <v>0</v>
      </c>
      <c r="I2500" s="13">
        <f t="shared" si="196"/>
        <v>7.5</v>
      </c>
      <c r="J2500" s="14">
        <f t="shared" si="188"/>
        <v>0.68181818181818177</v>
      </c>
      <c r="K2500" s="56">
        <v>2.09</v>
      </c>
      <c r="L2500" s="15">
        <f t="shared" si="189"/>
        <v>0</v>
      </c>
      <c r="M2500" s="16">
        <f t="shared" si="190"/>
        <v>175.911956</v>
      </c>
      <c r="N2500" s="17">
        <f t="shared" si="197"/>
        <v>2.09</v>
      </c>
      <c r="O2500" s="17">
        <f t="shared" si="191"/>
        <v>2299</v>
      </c>
      <c r="P2500" s="18">
        <f t="shared" si="192"/>
        <v>193503.15160000001</v>
      </c>
    </row>
    <row r="2501" spans="2:16" ht="12.75">
      <c r="B2501" s="10">
        <v>46193</v>
      </c>
      <c r="C2501" s="11">
        <f>VLOOKUP(B:B,'Курс валют'!A:D,4,0)</f>
        <v>84.168400000000005</v>
      </c>
      <c r="D2501" s="57" t="s">
        <v>378</v>
      </c>
      <c r="E2501" s="50" t="s">
        <v>15</v>
      </c>
      <c r="F2501" s="58">
        <v>1100</v>
      </c>
      <c r="G2501" s="13">
        <v>1107.5</v>
      </c>
      <c r="H2501" s="56">
        <v>0</v>
      </c>
      <c r="I2501" s="13">
        <f t="shared" si="196"/>
        <v>7.5</v>
      </c>
      <c r="J2501" s="14">
        <f t="shared" si="188"/>
        <v>0.68181818181818177</v>
      </c>
      <c r="K2501" s="56">
        <v>2.1</v>
      </c>
      <c r="L2501" s="15">
        <f t="shared" si="189"/>
        <v>0</v>
      </c>
      <c r="M2501" s="16">
        <f t="shared" si="190"/>
        <v>176.75364000000002</v>
      </c>
      <c r="N2501" s="17">
        <f t="shared" si="197"/>
        <v>2.1</v>
      </c>
      <c r="O2501" s="17">
        <f t="shared" si="191"/>
        <v>2310</v>
      </c>
      <c r="P2501" s="18">
        <f t="shared" si="192"/>
        <v>194429.00400000002</v>
      </c>
    </row>
    <row r="2502" spans="2:16" ht="12.75">
      <c r="B2502" s="10">
        <v>46194</v>
      </c>
      <c r="C2502" s="11">
        <f>VLOOKUP(B:B,'Курс валют'!A:D,4,0)</f>
        <v>84.168400000000005</v>
      </c>
      <c r="D2502" s="57" t="s">
        <v>379</v>
      </c>
      <c r="E2502" s="50" t="s">
        <v>60</v>
      </c>
      <c r="F2502" s="58">
        <v>2025</v>
      </c>
      <c r="G2502" s="13">
        <v>2046.6</v>
      </c>
      <c r="H2502" s="56">
        <v>0</v>
      </c>
      <c r="I2502" s="13">
        <f t="shared" si="196"/>
        <v>21.599999999999909</v>
      </c>
      <c r="J2502" s="14">
        <f t="shared" si="188"/>
        <v>1.0666666666666622</v>
      </c>
      <c r="K2502" s="56">
        <v>2.0099999999999998</v>
      </c>
      <c r="L2502" s="15">
        <f t="shared" si="189"/>
        <v>0</v>
      </c>
      <c r="M2502" s="16">
        <f t="shared" si="190"/>
        <v>169.178484</v>
      </c>
      <c r="N2502" s="17">
        <f t="shared" si="197"/>
        <v>2.0099999999999998</v>
      </c>
      <c r="O2502" s="17">
        <f t="shared" si="191"/>
        <v>4070.2499999999995</v>
      </c>
      <c r="P2502" s="18">
        <f t="shared" si="192"/>
        <v>342586.4301</v>
      </c>
    </row>
    <row r="2503" spans="2:16" ht="12.75">
      <c r="B2503" s="10">
        <v>46194</v>
      </c>
      <c r="C2503" s="11">
        <f>VLOOKUP(B:B,'Курс валют'!A:D,4,0)</f>
        <v>84.168400000000005</v>
      </c>
      <c r="D2503" s="57" t="s">
        <v>380</v>
      </c>
      <c r="E2503" s="50" t="s">
        <v>65</v>
      </c>
      <c r="F2503" s="58">
        <v>800</v>
      </c>
      <c r="G2503" s="13">
        <v>804.99</v>
      </c>
      <c r="H2503" s="56">
        <v>0</v>
      </c>
      <c r="I2503" s="13">
        <f t="shared" si="196"/>
        <v>4.9900000000000091</v>
      </c>
      <c r="J2503" s="14">
        <f t="shared" si="188"/>
        <v>0.62375000000000114</v>
      </c>
      <c r="K2503" s="56">
        <v>1.88</v>
      </c>
      <c r="L2503" s="15">
        <f t="shared" si="189"/>
        <v>0</v>
      </c>
      <c r="M2503" s="16">
        <f t="shared" si="190"/>
        <v>158.23659200000003</v>
      </c>
      <c r="N2503" s="17">
        <f t="shared" si="197"/>
        <v>1.88</v>
      </c>
      <c r="O2503" s="17">
        <f t="shared" si="191"/>
        <v>1504</v>
      </c>
      <c r="P2503" s="18">
        <f t="shared" si="192"/>
        <v>126589.27360000001</v>
      </c>
    </row>
    <row r="2504" spans="2:16" ht="12.75">
      <c r="B2504" s="10">
        <v>46194</v>
      </c>
      <c r="C2504" s="11">
        <f>VLOOKUP(B:B,'Курс валют'!A:D,4,0)</f>
        <v>84.168400000000005</v>
      </c>
      <c r="D2504" s="57" t="s">
        <v>381</v>
      </c>
      <c r="E2504" s="50" t="s">
        <v>65</v>
      </c>
      <c r="F2504" s="58">
        <v>800</v>
      </c>
      <c r="G2504" s="13">
        <v>804.99</v>
      </c>
      <c r="H2504" s="56">
        <v>0</v>
      </c>
      <c r="I2504" s="13">
        <f t="shared" si="196"/>
        <v>4.9900000000000091</v>
      </c>
      <c r="J2504" s="14">
        <f t="shared" si="188"/>
        <v>0.62375000000000114</v>
      </c>
      <c r="K2504" s="56">
        <v>1.88</v>
      </c>
      <c r="L2504" s="15">
        <f t="shared" si="189"/>
        <v>0</v>
      </c>
      <c r="M2504" s="16">
        <f t="shared" si="190"/>
        <v>158.23659200000003</v>
      </c>
      <c r="N2504" s="17">
        <f t="shared" si="197"/>
        <v>1.88</v>
      </c>
      <c r="O2504" s="17">
        <f t="shared" si="191"/>
        <v>1504</v>
      </c>
      <c r="P2504" s="18">
        <f t="shared" si="192"/>
        <v>126589.27360000001</v>
      </c>
    </row>
    <row r="2505" spans="2:16" ht="12.75">
      <c r="B2505" s="10">
        <v>46194</v>
      </c>
      <c r="C2505" s="11">
        <f>VLOOKUP(B:B,'Курс валют'!A:D,4,0)</f>
        <v>84.168400000000005</v>
      </c>
      <c r="D2505" s="57" t="s">
        <v>382</v>
      </c>
      <c r="E2505" s="50" t="s">
        <v>65</v>
      </c>
      <c r="F2505" s="58">
        <v>800</v>
      </c>
      <c r="G2505" s="13">
        <v>804.99</v>
      </c>
      <c r="H2505" s="56">
        <v>0</v>
      </c>
      <c r="I2505" s="13">
        <f t="shared" si="196"/>
        <v>4.9900000000000091</v>
      </c>
      <c r="J2505" s="14">
        <f t="shared" si="188"/>
        <v>0.62375000000000114</v>
      </c>
      <c r="K2505" s="56">
        <v>1.88</v>
      </c>
      <c r="L2505" s="15">
        <f t="shared" si="189"/>
        <v>0</v>
      </c>
      <c r="M2505" s="16">
        <f t="shared" si="190"/>
        <v>158.23659200000003</v>
      </c>
      <c r="N2505" s="17">
        <f t="shared" si="197"/>
        <v>1.88</v>
      </c>
      <c r="O2505" s="17">
        <f t="shared" si="191"/>
        <v>1504</v>
      </c>
      <c r="P2505" s="18">
        <f t="shared" si="192"/>
        <v>126589.27360000001</v>
      </c>
    </row>
    <row r="2506" spans="2:16" ht="12.75">
      <c r="B2506" s="10">
        <v>46194</v>
      </c>
      <c r="C2506" s="11">
        <f>VLOOKUP(B:B,'Курс валют'!A:D,4,0)</f>
        <v>84.168400000000005</v>
      </c>
      <c r="D2506" s="57" t="s">
        <v>383</v>
      </c>
      <c r="E2506" s="50" t="s">
        <v>65</v>
      </c>
      <c r="F2506" s="58">
        <v>800</v>
      </c>
      <c r="G2506" s="13">
        <v>804.99</v>
      </c>
      <c r="H2506" s="56">
        <v>0</v>
      </c>
      <c r="I2506" s="13">
        <f t="shared" si="196"/>
        <v>4.9900000000000091</v>
      </c>
      <c r="J2506" s="14">
        <f t="shared" si="188"/>
        <v>0.62375000000000114</v>
      </c>
      <c r="K2506" s="56">
        <v>1.88</v>
      </c>
      <c r="L2506" s="15">
        <f t="shared" si="189"/>
        <v>0</v>
      </c>
      <c r="M2506" s="16">
        <f t="shared" si="190"/>
        <v>158.23659200000003</v>
      </c>
      <c r="N2506" s="17">
        <f t="shared" si="197"/>
        <v>1.88</v>
      </c>
      <c r="O2506" s="17">
        <f t="shared" si="191"/>
        <v>1504</v>
      </c>
      <c r="P2506" s="18">
        <f t="shared" si="192"/>
        <v>126589.27360000001</v>
      </c>
    </row>
    <row r="2507" spans="2:16" ht="12.75">
      <c r="B2507" s="10">
        <v>46194</v>
      </c>
      <c r="C2507" s="11">
        <f>VLOOKUP(B:B,'Курс валют'!A:D,4,0)</f>
        <v>84.168400000000005</v>
      </c>
      <c r="D2507" s="57" t="s">
        <v>384</v>
      </c>
      <c r="E2507" s="50" t="s">
        <v>65</v>
      </c>
      <c r="F2507" s="58">
        <v>800</v>
      </c>
      <c r="G2507" s="13">
        <v>804.99</v>
      </c>
      <c r="H2507" s="56">
        <v>0</v>
      </c>
      <c r="I2507" s="13">
        <f t="shared" si="196"/>
        <v>4.9900000000000091</v>
      </c>
      <c r="J2507" s="14">
        <f t="shared" si="188"/>
        <v>0.62375000000000114</v>
      </c>
      <c r="K2507" s="56">
        <v>1.86</v>
      </c>
      <c r="L2507" s="15">
        <f t="shared" si="189"/>
        <v>0</v>
      </c>
      <c r="M2507" s="16">
        <f t="shared" si="190"/>
        <v>156.553224</v>
      </c>
      <c r="N2507" s="17">
        <f t="shared" si="197"/>
        <v>1.86</v>
      </c>
      <c r="O2507" s="17">
        <f t="shared" si="191"/>
        <v>1488</v>
      </c>
      <c r="P2507" s="18">
        <f t="shared" si="192"/>
        <v>125242.57920000001</v>
      </c>
    </row>
    <row r="2508" spans="2:16" ht="12.75">
      <c r="B2508" s="10">
        <v>46194</v>
      </c>
      <c r="C2508" s="11">
        <f>VLOOKUP(B:B,'Курс валют'!A:D,4,0)</f>
        <v>84.168400000000005</v>
      </c>
      <c r="D2508" s="57" t="s">
        <v>385</v>
      </c>
      <c r="E2508" s="50" t="s">
        <v>65</v>
      </c>
      <c r="F2508" s="58">
        <v>800</v>
      </c>
      <c r="G2508" s="13">
        <v>804.99</v>
      </c>
      <c r="H2508" s="56">
        <v>0</v>
      </c>
      <c r="I2508" s="13">
        <f t="shared" si="196"/>
        <v>4.9900000000000091</v>
      </c>
      <c r="J2508" s="14">
        <f t="shared" si="188"/>
        <v>0.62375000000000114</v>
      </c>
      <c r="K2508" s="56">
        <v>1.86</v>
      </c>
      <c r="L2508" s="15">
        <f t="shared" si="189"/>
        <v>0</v>
      </c>
      <c r="M2508" s="16">
        <f t="shared" si="190"/>
        <v>156.553224</v>
      </c>
      <c r="N2508" s="17">
        <f t="shared" si="197"/>
        <v>1.86</v>
      </c>
      <c r="O2508" s="17">
        <f t="shared" si="191"/>
        <v>1488</v>
      </c>
      <c r="P2508" s="18">
        <f t="shared" si="192"/>
        <v>125242.57920000001</v>
      </c>
    </row>
    <row r="2509" spans="2:16" ht="12.75">
      <c r="B2509" s="10">
        <v>46194</v>
      </c>
      <c r="C2509" s="11">
        <f>VLOOKUP(B:B,'Курс валют'!A:D,4,0)</f>
        <v>84.168400000000005</v>
      </c>
      <c r="D2509" s="57" t="s">
        <v>386</v>
      </c>
      <c r="E2509" s="50" t="s">
        <v>65</v>
      </c>
      <c r="F2509" s="58">
        <v>800</v>
      </c>
      <c r="G2509" s="13">
        <v>804.99</v>
      </c>
      <c r="H2509" s="56">
        <v>0</v>
      </c>
      <c r="I2509" s="13">
        <f t="shared" si="196"/>
        <v>4.9900000000000091</v>
      </c>
      <c r="J2509" s="14">
        <f t="shared" si="188"/>
        <v>0.62375000000000114</v>
      </c>
      <c r="K2509" s="56">
        <v>1.86</v>
      </c>
      <c r="L2509" s="15">
        <f t="shared" si="189"/>
        <v>0</v>
      </c>
      <c r="M2509" s="16">
        <f t="shared" si="190"/>
        <v>156.553224</v>
      </c>
      <c r="N2509" s="17">
        <f t="shared" si="197"/>
        <v>1.86</v>
      </c>
      <c r="O2509" s="17">
        <f t="shared" si="191"/>
        <v>1488</v>
      </c>
      <c r="P2509" s="18">
        <f t="shared" si="192"/>
        <v>125242.57920000001</v>
      </c>
    </row>
    <row r="2510" spans="2:16" ht="12.75">
      <c r="B2510" s="10">
        <v>46194</v>
      </c>
      <c r="C2510" s="11">
        <f>VLOOKUP(B:B,'Курс валют'!A:D,4,0)</f>
        <v>84.168400000000005</v>
      </c>
      <c r="D2510" s="57" t="s">
        <v>387</v>
      </c>
      <c r="E2510" s="50" t="s">
        <v>65</v>
      </c>
      <c r="F2510" s="58">
        <v>800</v>
      </c>
      <c r="G2510" s="13">
        <v>804.99</v>
      </c>
      <c r="H2510" s="56">
        <v>0</v>
      </c>
      <c r="I2510" s="13">
        <f t="shared" si="196"/>
        <v>4.9900000000000091</v>
      </c>
      <c r="J2510" s="14">
        <f t="shared" si="188"/>
        <v>0.62375000000000114</v>
      </c>
      <c r="K2510" s="56">
        <v>1.87</v>
      </c>
      <c r="L2510" s="15">
        <f t="shared" si="189"/>
        <v>0</v>
      </c>
      <c r="M2510" s="16">
        <f t="shared" si="190"/>
        <v>157.39490800000002</v>
      </c>
      <c r="N2510" s="17">
        <f t="shared" si="197"/>
        <v>1.87</v>
      </c>
      <c r="O2510" s="17">
        <f t="shared" si="191"/>
        <v>1496</v>
      </c>
      <c r="P2510" s="18">
        <f t="shared" si="192"/>
        <v>125915.92640000001</v>
      </c>
    </row>
    <row r="2511" spans="2:16" ht="12.75">
      <c r="B2511" s="10">
        <v>46194</v>
      </c>
      <c r="C2511" s="11">
        <f>VLOOKUP(B:B,'Курс валют'!A:D,4,0)</f>
        <v>84.168400000000005</v>
      </c>
      <c r="D2511" s="57" t="s">
        <v>388</v>
      </c>
      <c r="E2511" s="50" t="s">
        <v>65</v>
      </c>
      <c r="F2511" s="58">
        <v>800</v>
      </c>
      <c r="G2511" s="13">
        <v>804.99</v>
      </c>
      <c r="H2511" s="56">
        <v>0</v>
      </c>
      <c r="I2511" s="13">
        <f t="shared" si="196"/>
        <v>4.9900000000000091</v>
      </c>
      <c r="J2511" s="14">
        <f t="shared" si="188"/>
        <v>0.62375000000000114</v>
      </c>
      <c r="K2511" s="56">
        <v>1.86</v>
      </c>
      <c r="L2511" s="15">
        <f t="shared" si="189"/>
        <v>0</v>
      </c>
      <c r="M2511" s="16">
        <f t="shared" si="190"/>
        <v>156.553224</v>
      </c>
      <c r="N2511" s="17">
        <f t="shared" si="197"/>
        <v>1.86</v>
      </c>
      <c r="O2511" s="17">
        <f t="shared" si="191"/>
        <v>1488</v>
      </c>
      <c r="P2511" s="18">
        <f t="shared" si="192"/>
        <v>125242.57920000001</v>
      </c>
    </row>
    <row r="2512" spans="2:16" ht="12.75">
      <c r="B2512" s="10">
        <v>46194</v>
      </c>
      <c r="C2512" s="11">
        <f>VLOOKUP(B:B,'Курс валют'!A:D,4,0)</f>
        <v>84.168400000000005</v>
      </c>
      <c r="D2512" s="57" t="s">
        <v>389</v>
      </c>
      <c r="E2512" s="50" t="s">
        <v>65</v>
      </c>
      <c r="F2512" s="58">
        <v>800</v>
      </c>
      <c r="G2512" s="13">
        <v>804.99</v>
      </c>
      <c r="H2512" s="56">
        <v>0</v>
      </c>
      <c r="I2512" s="13">
        <f t="shared" si="196"/>
        <v>4.9900000000000091</v>
      </c>
      <c r="J2512" s="14">
        <f t="shared" si="188"/>
        <v>0.62375000000000114</v>
      </c>
      <c r="K2512" s="56">
        <v>1.87</v>
      </c>
      <c r="L2512" s="15">
        <f t="shared" si="189"/>
        <v>0</v>
      </c>
      <c r="M2512" s="16">
        <f t="shared" si="190"/>
        <v>157.39490800000002</v>
      </c>
      <c r="N2512" s="17">
        <f t="shared" si="197"/>
        <v>1.87</v>
      </c>
      <c r="O2512" s="17">
        <f t="shared" si="191"/>
        <v>1496</v>
      </c>
      <c r="P2512" s="18">
        <f t="shared" si="192"/>
        <v>125915.92640000001</v>
      </c>
    </row>
    <row r="2513" spans="2:18" ht="12.75">
      <c r="B2513" s="10">
        <v>46195</v>
      </c>
      <c r="C2513" s="11">
        <f>VLOOKUP(B:B,'Курс валют'!A:D,4,0)</f>
        <v>84.168400000000005</v>
      </c>
      <c r="D2513" s="57" t="s">
        <v>390</v>
      </c>
      <c r="E2513" s="50" t="s">
        <v>103</v>
      </c>
      <c r="F2513" s="58">
        <v>800</v>
      </c>
      <c r="G2513" s="13">
        <v>805</v>
      </c>
      <c r="H2513" s="56">
        <v>0</v>
      </c>
      <c r="I2513" s="13">
        <f t="shared" si="196"/>
        <v>5</v>
      </c>
      <c r="J2513" s="14">
        <f t="shared" si="188"/>
        <v>0.625</v>
      </c>
      <c r="K2513" s="56">
        <v>1.81</v>
      </c>
      <c r="L2513" s="15">
        <f t="shared" si="189"/>
        <v>0</v>
      </c>
      <c r="M2513" s="16">
        <f t="shared" si="190"/>
        <v>152.34480400000001</v>
      </c>
      <c r="N2513" s="17">
        <f t="shared" si="197"/>
        <v>1.81</v>
      </c>
      <c r="O2513" s="17">
        <f t="shared" si="191"/>
        <v>1448</v>
      </c>
      <c r="P2513" s="18">
        <f t="shared" si="192"/>
        <v>121875.8432</v>
      </c>
    </row>
    <row r="2514" spans="2:18" ht="12.75">
      <c r="B2514" s="10">
        <v>46195</v>
      </c>
      <c r="C2514" s="11">
        <f>VLOOKUP(B:B,'Курс валют'!A:D,4,0)</f>
        <v>84.168400000000005</v>
      </c>
      <c r="D2514" s="57" t="s">
        <v>391</v>
      </c>
      <c r="E2514" s="50" t="s">
        <v>103</v>
      </c>
      <c r="F2514" s="58">
        <v>800</v>
      </c>
      <c r="G2514" s="13">
        <v>805</v>
      </c>
      <c r="H2514" s="56">
        <v>0</v>
      </c>
      <c r="I2514" s="13">
        <f t="shared" si="196"/>
        <v>5</v>
      </c>
      <c r="J2514" s="14">
        <f t="shared" si="188"/>
        <v>0.625</v>
      </c>
      <c r="K2514" s="56">
        <v>1.82</v>
      </c>
      <c r="L2514" s="15">
        <f t="shared" si="189"/>
        <v>0</v>
      </c>
      <c r="M2514" s="16">
        <f t="shared" si="190"/>
        <v>153.186488</v>
      </c>
      <c r="N2514" s="17">
        <f t="shared" si="197"/>
        <v>1.82</v>
      </c>
      <c r="O2514" s="17">
        <f t="shared" si="191"/>
        <v>1456</v>
      </c>
      <c r="P2514" s="18">
        <f t="shared" si="192"/>
        <v>122549.19040000001</v>
      </c>
    </row>
    <row r="2515" spans="2:18" ht="12.75">
      <c r="B2515" s="10">
        <v>46195</v>
      </c>
      <c r="C2515" s="11">
        <f>VLOOKUP(B:B,'Курс валют'!A:D,4,0)</f>
        <v>84.168400000000005</v>
      </c>
      <c r="D2515" s="57" t="s">
        <v>392</v>
      </c>
      <c r="E2515" s="50" t="s">
        <v>103</v>
      </c>
      <c r="F2515" s="58">
        <v>800</v>
      </c>
      <c r="G2515" s="13">
        <v>805</v>
      </c>
      <c r="H2515" s="56">
        <v>0</v>
      </c>
      <c r="I2515" s="13">
        <f t="shared" si="196"/>
        <v>5</v>
      </c>
      <c r="J2515" s="14">
        <f t="shared" si="188"/>
        <v>0.625</v>
      </c>
      <c r="K2515" s="56">
        <v>1.81</v>
      </c>
      <c r="L2515" s="15">
        <f t="shared" si="189"/>
        <v>0</v>
      </c>
      <c r="M2515" s="16">
        <f t="shared" si="190"/>
        <v>152.34480400000001</v>
      </c>
      <c r="N2515" s="17">
        <f t="shared" si="197"/>
        <v>1.81</v>
      </c>
      <c r="O2515" s="17">
        <f t="shared" si="191"/>
        <v>1448</v>
      </c>
      <c r="P2515" s="18">
        <f t="shared" si="192"/>
        <v>121875.8432</v>
      </c>
    </row>
    <row r="2516" spans="2:18" ht="12.75">
      <c r="B2516" s="10">
        <v>46195</v>
      </c>
      <c r="C2516" s="11">
        <f>VLOOKUP(B:B,'Курс валют'!A:D,4,0)</f>
        <v>84.168400000000005</v>
      </c>
      <c r="D2516" s="57" t="s">
        <v>393</v>
      </c>
      <c r="E2516" s="50" t="s">
        <v>103</v>
      </c>
      <c r="F2516" s="58">
        <v>800</v>
      </c>
      <c r="G2516" s="13">
        <v>805</v>
      </c>
      <c r="H2516" s="56">
        <v>0</v>
      </c>
      <c r="I2516" s="13">
        <f t="shared" si="196"/>
        <v>5</v>
      </c>
      <c r="J2516" s="14">
        <f t="shared" si="188"/>
        <v>0.625</v>
      </c>
      <c r="K2516" s="56">
        <v>1.81</v>
      </c>
      <c r="L2516" s="15">
        <f t="shared" si="189"/>
        <v>0</v>
      </c>
      <c r="M2516" s="16">
        <f t="shared" si="190"/>
        <v>152.34480400000001</v>
      </c>
      <c r="N2516" s="17">
        <f t="shared" si="197"/>
        <v>1.81</v>
      </c>
      <c r="O2516" s="17">
        <f t="shared" si="191"/>
        <v>1448</v>
      </c>
      <c r="P2516" s="18">
        <f t="shared" si="192"/>
        <v>121875.8432</v>
      </c>
    </row>
    <row r="2517" spans="2:18" ht="12.75">
      <c r="B2517" s="10">
        <v>46195</v>
      </c>
      <c r="C2517" s="11">
        <f>VLOOKUP(B:B,'Курс валют'!A:D,4,0)</f>
        <v>84.168400000000005</v>
      </c>
      <c r="D2517" s="57" t="s">
        <v>394</v>
      </c>
      <c r="E2517" s="50" t="s">
        <v>57</v>
      </c>
      <c r="F2517" s="58">
        <v>2000</v>
      </c>
      <c r="G2517" s="13">
        <v>2000</v>
      </c>
      <c r="H2517" s="56">
        <v>0</v>
      </c>
      <c r="I2517" s="13">
        <f t="shared" si="196"/>
        <v>0</v>
      </c>
      <c r="J2517" s="14">
        <f t="shared" si="188"/>
        <v>0</v>
      </c>
      <c r="K2517" s="56">
        <v>3.67</v>
      </c>
      <c r="L2517" s="15">
        <f t="shared" si="189"/>
        <v>0</v>
      </c>
      <c r="M2517" s="16">
        <f t="shared" si="190"/>
        <v>308.89802800000001</v>
      </c>
      <c r="N2517" s="17">
        <f t="shared" si="197"/>
        <v>3.67</v>
      </c>
      <c r="O2517" s="17">
        <f t="shared" si="191"/>
        <v>7340</v>
      </c>
      <c r="P2517" s="18">
        <f t="shared" si="192"/>
        <v>617796.05599999998</v>
      </c>
      <c r="R2517" s="33" t="s">
        <v>395</v>
      </c>
    </row>
    <row r="2518" spans="2:18" ht="12.75">
      <c r="B2518" s="10">
        <v>46195</v>
      </c>
      <c r="C2518" s="11">
        <f>VLOOKUP(B:B,'Курс валют'!A:D,4,0)</f>
        <v>84.168400000000005</v>
      </c>
      <c r="D2518" s="57" t="s">
        <v>396</v>
      </c>
      <c r="E2518" s="50" t="s">
        <v>50</v>
      </c>
      <c r="F2518" s="58">
        <v>400</v>
      </c>
      <c r="G2518" s="13">
        <v>400</v>
      </c>
      <c r="H2518" s="56">
        <v>0</v>
      </c>
      <c r="I2518" s="13">
        <f t="shared" si="196"/>
        <v>0</v>
      </c>
      <c r="J2518" s="14">
        <f t="shared" si="188"/>
        <v>0</v>
      </c>
      <c r="K2518" s="56">
        <v>1.95</v>
      </c>
      <c r="L2518" s="15">
        <f t="shared" si="189"/>
        <v>0</v>
      </c>
      <c r="M2518" s="16">
        <f t="shared" si="190"/>
        <v>164.12837999999999</v>
      </c>
      <c r="N2518" s="17">
        <f t="shared" si="197"/>
        <v>1.95</v>
      </c>
      <c r="O2518" s="17">
        <f t="shared" si="191"/>
        <v>780</v>
      </c>
      <c r="P2518" s="18">
        <f t="shared" si="192"/>
        <v>65651.351999999999</v>
      </c>
      <c r="R2518" s="33" t="s">
        <v>395</v>
      </c>
    </row>
    <row r="2519" spans="2:18" ht="12.75">
      <c r="B2519" s="10">
        <v>46195</v>
      </c>
      <c r="C2519" s="11">
        <f>VLOOKUP(B:B,'Курс валют'!A:D,4,0)</f>
        <v>84.168400000000005</v>
      </c>
      <c r="D2519" s="57" t="s">
        <v>397</v>
      </c>
      <c r="E2519" s="50" t="s">
        <v>50</v>
      </c>
      <c r="F2519" s="58">
        <v>800</v>
      </c>
      <c r="G2519" s="13">
        <v>800</v>
      </c>
      <c r="H2519" s="56">
        <v>0</v>
      </c>
      <c r="I2519" s="13">
        <f t="shared" si="196"/>
        <v>0</v>
      </c>
      <c r="J2519" s="14">
        <f t="shared" si="188"/>
        <v>0</v>
      </c>
      <c r="K2519" s="56">
        <v>1.94</v>
      </c>
      <c r="L2519" s="15">
        <f t="shared" si="189"/>
        <v>0</v>
      </c>
      <c r="M2519" s="16">
        <f t="shared" si="190"/>
        <v>163.28669600000001</v>
      </c>
      <c r="N2519" s="17">
        <f t="shared" si="197"/>
        <v>1.94</v>
      </c>
      <c r="O2519" s="17">
        <f t="shared" si="191"/>
        <v>1552</v>
      </c>
      <c r="P2519" s="18">
        <f t="shared" si="192"/>
        <v>130629.35680000001</v>
      </c>
      <c r="R2519" s="33" t="s">
        <v>395</v>
      </c>
    </row>
    <row r="2520" spans="2:18" ht="12.75">
      <c r="B2520" s="10">
        <v>46195</v>
      </c>
      <c r="C2520" s="11">
        <f>VLOOKUP(B:B,'Курс валют'!A:D,4,0)</f>
        <v>84.168400000000005</v>
      </c>
      <c r="D2520" s="57" t="s">
        <v>398</v>
      </c>
      <c r="E2520" s="50" t="s">
        <v>50</v>
      </c>
      <c r="F2520" s="58">
        <v>800</v>
      </c>
      <c r="G2520" s="13">
        <v>800</v>
      </c>
      <c r="H2520" s="56">
        <v>0</v>
      </c>
      <c r="I2520" s="13">
        <f t="shared" si="196"/>
        <v>0</v>
      </c>
      <c r="J2520" s="14">
        <f t="shared" si="188"/>
        <v>0</v>
      </c>
      <c r="K2520" s="56">
        <v>1.95</v>
      </c>
      <c r="L2520" s="15">
        <f t="shared" si="189"/>
        <v>0</v>
      </c>
      <c r="M2520" s="16">
        <f t="shared" si="190"/>
        <v>164.12837999999999</v>
      </c>
      <c r="N2520" s="17">
        <f t="shared" si="197"/>
        <v>1.95</v>
      </c>
      <c r="O2520" s="17">
        <f t="shared" si="191"/>
        <v>1560</v>
      </c>
      <c r="P2520" s="18">
        <f t="shared" si="192"/>
        <v>131302.704</v>
      </c>
      <c r="R2520" s="33" t="s">
        <v>395</v>
      </c>
    </row>
    <row r="2521" spans="2:18" ht="12.75">
      <c r="B2521" s="10">
        <v>46195</v>
      </c>
      <c r="C2521" s="11">
        <f>VLOOKUP(B:B,'Курс валют'!A:D,4,0)</f>
        <v>84.168400000000005</v>
      </c>
      <c r="D2521" s="57" t="s">
        <v>399</v>
      </c>
      <c r="E2521" s="50" t="s">
        <v>103</v>
      </c>
      <c r="F2521" s="58">
        <v>800</v>
      </c>
      <c r="G2521" s="13">
        <v>805</v>
      </c>
      <c r="H2521" s="56">
        <v>0</v>
      </c>
      <c r="I2521" s="13">
        <f t="shared" si="196"/>
        <v>5</v>
      </c>
      <c r="J2521" s="14">
        <f t="shared" si="188"/>
        <v>0.625</v>
      </c>
      <c r="K2521" s="56">
        <v>1.81</v>
      </c>
      <c r="L2521" s="15">
        <f t="shared" si="189"/>
        <v>0</v>
      </c>
      <c r="M2521" s="16">
        <f t="shared" si="190"/>
        <v>152.34480400000001</v>
      </c>
      <c r="N2521" s="17">
        <f t="shared" si="197"/>
        <v>1.81</v>
      </c>
      <c r="O2521" s="17">
        <f t="shared" si="191"/>
        <v>1448</v>
      </c>
      <c r="P2521" s="18">
        <f t="shared" si="192"/>
        <v>121875.8432</v>
      </c>
    </row>
    <row r="2522" spans="2:18" ht="12.75">
      <c r="B2522" s="10">
        <v>46195</v>
      </c>
      <c r="C2522" s="11">
        <f>VLOOKUP(B:B,'Курс валют'!A:D,4,0)</f>
        <v>84.168400000000005</v>
      </c>
      <c r="D2522" s="57" t="s">
        <v>400</v>
      </c>
      <c r="E2522" s="50" t="s">
        <v>103</v>
      </c>
      <c r="F2522" s="58">
        <v>800</v>
      </c>
      <c r="G2522" s="13">
        <v>805</v>
      </c>
      <c r="H2522" s="56">
        <v>0</v>
      </c>
      <c r="I2522" s="13">
        <f t="shared" si="196"/>
        <v>5</v>
      </c>
      <c r="J2522" s="14">
        <f t="shared" si="188"/>
        <v>0.625</v>
      </c>
      <c r="K2522" s="56">
        <v>1.82</v>
      </c>
      <c r="L2522" s="15">
        <f t="shared" si="189"/>
        <v>0</v>
      </c>
      <c r="M2522" s="16">
        <f t="shared" si="190"/>
        <v>153.186488</v>
      </c>
      <c r="N2522" s="17">
        <f t="shared" si="197"/>
        <v>1.82</v>
      </c>
      <c r="O2522" s="17">
        <f t="shared" si="191"/>
        <v>1456</v>
      </c>
      <c r="P2522" s="18">
        <f t="shared" si="192"/>
        <v>122549.19040000001</v>
      </c>
    </row>
    <row r="2523" spans="2:18" ht="12.75">
      <c r="B2523" s="10">
        <v>46195</v>
      </c>
      <c r="C2523" s="11">
        <f>VLOOKUP(B:B,'Курс валют'!A:D,4,0)</f>
        <v>84.168400000000005</v>
      </c>
      <c r="D2523" s="57" t="s">
        <v>401</v>
      </c>
      <c r="E2523" s="50" t="s">
        <v>103</v>
      </c>
      <c r="F2523" s="58">
        <v>800</v>
      </c>
      <c r="G2523" s="13">
        <v>805</v>
      </c>
      <c r="H2523" s="56">
        <v>0</v>
      </c>
      <c r="I2523" s="13">
        <f t="shared" si="196"/>
        <v>5</v>
      </c>
      <c r="J2523" s="14">
        <f t="shared" si="188"/>
        <v>0.625</v>
      </c>
      <c r="K2523" s="56">
        <v>1.81</v>
      </c>
      <c r="L2523" s="15">
        <f t="shared" si="189"/>
        <v>0</v>
      </c>
      <c r="M2523" s="16">
        <f t="shared" si="190"/>
        <v>152.34480400000001</v>
      </c>
      <c r="N2523" s="17">
        <f t="shared" si="197"/>
        <v>1.81</v>
      </c>
      <c r="O2523" s="17">
        <f t="shared" si="191"/>
        <v>1448</v>
      </c>
      <c r="P2523" s="18">
        <f t="shared" si="192"/>
        <v>121875.8432</v>
      </c>
    </row>
    <row r="2524" spans="2:18" ht="12.75">
      <c r="B2524" s="10">
        <v>46195</v>
      </c>
      <c r="C2524" s="11">
        <f>VLOOKUP(B:B,'Курс валют'!A:D,4,0)</f>
        <v>84.168400000000005</v>
      </c>
      <c r="D2524" s="57" t="s">
        <v>402</v>
      </c>
      <c r="E2524" s="50" t="s">
        <v>103</v>
      </c>
      <c r="F2524" s="58">
        <v>800</v>
      </c>
      <c r="G2524" s="13">
        <v>805</v>
      </c>
      <c r="H2524" s="56">
        <v>0</v>
      </c>
      <c r="I2524" s="13">
        <f t="shared" si="196"/>
        <v>5</v>
      </c>
      <c r="J2524" s="14">
        <f t="shared" ref="J2524:J2596" si="198">I2524/F2524*100</f>
        <v>0.625</v>
      </c>
      <c r="K2524" s="56">
        <v>1.81</v>
      </c>
      <c r="L2524" s="15">
        <f t="shared" ref="L2524:L2596" si="199">H2524/F2524*100</f>
        <v>0</v>
      </c>
      <c r="M2524" s="16">
        <f t="shared" ref="M2524:M2596" si="200">P2524/F2524</f>
        <v>152.34480400000001</v>
      </c>
      <c r="N2524" s="17">
        <f t="shared" si="197"/>
        <v>1.81</v>
      </c>
      <c r="O2524" s="17">
        <f t="shared" ref="O2524:O2596" si="201">N2524*F2524</f>
        <v>1448</v>
      </c>
      <c r="P2524" s="18">
        <f t="shared" ref="P2524:P2596" si="202">O2524*C2524</f>
        <v>121875.8432</v>
      </c>
    </row>
    <row r="2525" spans="2:18" ht="12.75">
      <c r="B2525" s="10">
        <v>46195</v>
      </c>
      <c r="C2525" s="11">
        <f>VLOOKUP(B:B,'Курс валют'!A:D,4,0)</f>
        <v>84.168400000000005</v>
      </c>
      <c r="D2525" s="57" t="s">
        <v>403</v>
      </c>
      <c r="E2525" s="50" t="s">
        <v>103</v>
      </c>
      <c r="F2525" s="58">
        <v>800</v>
      </c>
      <c r="G2525" s="13">
        <v>805</v>
      </c>
      <c r="H2525" s="56">
        <v>0</v>
      </c>
      <c r="I2525" s="13">
        <f t="shared" si="196"/>
        <v>5</v>
      </c>
      <c r="J2525" s="14">
        <f t="shared" si="198"/>
        <v>0.625</v>
      </c>
      <c r="K2525" s="56">
        <v>1.81</v>
      </c>
      <c r="L2525" s="15">
        <f t="shared" si="199"/>
        <v>0</v>
      </c>
      <c r="M2525" s="16">
        <f t="shared" si="200"/>
        <v>152.34480400000001</v>
      </c>
      <c r="N2525" s="17">
        <f t="shared" si="197"/>
        <v>1.81</v>
      </c>
      <c r="O2525" s="17">
        <f t="shared" si="201"/>
        <v>1448</v>
      </c>
      <c r="P2525" s="18">
        <f t="shared" si="202"/>
        <v>121875.8432</v>
      </c>
    </row>
    <row r="2526" spans="2:18" ht="12.75">
      <c r="B2526" s="10">
        <v>46195</v>
      </c>
      <c r="C2526" s="11">
        <f>VLOOKUP(B:B,'Курс валют'!A:D,4,0)</f>
        <v>84.168400000000005</v>
      </c>
      <c r="D2526" s="57" t="s">
        <v>404</v>
      </c>
      <c r="E2526" s="50" t="s">
        <v>60</v>
      </c>
      <c r="F2526" s="58">
        <v>2475</v>
      </c>
      <c r="G2526" s="13">
        <v>2492.3000000000002</v>
      </c>
      <c r="H2526" s="56">
        <v>0</v>
      </c>
      <c r="I2526" s="13">
        <f t="shared" si="196"/>
        <v>17.300000000000182</v>
      </c>
      <c r="J2526" s="14">
        <f t="shared" si="198"/>
        <v>0.69898989898990638</v>
      </c>
      <c r="K2526" s="56">
        <v>2.0699999999999998</v>
      </c>
      <c r="L2526" s="15">
        <f t="shared" si="199"/>
        <v>0</v>
      </c>
      <c r="M2526" s="16">
        <f t="shared" si="200"/>
        <v>174.228588</v>
      </c>
      <c r="N2526" s="17">
        <f t="shared" si="197"/>
        <v>2.0699999999999998</v>
      </c>
      <c r="O2526" s="17">
        <f t="shared" si="201"/>
        <v>5123.25</v>
      </c>
      <c r="P2526" s="18">
        <f t="shared" si="202"/>
        <v>431215.75530000002</v>
      </c>
    </row>
    <row r="2527" spans="2:18" ht="12.75">
      <c r="B2527" s="10">
        <v>46195</v>
      </c>
      <c r="C2527" s="11">
        <f>VLOOKUP(B:B,'Курс валют'!A:D,4,0)</f>
        <v>84.168400000000005</v>
      </c>
      <c r="D2527" s="57" t="s">
        <v>405</v>
      </c>
      <c r="E2527" s="50" t="s">
        <v>103</v>
      </c>
      <c r="F2527" s="58">
        <v>800</v>
      </c>
      <c r="G2527" s="13">
        <v>805</v>
      </c>
      <c r="H2527" s="56">
        <v>0</v>
      </c>
      <c r="I2527" s="13">
        <f t="shared" si="196"/>
        <v>5</v>
      </c>
      <c r="J2527" s="14">
        <f t="shared" si="198"/>
        <v>0.625</v>
      </c>
      <c r="K2527" s="56">
        <v>1.81</v>
      </c>
      <c r="L2527" s="15">
        <f t="shared" si="199"/>
        <v>0</v>
      </c>
      <c r="M2527" s="16">
        <f t="shared" si="200"/>
        <v>152.34480400000001</v>
      </c>
      <c r="N2527" s="17">
        <f t="shared" si="197"/>
        <v>1.81</v>
      </c>
      <c r="O2527" s="17">
        <f t="shared" si="201"/>
        <v>1448</v>
      </c>
      <c r="P2527" s="18">
        <f t="shared" si="202"/>
        <v>121875.8432</v>
      </c>
    </row>
    <row r="2528" spans="2:18" ht="12.75">
      <c r="B2528" s="10">
        <v>46196</v>
      </c>
      <c r="C2528" s="11">
        <f>VLOOKUP(B:B,'Курс валют'!A:D,4,0)</f>
        <v>84.586299999999994</v>
      </c>
      <c r="D2528" s="57" t="s">
        <v>406</v>
      </c>
      <c r="E2528" s="50" t="s">
        <v>50</v>
      </c>
      <c r="F2528" s="58">
        <v>800</v>
      </c>
      <c r="G2528" s="13">
        <v>805.62</v>
      </c>
      <c r="H2528" s="56">
        <v>0</v>
      </c>
      <c r="I2528" s="13">
        <f t="shared" si="196"/>
        <v>5.6200000000000045</v>
      </c>
      <c r="J2528" s="14">
        <f t="shared" si="198"/>
        <v>0.70250000000000057</v>
      </c>
      <c r="K2528" s="56">
        <v>1.89</v>
      </c>
      <c r="L2528" s="15">
        <f t="shared" si="199"/>
        <v>0</v>
      </c>
      <c r="M2528" s="16">
        <f t="shared" si="200"/>
        <v>159.86810699999998</v>
      </c>
      <c r="N2528" s="17">
        <f t="shared" si="197"/>
        <v>1.89</v>
      </c>
      <c r="O2528" s="17">
        <f t="shared" si="201"/>
        <v>1512</v>
      </c>
      <c r="P2528" s="18">
        <f t="shared" si="202"/>
        <v>127894.48559999999</v>
      </c>
    </row>
    <row r="2529" spans="2:16" ht="12.75">
      <c r="B2529" s="10">
        <v>46196</v>
      </c>
      <c r="C2529" s="11">
        <f>VLOOKUP(B:B,'Курс валют'!A:D,4,0)</f>
        <v>84.586299999999994</v>
      </c>
      <c r="D2529" s="57" t="s">
        <v>407</v>
      </c>
      <c r="E2529" s="50" t="s">
        <v>50</v>
      </c>
      <c r="F2529" s="58">
        <v>800</v>
      </c>
      <c r="G2529" s="13">
        <v>805.62</v>
      </c>
      <c r="H2529" s="56">
        <v>0</v>
      </c>
      <c r="I2529" s="13">
        <f t="shared" si="196"/>
        <v>5.6200000000000045</v>
      </c>
      <c r="J2529" s="14">
        <f t="shared" si="198"/>
        <v>0.70250000000000057</v>
      </c>
      <c r="K2529" s="56">
        <v>1.88</v>
      </c>
      <c r="L2529" s="15">
        <f t="shared" si="199"/>
        <v>0</v>
      </c>
      <c r="M2529" s="16">
        <f t="shared" si="200"/>
        <v>159.022244</v>
      </c>
      <c r="N2529" s="17">
        <f t="shared" si="197"/>
        <v>1.88</v>
      </c>
      <c r="O2529" s="17">
        <f t="shared" si="201"/>
        <v>1504</v>
      </c>
      <c r="P2529" s="18">
        <f t="shared" si="202"/>
        <v>127217.79519999999</v>
      </c>
    </row>
    <row r="2530" spans="2:16" ht="12.75">
      <c r="B2530" s="10">
        <v>46196</v>
      </c>
      <c r="C2530" s="11">
        <f>VLOOKUP(B:B,'Курс валют'!A:D,4,0)</f>
        <v>84.586299999999994</v>
      </c>
      <c r="D2530" s="57" t="s">
        <v>408</v>
      </c>
      <c r="E2530" s="50" t="s">
        <v>50</v>
      </c>
      <c r="F2530" s="58">
        <v>800</v>
      </c>
      <c r="G2530" s="13">
        <v>805.62</v>
      </c>
      <c r="H2530" s="56">
        <v>0</v>
      </c>
      <c r="I2530" s="13">
        <f t="shared" si="196"/>
        <v>5.6200000000000045</v>
      </c>
      <c r="J2530" s="14">
        <f t="shared" si="198"/>
        <v>0.70250000000000057</v>
      </c>
      <c r="K2530" s="56">
        <v>1.88</v>
      </c>
      <c r="L2530" s="15">
        <f t="shared" si="199"/>
        <v>0</v>
      </c>
      <c r="M2530" s="16">
        <f t="shared" si="200"/>
        <v>159.022244</v>
      </c>
      <c r="N2530" s="17">
        <f t="shared" ref="N2530:N2538" si="203">(F2530*K2530-H2530*30.4)/F2530</f>
        <v>1.88</v>
      </c>
      <c r="O2530" s="17">
        <f t="shared" si="201"/>
        <v>1504</v>
      </c>
      <c r="P2530" s="18">
        <f t="shared" si="202"/>
        <v>127217.79519999999</v>
      </c>
    </row>
    <row r="2531" spans="2:16" ht="12.75">
      <c r="B2531" s="10">
        <v>46196</v>
      </c>
      <c r="C2531" s="11">
        <f>VLOOKUP(B:B,'Курс валют'!A:D,4,0)</f>
        <v>84.586299999999994</v>
      </c>
      <c r="D2531" s="57" t="s">
        <v>409</v>
      </c>
      <c r="E2531" s="50" t="s">
        <v>50</v>
      </c>
      <c r="F2531" s="58">
        <v>800</v>
      </c>
      <c r="G2531" s="13">
        <v>805.62</v>
      </c>
      <c r="H2531" s="56">
        <v>0</v>
      </c>
      <c r="I2531" s="13">
        <f t="shared" si="196"/>
        <v>5.6200000000000045</v>
      </c>
      <c r="J2531" s="14">
        <f t="shared" si="198"/>
        <v>0.70250000000000057</v>
      </c>
      <c r="K2531" s="56">
        <v>1.88</v>
      </c>
      <c r="L2531" s="15">
        <f t="shared" si="199"/>
        <v>0</v>
      </c>
      <c r="M2531" s="16">
        <f t="shared" si="200"/>
        <v>159.022244</v>
      </c>
      <c r="N2531" s="17">
        <f t="shared" si="203"/>
        <v>1.88</v>
      </c>
      <c r="O2531" s="17">
        <f t="shared" si="201"/>
        <v>1504</v>
      </c>
      <c r="P2531" s="18">
        <f t="shared" si="202"/>
        <v>127217.79519999999</v>
      </c>
    </row>
    <row r="2532" spans="2:16" ht="12.75">
      <c r="B2532" s="10">
        <v>46196</v>
      </c>
      <c r="C2532" s="11">
        <f>VLOOKUP(B:B,'Курс валют'!A:D,4,0)</f>
        <v>84.586299999999994</v>
      </c>
      <c r="D2532" s="57" t="s">
        <v>410</v>
      </c>
      <c r="E2532" s="50" t="s">
        <v>50</v>
      </c>
      <c r="F2532" s="58">
        <v>800</v>
      </c>
      <c r="G2532" s="13">
        <v>805.62</v>
      </c>
      <c r="H2532" s="56">
        <v>0</v>
      </c>
      <c r="I2532" s="13">
        <f t="shared" si="196"/>
        <v>5.6200000000000045</v>
      </c>
      <c r="J2532" s="14">
        <f t="shared" si="198"/>
        <v>0.70250000000000057</v>
      </c>
      <c r="K2532" s="56">
        <v>1.88</v>
      </c>
      <c r="L2532" s="15">
        <f t="shared" si="199"/>
        <v>0</v>
      </c>
      <c r="M2532" s="16">
        <f t="shared" si="200"/>
        <v>159.022244</v>
      </c>
      <c r="N2532" s="17">
        <f t="shared" si="203"/>
        <v>1.88</v>
      </c>
      <c r="O2532" s="17">
        <f t="shared" si="201"/>
        <v>1504</v>
      </c>
      <c r="P2532" s="18">
        <f t="shared" si="202"/>
        <v>127217.79519999999</v>
      </c>
    </row>
    <row r="2533" spans="2:16" ht="12.75">
      <c r="B2533" s="10">
        <v>46196</v>
      </c>
      <c r="C2533" s="11">
        <f>VLOOKUP(B:B,'Курс валют'!A:D,4,0)</f>
        <v>84.586299999999994</v>
      </c>
      <c r="D2533" s="57" t="s">
        <v>411</v>
      </c>
      <c r="E2533" s="50" t="s">
        <v>50</v>
      </c>
      <c r="F2533" s="58">
        <v>800</v>
      </c>
      <c r="G2533" s="13">
        <v>805.62</v>
      </c>
      <c r="H2533" s="56">
        <v>0</v>
      </c>
      <c r="I2533" s="13">
        <f t="shared" si="196"/>
        <v>5.6200000000000045</v>
      </c>
      <c r="J2533" s="14">
        <f t="shared" si="198"/>
        <v>0.70250000000000057</v>
      </c>
      <c r="K2533" s="56">
        <v>1.88</v>
      </c>
      <c r="L2533" s="15">
        <f t="shared" si="199"/>
        <v>0</v>
      </c>
      <c r="M2533" s="16">
        <f t="shared" si="200"/>
        <v>159.022244</v>
      </c>
      <c r="N2533" s="17">
        <f t="shared" si="203"/>
        <v>1.88</v>
      </c>
      <c r="O2533" s="17">
        <f t="shared" si="201"/>
        <v>1504</v>
      </c>
      <c r="P2533" s="18">
        <f t="shared" si="202"/>
        <v>127217.79519999999</v>
      </c>
    </row>
    <row r="2534" spans="2:16" ht="12.75">
      <c r="B2534" s="10">
        <v>46196</v>
      </c>
      <c r="C2534" s="11">
        <f>VLOOKUP(B:B,'Курс валют'!A:D,4,0)</f>
        <v>84.586299999999994</v>
      </c>
      <c r="D2534" s="57" t="s">
        <v>412</v>
      </c>
      <c r="E2534" s="50" t="s">
        <v>50</v>
      </c>
      <c r="F2534" s="58">
        <v>800</v>
      </c>
      <c r="G2534" s="13">
        <v>805.62</v>
      </c>
      <c r="H2534" s="56">
        <v>0</v>
      </c>
      <c r="I2534" s="13">
        <f t="shared" si="196"/>
        <v>5.6200000000000045</v>
      </c>
      <c r="J2534" s="14">
        <f t="shared" si="198"/>
        <v>0.70250000000000057</v>
      </c>
      <c r="K2534" s="56">
        <v>1.88</v>
      </c>
      <c r="L2534" s="15">
        <f t="shared" si="199"/>
        <v>0</v>
      </c>
      <c r="M2534" s="16">
        <f t="shared" si="200"/>
        <v>159.022244</v>
      </c>
      <c r="N2534" s="17">
        <f t="shared" si="203"/>
        <v>1.88</v>
      </c>
      <c r="O2534" s="17">
        <f t="shared" si="201"/>
        <v>1504</v>
      </c>
      <c r="P2534" s="18">
        <f t="shared" si="202"/>
        <v>127217.79519999999</v>
      </c>
    </row>
    <row r="2535" spans="2:16" ht="12.75">
      <c r="B2535" s="10">
        <v>46196</v>
      </c>
      <c r="C2535" s="11">
        <f>VLOOKUP(B:B,'Курс валют'!A:D,4,0)</f>
        <v>84.586299999999994</v>
      </c>
      <c r="D2535" s="57" t="s">
        <v>413</v>
      </c>
      <c r="E2535" s="50" t="s">
        <v>50</v>
      </c>
      <c r="F2535" s="58">
        <v>800</v>
      </c>
      <c r="G2535" s="13">
        <v>805.62</v>
      </c>
      <c r="H2535" s="56">
        <v>0</v>
      </c>
      <c r="I2535" s="13">
        <f t="shared" si="196"/>
        <v>5.6200000000000045</v>
      </c>
      <c r="J2535" s="14">
        <f t="shared" si="198"/>
        <v>0.70250000000000057</v>
      </c>
      <c r="K2535" s="56">
        <v>1.88</v>
      </c>
      <c r="L2535" s="15">
        <f t="shared" si="199"/>
        <v>0</v>
      </c>
      <c r="M2535" s="16">
        <f t="shared" si="200"/>
        <v>159.022244</v>
      </c>
      <c r="N2535" s="17">
        <f t="shared" si="203"/>
        <v>1.88</v>
      </c>
      <c r="O2535" s="17">
        <f t="shared" si="201"/>
        <v>1504</v>
      </c>
      <c r="P2535" s="18">
        <f t="shared" si="202"/>
        <v>127217.79519999999</v>
      </c>
    </row>
    <row r="2536" spans="2:16" ht="12.75">
      <c r="B2536" s="10">
        <v>46196</v>
      </c>
      <c r="C2536" s="11">
        <f>VLOOKUP(B:B,'Курс валют'!A:D,4,0)</f>
        <v>84.586299999999994</v>
      </c>
      <c r="D2536" s="57" t="s">
        <v>414</v>
      </c>
      <c r="E2536" s="50" t="s">
        <v>50</v>
      </c>
      <c r="F2536" s="58">
        <v>800</v>
      </c>
      <c r="G2536" s="13">
        <v>805.62</v>
      </c>
      <c r="H2536" s="56">
        <v>0</v>
      </c>
      <c r="I2536" s="13">
        <f t="shared" si="196"/>
        <v>5.6200000000000045</v>
      </c>
      <c r="J2536" s="14">
        <f t="shared" si="198"/>
        <v>0.70250000000000057</v>
      </c>
      <c r="K2536" s="56">
        <v>1.88</v>
      </c>
      <c r="L2536" s="15">
        <f t="shared" si="199"/>
        <v>0</v>
      </c>
      <c r="M2536" s="16">
        <f t="shared" si="200"/>
        <v>159.022244</v>
      </c>
      <c r="N2536" s="17">
        <f t="shared" si="203"/>
        <v>1.88</v>
      </c>
      <c r="O2536" s="17">
        <f t="shared" si="201"/>
        <v>1504</v>
      </c>
      <c r="P2536" s="18">
        <f t="shared" si="202"/>
        <v>127217.79519999999</v>
      </c>
    </row>
    <row r="2537" spans="2:16" ht="12.75">
      <c r="B2537" s="10">
        <v>46196</v>
      </c>
      <c r="C2537" s="11">
        <f>VLOOKUP(B:B,'Курс валют'!A:D,4,0)</f>
        <v>84.586299999999994</v>
      </c>
      <c r="D2537" s="57" t="s">
        <v>415</v>
      </c>
      <c r="E2537" s="50" t="s">
        <v>50</v>
      </c>
      <c r="F2537" s="58">
        <v>800</v>
      </c>
      <c r="G2537" s="13">
        <v>805.62</v>
      </c>
      <c r="H2537" s="56">
        <v>0</v>
      </c>
      <c r="I2537" s="13">
        <f t="shared" si="196"/>
        <v>5.6200000000000045</v>
      </c>
      <c r="J2537" s="14">
        <f t="shared" si="198"/>
        <v>0.70250000000000057</v>
      </c>
      <c r="K2537" s="56">
        <v>1.88</v>
      </c>
      <c r="L2537" s="15">
        <f t="shared" si="199"/>
        <v>0</v>
      </c>
      <c r="M2537" s="16">
        <f t="shared" si="200"/>
        <v>159.022244</v>
      </c>
      <c r="N2537" s="17">
        <f t="shared" si="203"/>
        <v>1.88</v>
      </c>
      <c r="O2537" s="17">
        <f t="shared" si="201"/>
        <v>1504</v>
      </c>
      <c r="P2537" s="18">
        <f t="shared" si="202"/>
        <v>127217.79519999999</v>
      </c>
    </row>
    <row r="2538" spans="2:16" ht="12.75">
      <c r="B2538" s="10">
        <v>46197</v>
      </c>
      <c r="C2538" s="11">
        <f>VLOOKUP(B:B,'Курс валют'!A:D,4,0)</f>
        <v>85.484700000000004</v>
      </c>
      <c r="D2538" s="57" t="s">
        <v>416</v>
      </c>
      <c r="E2538" s="50" t="s">
        <v>50</v>
      </c>
      <c r="F2538" s="58">
        <v>800</v>
      </c>
      <c r="G2538" s="13">
        <v>805.62</v>
      </c>
      <c r="H2538" s="56">
        <v>0</v>
      </c>
      <c r="I2538" s="13">
        <f t="shared" si="196"/>
        <v>5.6200000000000045</v>
      </c>
      <c r="J2538" s="14">
        <f t="shared" si="198"/>
        <v>0.70250000000000057</v>
      </c>
      <c r="K2538" s="56">
        <v>1.89</v>
      </c>
      <c r="L2538" s="15">
        <f t="shared" si="199"/>
        <v>0</v>
      </c>
      <c r="M2538" s="16">
        <f t="shared" si="200"/>
        <v>161.56608299999999</v>
      </c>
      <c r="N2538" s="17">
        <f t="shared" si="203"/>
        <v>1.89</v>
      </c>
      <c r="O2538" s="17">
        <f t="shared" si="201"/>
        <v>1512</v>
      </c>
      <c r="P2538" s="18">
        <f t="shared" si="202"/>
        <v>129252.8664</v>
      </c>
    </row>
    <row r="2539" spans="2:16" ht="12.75">
      <c r="B2539" s="10">
        <v>46197</v>
      </c>
      <c r="C2539" s="11">
        <f>VLOOKUP(B:B,'Курс валют'!A:D,4,0)</f>
        <v>85.484700000000004</v>
      </c>
      <c r="D2539" s="57" t="s">
        <v>417</v>
      </c>
      <c r="E2539" s="50" t="s">
        <v>50</v>
      </c>
      <c r="F2539" s="58">
        <v>800</v>
      </c>
      <c r="G2539" s="13">
        <v>805.62</v>
      </c>
      <c r="H2539" s="56">
        <v>0</v>
      </c>
      <c r="I2539" s="13">
        <f t="shared" si="196"/>
        <v>5.6200000000000045</v>
      </c>
      <c r="J2539" s="14">
        <f t="shared" si="198"/>
        <v>0.70250000000000057</v>
      </c>
      <c r="K2539" s="56">
        <v>1.88</v>
      </c>
      <c r="L2539" s="15">
        <f t="shared" si="199"/>
        <v>0</v>
      </c>
      <c r="M2539" s="16">
        <f t="shared" si="200"/>
        <v>160.71123600000001</v>
      </c>
      <c r="N2539" s="17">
        <f>(F2539*K2539-H2539*29.4)/F2539</f>
        <v>1.88</v>
      </c>
      <c r="O2539" s="17">
        <f t="shared" si="201"/>
        <v>1504</v>
      </c>
      <c r="P2539" s="18">
        <f t="shared" si="202"/>
        <v>128568.98880000001</v>
      </c>
    </row>
    <row r="2540" spans="2:16" ht="12.75">
      <c r="B2540" s="10">
        <v>46197</v>
      </c>
      <c r="C2540" s="11">
        <f>VLOOKUP(B:B,'Курс валют'!A:D,4,0)</f>
        <v>85.484700000000004</v>
      </c>
      <c r="D2540" s="57" t="s">
        <v>418</v>
      </c>
      <c r="E2540" s="50" t="s">
        <v>50</v>
      </c>
      <c r="F2540" s="58">
        <v>800</v>
      </c>
      <c r="G2540" s="13">
        <v>805.62</v>
      </c>
      <c r="H2540" s="56">
        <v>0</v>
      </c>
      <c r="I2540" s="13">
        <f t="shared" si="196"/>
        <v>5.6200000000000045</v>
      </c>
      <c r="J2540" s="14">
        <f t="shared" si="198"/>
        <v>0.70250000000000057</v>
      </c>
      <c r="K2540" s="56">
        <v>1.88</v>
      </c>
      <c r="L2540" s="15">
        <f t="shared" si="199"/>
        <v>0</v>
      </c>
      <c r="M2540" s="16">
        <f t="shared" si="200"/>
        <v>160.71123600000001</v>
      </c>
      <c r="N2540" s="17">
        <f t="shared" ref="N2540:N2596" si="204">(F2540*K2540-H2540*3.04)/F2540</f>
        <v>1.88</v>
      </c>
      <c r="O2540" s="17">
        <f t="shared" si="201"/>
        <v>1504</v>
      </c>
      <c r="P2540" s="18">
        <f t="shared" si="202"/>
        <v>128568.98880000001</v>
      </c>
    </row>
    <row r="2541" spans="2:16" ht="12.75">
      <c r="B2541" s="10">
        <v>46197</v>
      </c>
      <c r="C2541" s="11">
        <f>VLOOKUP(B:B,'Курс валют'!A:D,4,0)</f>
        <v>85.484700000000004</v>
      </c>
      <c r="D2541" s="57" t="s">
        <v>419</v>
      </c>
      <c r="E2541" s="50" t="s">
        <v>50</v>
      </c>
      <c r="F2541" s="58">
        <v>800</v>
      </c>
      <c r="G2541" s="13">
        <v>805.62</v>
      </c>
      <c r="H2541" s="56">
        <v>0</v>
      </c>
      <c r="I2541" s="13">
        <f t="shared" si="196"/>
        <v>5.6200000000000045</v>
      </c>
      <c r="J2541" s="14">
        <f t="shared" si="198"/>
        <v>0.70250000000000057</v>
      </c>
      <c r="K2541" s="56">
        <v>1.89</v>
      </c>
      <c r="L2541" s="15">
        <f t="shared" si="199"/>
        <v>0</v>
      </c>
      <c r="M2541" s="16">
        <f t="shared" si="200"/>
        <v>161.56608299999999</v>
      </c>
      <c r="N2541" s="17">
        <f t="shared" si="204"/>
        <v>1.89</v>
      </c>
      <c r="O2541" s="17">
        <f t="shared" si="201"/>
        <v>1512</v>
      </c>
      <c r="P2541" s="18">
        <f t="shared" si="202"/>
        <v>129252.8664</v>
      </c>
    </row>
    <row r="2542" spans="2:16" ht="12.75">
      <c r="B2542" s="10">
        <v>46197</v>
      </c>
      <c r="C2542" s="11">
        <f>VLOOKUP(B:B,'Курс валют'!A:D,4,0)</f>
        <v>85.484700000000004</v>
      </c>
      <c r="D2542" s="57" t="s">
        <v>420</v>
      </c>
      <c r="E2542" s="50" t="s">
        <v>50</v>
      </c>
      <c r="F2542" s="58">
        <v>800</v>
      </c>
      <c r="G2542" s="13">
        <v>805.62</v>
      </c>
      <c r="H2542" s="56">
        <v>0</v>
      </c>
      <c r="I2542" s="13">
        <f t="shared" si="196"/>
        <v>5.6200000000000045</v>
      </c>
      <c r="J2542" s="14">
        <f t="shared" si="198"/>
        <v>0.70250000000000057</v>
      </c>
      <c r="K2542" s="56">
        <v>1.89</v>
      </c>
      <c r="L2542" s="15">
        <f t="shared" si="199"/>
        <v>0</v>
      </c>
      <c r="M2542" s="16">
        <f t="shared" si="200"/>
        <v>161.56608299999999</v>
      </c>
      <c r="N2542" s="17">
        <f t="shared" si="204"/>
        <v>1.89</v>
      </c>
      <c r="O2542" s="17">
        <f t="shared" si="201"/>
        <v>1512</v>
      </c>
      <c r="P2542" s="18">
        <f t="shared" si="202"/>
        <v>129252.8664</v>
      </c>
    </row>
    <row r="2543" spans="2:16" ht="12.75">
      <c r="B2543" s="10">
        <v>46197</v>
      </c>
      <c r="C2543" s="11">
        <f>VLOOKUP(B:B,'Курс валют'!A:D,4,0)</f>
        <v>85.484700000000004</v>
      </c>
      <c r="D2543" s="57" t="s">
        <v>421</v>
      </c>
      <c r="E2543" s="50" t="s">
        <v>50</v>
      </c>
      <c r="F2543" s="58">
        <v>800</v>
      </c>
      <c r="G2543" s="13">
        <v>805.62</v>
      </c>
      <c r="H2543" s="56">
        <v>0</v>
      </c>
      <c r="I2543" s="13">
        <f t="shared" si="196"/>
        <v>5.6200000000000045</v>
      </c>
      <c r="J2543" s="14">
        <f t="shared" si="198"/>
        <v>0.70250000000000057</v>
      </c>
      <c r="K2543" s="56">
        <v>1.88</v>
      </c>
      <c r="L2543" s="15">
        <f t="shared" si="199"/>
        <v>0</v>
      </c>
      <c r="M2543" s="16">
        <f t="shared" si="200"/>
        <v>160.71123600000001</v>
      </c>
      <c r="N2543" s="17">
        <f t="shared" si="204"/>
        <v>1.88</v>
      </c>
      <c r="O2543" s="17">
        <f t="shared" si="201"/>
        <v>1504</v>
      </c>
      <c r="P2543" s="18">
        <f t="shared" si="202"/>
        <v>128568.98880000001</v>
      </c>
    </row>
    <row r="2544" spans="2:16" ht="12.75">
      <c r="B2544" s="10">
        <v>46197</v>
      </c>
      <c r="C2544" s="11">
        <f>VLOOKUP(B:B,'Курс валют'!A:D,4,0)</f>
        <v>85.484700000000004</v>
      </c>
      <c r="D2544" s="57" t="s">
        <v>422</v>
      </c>
      <c r="E2544" s="50" t="s">
        <v>50</v>
      </c>
      <c r="F2544" s="58">
        <v>800</v>
      </c>
      <c r="G2544" s="13">
        <v>805.62</v>
      </c>
      <c r="H2544" s="56">
        <v>0</v>
      </c>
      <c r="I2544" s="13">
        <f t="shared" si="196"/>
        <v>5.6200000000000045</v>
      </c>
      <c r="J2544" s="14">
        <f t="shared" si="198"/>
        <v>0.70250000000000057</v>
      </c>
      <c r="K2544" s="56">
        <v>1.88</v>
      </c>
      <c r="L2544" s="15">
        <f t="shared" si="199"/>
        <v>0</v>
      </c>
      <c r="M2544" s="16">
        <f t="shared" si="200"/>
        <v>160.71123600000001</v>
      </c>
      <c r="N2544" s="17">
        <f t="shared" si="204"/>
        <v>1.88</v>
      </c>
      <c r="O2544" s="17">
        <f t="shared" si="201"/>
        <v>1504</v>
      </c>
      <c r="P2544" s="18">
        <f t="shared" si="202"/>
        <v>128568.98880000001</v>
      </c>
    </row>
    <row r="2545" spans="2:18" ht="12.75">
      <c r="B2545" s="10">
        <v>46197</v>
      </c>
      <c r="C2545" s="11">
        <f>VLOOKUP(B:B,'Курс валют'!A:D,4,0)</f>
        <v>85.484700000000004</v>
      </c>
      <c r="D2545" s="57" t="s">
        <v>423</v>
      </c>
      <c r="E2545" s="50" t="s">
        <v>79</v>
      </c>
      <c r="F2545" s="58">
        <v>1240</v>
      </c>
      <c r="G2545" s="13">
        <v>1240</v>
      </c>
      <c r="H2545" s="56">
        <v>0</v>
      </c>
      <c r="I2545" s="13">
        <f t="shared" si="196"/>
        <v>0</v>
      </c>
      <c r="J2545" s="14">
        <f t="shared" si="198"/>
        <v>0</v>
      </c>
      <c r="K2545" s="56">
        <v>2.61</v>
      </c>
      <c r="L2545" s="15">
        <f t="shared" si="199"/>
        <v>0</v>
      </c>
      <c r="M2545" s="16">
        <f t="shared" si="200"/>
        <v>223.11506699999998</v>
      </c>
      <c r="N2545" s="17">
        <f t="shared" si="204"/>
        <v>2.61</v>
      </c>
      <c r="O2545" s="17">
        <f t="shared" si="201"/>
        <v>3236.3999999999996</v>
      </c>
      <c r="P2545" s="18">
        <f t="shared" si="202"/>
        <v>276662.68307999999</v>
      </c>
      <c r="R2545" s="33" t="s">
        <v>424</v>
      </c>
    </row>
    <row r="2546" spans="2:18" ht="12.75">
      <c r="B2546" s="10">
        <v>46197</v>
      </c>
      <c r="C2546" s="11">
        <f>VLOOKUP(B:B,'Курс валют'!A:D,4,0)</f>
        <v>85.484700000000004</v>
      </c>
      <c r="D2546" s="57" t="s">
        <v>425</v>
      </c>
      <c r="E2546" s="50" t="s">
        <v>50</v>
      </c>
      <c r="F2546" s="58">
        <v>800</v>
      </c>
      <c r="G2546" s="13">
        <v>805.62</v>
      </c>
      <c r="H2546" s="56">
        <v>0</v>
      </c>
      <c r="I2546" s="13">
        <f t="shared" si="196"/>
        <v>5.6200000000000045</v>
      </c>
      <c r="J2546" s="14">
        <f t="shared" si="198"/>
        <v>0.70250000000000057</v>
      </c>
      <c r="K2546" s="56">
        <v>1.89</v>
      </c>
      <c r="L2546" s="15">
        <f t="shared" si="199"/>
        <v>0</v>
      </c>
      <c r="M2546" s="16">
        <f t="shared" si="200"/>
        <v>161.56608299999999</v>
      </c>
      <c r="N2546" s="17">
        <f t="shared" si="204"/>
        <v>1.89</v>
      </c>
      <c r="O2546" s="17">
        <f t="shared" si="201"/>
        <v>1512</v>
      </c>
      <c r="P2546" s="18">
        <f t="shared" si="202"/>
        <v>129252.8664</v>
      </c>
    </row>
    <row r="2547" spans="2:18" ht="12.75">
      <c r="B2547" s="10">
        <v>46197</v>
      </c>
      <c r="C2547" s="11">
        <f>VLOOKUP(B:B,'Курс валют'!A:D,4,0)</f>
        <v>85.484700000000004</v>
      </c>
      <c r="D2547" s="57" t="s">
        <v>426</v>
      </c>
      <c r="E2547" s="50" t="s">
        <v>50</v>
      </c>
      <c r="F2547" s="58">
        <v>800</v>
      </c>
      <c r="G2547" s="13">
        <v>805.62</v>
      </c>
      <c r="H2547" s="56">
        <v>0</v>
      </c>
      <c r="I2547" s="13">
        <f t="shared" si="196"/>
        <v>5.6200000000000045</v>
      </c>
      <c r="J2547" s="14">
        <f t="shared" si="198"/>
        <v>0.70250000000000057</v>
      </c>
      <c r="K2547" s="56">
        <v>1.88</v>
      </c>
      <c r="L2547" s="15">
        <f t="shared" si="199"/>
        <v>0</v>
      </c>
      <c r="M2547" s="16">
        <f t="shared" si="200"/>
        <v>160.71123600000001</v>
      </c>
      <c r="N2547" s="17">
        <f t="shared" si="204"/>
        <v>1.88</v>
      </c>
      <c r="O2547" s="17">
        <f t="shared" si="201"/>
        <v>1504</v>
      </c>
      <c r="P2547" s="18">
        <f t="shared" si="202"/>
        <v>128568.98880000001</v>
      </c>
    </row>
    <row r="2548" spans="2:18" ht="12.75">
      <c r="B2548" s="10">
        <v>46197</v>
      </c>
      <c r="C2548" s="11">
        <f>VLOOKUP(B:B,'Курс валют'!A:D,4,0)</f>
        <v>85.484700000000004</v>
      </c>
      <c r="D2548" s="57" t="s">
        <v>427</v>
      </c>
      <c r="E2548" s="50" t="s">
        <v>50</v>
      </c>
      <c r="F2548" s="58">
        <v>800</v>
      </c>
      <c r="G2548" s="13">
        <v>805.62</v>
      </c>
      <c r="H2548" s="56">
        <v>0</v>
      </c>
      <c r="I2548" s="13">
        <f t="shared" ref="I2548:I2596" si="205">G2548-F2548</f>
        <v>5.6200000000000045</v>
      </c>
      <c r="J2548" s="14">
        <f t="shared" si="198"/>
        <v>0.70250000000000057</v>
      </c>
      <c r="K2548" s="56">
        <v>1.88</v>
      </c>
      <c r="L2548" s="15">
        <f t="shared" si="199"/>
        <v>0</v>
      </c>
      <c r="M2548" s="16">
        <f t="shared" si="200"/>
        <v>160.71123600000001</v>
      </c>
      <c r="N2548" s="17">
        <f t="shared" si="204"/>
        <v>1.88</v>
      </c>
      <c r="O2548" s="17">
        <f t="shared" si="201"/>
        <v>1504</v>
      </c>
      <c r="P2548" s="18">
        <f t="shared" si="202"/>
        <v>128568.98880000001</v>
      </c>
    </row>
    <row r="2549" spans="2:18" ht="12.75">
      <c r="B2549" s="10">
        <v>46197</v>
      </c>
      <c r="C2549" s="11">
        <f>VLOOKUP(B:B,'Курс валют'!A:D,4,0)</f>
        <v>85.484700000000004</v>
      </c>
      <c r="D2549" s="57" t="s">
        <v>428</v>
      </c>
      <c r="E2549" s="50" t="s">
        <v>92</v>
      </c>
      <c r="F2549" s="58">
        <v>20</v>
      </c>
      <c r="G2549" s="13">
        <v>20</v>
      </c>
      <c r="H2549" s="56">
        <v>0</v>
      </c>
      <c r="I2549" s="13">
        <f t="shared" si="205"/>
        <v>0</v>
      </c>
      <c r="J2549" s="14">
        <f t="shared" si="198"/>
        <v>0</v>
      </c>
      <c r="K2549" s="56">
        <v>2.4</v>
      </c>
      <c r="L2549" s="15">
        <f t="shared" si="199"/>
        <v>0</v>
      </c>
      <c r="M2549" s="16">
        <f t="shared" si="200"/>
        <v>205.16328000000004</v>
      </c>
      <c r="N2549" s="17">
        <f t="shared" si="204"/>
        <v>2.4</v>
      </c>
      <c r="O2549" s="17">
        <f t="shared" si="201"/>
        <v>48</v>
      </c>
      <c r="P2549" s="18">
        <f t="shared" si="202"/>
        <v>4103.2656000000006</v>
      </c>
      <c r="R2549" s="33" t="s">
        <v>429</v>
      </c>
    </row>
    <row r="2550" spans="2:18" ht="12.75">
      <c r="B2550" s="10">
        <v>46197</v>
      </c>
      <c r="C2550" s="11">
        <f>VLOOKUP(B:B,'Курс валют'!A:D,4,0)</f>
        <v>85.484700000000004</v>
      </c>
      <c r="D2550" s="57" t="s">
        <v>430</v>
      </c>
      <c r="E2550" s="50" t="s">
        <v>92</v>
      </c>
      <c r="F2550" s="58">
        <v>20</v>
      </c>
      <c r="G2550" s="13">
        <v>20</v>
      </c>
      <c r="H2550" s="56">
        <v>0</v>
      </c>
      <c r="I2550" s="13">
        <f t="shared" si="205"/>
        <v>0</v>
      </c>
      <c r="J2550" s="14">
        <f t="shared" si="198"/>
        <v>0</v>
      </c>
      <c r="K2550" s="56">
        <v>2.4</v>
      </c>
      <c r="L2550" s="15">
        <f t="shared" si="199"/>
        <v>0</v>
      </c>
      <c r="M2550" s="16">
        <f t="shared" si="200"/>
        <v>205.16328000000004</v>
      </c>
      <c r="N2550" s="17">
        <f t="shared" si="204"/>
        <v>2.4</v>
      </c>
      <c r="O2550" s="17">
        <f t="shared" si="201"/>
        <v>48</v>
      </c>
      <c r="P2550" s="18">
        <f t="shared" si="202"/>
        <v>4103.2656000000006</v>
      </c>
      <c r="R2550" s="33" t="s">
        <v>429</v>
      </c>
    </row>
    <row r="2551" spans="2:18" ht="12.75">
      <c r="B2551" s="10">
        <v>46198</v>
      </c>
      <c r="C2551" s="11">
        <f>VLOOKUP(B:B,'Курс валют'!A:D,4,0)</f>
        <v>85.182299999999998</v>
      </c>
      <c r="D2551" s="57" t="s">
        <v>431</v>
      </c>
      <c r="E2551" s="50" t="s">
        <v>432</v>
      </c>
      <c r="F2551" s="58">
        <v>927.2</v>
      </c>
      <c r="G2551" s="13">
        <v>951.5</v>
      </c>
      <c r="H2551" s="56">
        <v>0</v>
      </c>
      <c r="I2551" s="13">
        <f t="shared" si="205"/>
        <v>24.299999999999955</v>
      </c>
      <c r="J2551" s="14">
        <f t="shared" si="198"/>
        <v>2.6207937877480538</v>
      </c>
      <c r="K2551" s="56">
        <v>1.85</v>
      </c>
      <c r="L2551" s="15">
        <f t="shared" si="199"/>
        <v>0</v>
      </c>
      <c r="M2551" s="16">
        <f t="shared" si="200"/>
        <v>157.58725500000003</v>
      </c>
      <c r="N2551" s="17">
        <f t="shared" si="204"/>
        <v>1.85</v>
      </c>
      <c r="O2551" s="17">
        <f t="shared" si="201"/>
        <v>1715.3200000000002</v>
      </c>
      <c r="P2551" s="18">
        <f t="shared" si="202"/>
        <v>146114.90283600002</v>
      </c>
      <c r="R2551" s="33" t="s">
        <v>433</v>
      </c>
    </row>
    <row r="2552" spans="2:18" ht="12.75">
      <c r="B2552" s="10">
        <v>46198</v>
      </c>
      <c r="C2552" s="11">
        <f>VLOOKUP(B:B,'Курс валют'!A:D,4,0)</f>
        <v>85.182299999999998</v>
      </c>
      <c r="D2552" s="57" t="s">
        <v>434</v>
      </c>
      <c r="E2552" s="50" t="s">
        <v>51</v>
      </c>
      <c r="F2552" s="58">
        <v>800</v>
      </c>
      <c r="G2552" s="13">
        <v>807.54</v>
      </c>
      <c r="H2552" s="56">
        <v>0</v>
      </c>
      <c r="I2552" s="13">
        <f t="shared" si="205"/>
        <v>7.5399999999999636</v>
      </c>
      <c r="J2552" s="14">
        <f t="shared" si="198"/>
        <v>0.94249999999999545</v>
      </c>
      <c r="K2552" s="56">
        <v>1.92</v>
      </c>
      <c r="L2552" s="15">
        <f t="shared" si="199"/>
        <v>0</v>
      </c>
      <c r="M2552" s="16">
        <f t="shared" si="200"/>
        <v>163.550016</v>
      </c>
      <c r="N2552" s="17">
        <f t="shared" si="204"/>
        <v>1.92</v>
      </c>
      <c r="O2552" s="17">
        <f t="shared" si="201"/>
        <v>1536</v>
      </c>
      <c r="P2552" s="18">
        <f t="shared" si="202"/>
        <v>130840.0128</v>
      </c>
    </row>
    <row r="2553" spans="2:18" ht="12.75">
      <c r="B2553" s="10">
        <v>46198</v>
      </c>
      <c r="C2553" s="11">
        <f>VLOOKUP(B:B,'Курс валют'!A:D,4,0)</f>
        <v>85.182299999999998</v>
      </c>
      <c r="D2553" s="57" t="s">
        <v>435</v>
      </c>
      <c r="E2553" s="50" t="s">
        <v>51</v>
      </c>
      <c r="F2553" s="58">
        <v>800</v>
      </c>
      <c r="G2553" s="13">
        <v>807.54</v>
      </c>
      <c r="H2553" s="56">
        <v>0</v>
      </c>
      <c r="I2553" s="13">
        <f t="shared" si="205"/>
        <v>7.5399999999999636</v>
      </c>
      <c r="J2553" s="14">
        <f t="shared" si="198"/>
        <v>0.94249999999999545</v>
      </c>
      <c r="K2553" s="56">
        <v>1.91</v>
      </c>
      <c r="L2553" s="15">
        <f t="shared" si="199"/>
        <v>0</v>
      </c>
      <c r="M2553" s="16">
        <f t="shared" si="200"/>
        <v>162.698193</v>
      </c>
      <c r="N2553" s="17">
        <f t="shared" si="204"/>
        <v>1.91</v>
      </c>
      <c r="O2553" s="17">
        <f t="shared" si="201"/>
        <v>1528</v>
      </c>
      <c r="P2553" s="18">
        <f t="shared" si="202"/>
        <v>130158.55439999999</v>
      </c>
    </row>
    <row r="2554" spans="2:18" ht="12.75">
      <c r="B2554" s="10">
        <v>46198</v>
      </c>
      <c r="C2554" s="11">
        <f>VLOOKUP(B:B,'Курс валют'!A:D,4,0)</f>
        <v>85.182299999999998</v>
      </c>
      <c r="D2554" s="57" t="s">
        <v>436</v>
      </c>
      <c r="E2554" s="50" t="s">
        <v>51</v>
      </c>
      <c r="F2554" s="58">
        <v>800</v>
      </c>
      <c r="G2554" s="13">
        <v>807.54</v>
      </c>
      <c r="H2554" s="56">
        <v>0</v>
      </c>
      <c r="I2554" s="13">
        <f t="shared" si="205"/>
        <v>7.5399999999999636</v>
      </c>
      <c r="J2554" s="14">
        <f t="shared" si="198"/>
        <v>0.94249999999999545</v>
      </c>
      <c r="K2554" s="56">
        <v>1.91</v>
      </c>
      <c r="L2554" s="15">
        <f t="shared" si="199"/>
        <v>0</v>
      </c>
      <c r="M2554" s="16">
        <f t="shared" si="200"/>
        <v>162.698193</v>
      </c>
      <c r="N2554" s="17">
        <f t="shared" si="204"/>
        <v>1.91</v>
      </c>
      <c r="O2554" s="17">
        <f t="shared" si="201"/>
        <v>1528</v>
      </c>
      <c r="P2554" s="18">
        <f t="shared" si="202"/>
        <v>130158.55439999999</v>
      </c>
    </row>
    <row r="2555" spans="2:18" ht="12.75">
      <c r="B2555" s="10">
        <v>46198</v>
      </c>
      <c r="C2555" s="11">
        <f>VLOOKUP(B:B,'Курс валют'!A:D,4,0)</f>
        <v>85.182299999999998</v>
      </c>
      <c r="D2555" s="57" t="s">
        <v>437</v>
      </c>
      <c r="E2555" s="50" t="s">
        <v>51</v>
      </c>
      <c r="F2555" s="58">
        <v>800</v>
      </c>
      <c r="G2555" s="13">
        <v>807.54</v>
      </c>
      <c r="H2555" s="56">
        <v>0</v>
      </c>
      <c r="I2555" s="13">
        <f t="shared" si="205"/>
        <v>7.5399999999999636</v>
      </c>
      <c r="J2555" s="14">
        <f t="shared" si="198"/>
        <v>0.94249999999999545</v>
      </c>
      <c r="K2555" s="56">
        <v>1.9</v>
      </c>
      <c r="L2555" s="15">
        <f t="shared" si="199"/>
        <v>0</v>
      </c>
      <c r="M2555" s="16">
        <f t="shared" si="200"/>
        <v>161.84636999999998</v>
      </c>
      <c r="N2555" s="17">
        <f t="shared" si="204"/>
        <v>1.9</v>
      </c>
      <c r="O2555" s="17">
        <f t="shared" si="201"/>
        <v>1520</v>
      </c>
      <c r="P2555" s="18">
        <f t="shared" si="202"/>
        <v>129477.09599999999</v>
      </c>
    </row>
    <row r="2556" spans="2:18" ht="12.75">
      <c r="B2556" s="10">
        <v>46198</v>
      </c>
      <c r="C2556" s="11">
        <f>VLOOKUP(B:B,'Курс валют'!A:D,4,0)</f>
        <v>85.182299999999998</v>
      </c>
      <c r="D2556" s="57" t="s">
        <v>438</v>
      </c>
      <c r="E2556" s="50" t="s">
        <v>51</v>
      </c>
      <c r="F2556" s="58">
        <v>800</v>
      </c>
      <c r="G2556" s="13">
        <v>807.54</v>
      </c>
      <c r="H2556" s="56">
        <v>0</v>
      </c>
      <c r="I2556" s="13">
        <f t="shared" si="205"/>
        <v>7.5399999999999636</v>
      </c>
      <c r="J2556" s="14">
        <f t="shared" si="198"/>
        <v>0.94249999999999545</v>
      </c>
      <c r="K2556" s="56">
        <v>1.9</v>
      </c>
      <c r="L2556" s="15">
        <f t="shared" si="199"/>
        <v>0</v>
      </c>
      <c r="M2556" s="16">
        <f t="shared" si="200"/>
        <v>161.84636999999998</v>
      </c>
      <c r="N2556" s="17">
        <f t="shared" si="204"/>
        <v>1.9</v>
      </c>
      <c r="O2556" s="17">
        <f t="shared" si="201"/>
        <v>1520</v>
      </c>
      <c r="P2556" s="18">
        <f t="shared" si="202"/>
        <v>129477.09599999999</v>
      </c>
    </row>
    <row r="2557" spans="2:18" ht="12.75">
      <c r="B2557" s="10">
        <v>46198</v>
      </c>
      <c r="C2557" s="11">
        <f>VLOOKUP(B:B,'Курс валют'!A:D,4,0)</f>
        <v>85.182299999999998</v>
      </c>
      <c r="D2557" s="57" t="s">
        <v>439</v>
      </c>
      <c r="E2557" s="50" t="s">
        <v>15</v>
      </c>
      <c r="F2557" s="58">
        <v>1100</v>
      </c>
      <c r="G2557" s="13">
        <v>1117.5</v>
      </c>
      <c r="H2557" s="56">
        <v>0</v>
      </c>
      <c r="I2557" s="13">
        <f t="shared" si="205"/>
        <v>17.5</v>
      </c>
      <c r="J2557" s="14">
        <f t="shared" si="198"/>
        <v>1.5909090909090908</v>
      </c>
      <c r="K2557" s="56">
        <v>2.4</v>
      </c>
      <c r="L2557" s="15">
        <f t="shared" si="199"/>
        <v>0</v>
      </c>
      <c r="M2557" s="16">
        <f t="shared" si="200"/>
        <v>204.43752000000001</v>
      </c>
      <c r="N2557" s="17">
        <f t="shared" si="204"/>
        <v>2.4</v>
      </c>
      <c r="O2557" s="17">
        <f t="shared" si="201"/>
        <v>2640</v>
      </c>
      <c r="P2557" s="18">
        <f t="shared" si="202"/>
        <v>224881.272</v>
      </c>
      <c r="R2557" s="33" t="s">
        <v>440</v>
      </c>
    </row>
    <row r="2558" spans="2:18" ht="12.75">
      <c r="B2558" s="10">
        <v>46198</v>
      </c>
      <c r="C2558" s="11">
        <f>VLOOKUP(B:B,'Курс валют'!A:D,4,0)</f>
        <v>85.182299999999998</v>
      </c>
      <c r="D2558" s="57" t="s">
        <v>441</v>
      </c>
      <c r="E2558" s="50" t="s">
        <v>51</v>
      </c>
      <c r="F2558" s="58">
        <v>800</v>
      </c>
      <c r="G2558" s="13">
        <v>807.54</v>
      </c>
      <c r="H2558" s="56">
        <v>0</v>
      </c>
      <c r="I2558" s="13">
        <f t="shared" si="205"/>
        <v>7.5399999999999636</v>
      </c>
      <c r="J2558" s="14">
        <f t="shared" si="198"/>
        <v>0.94249999999999545</v>
      </c>
      <c r="K2558" s="56">
        <v>1.91</v>
      </c>
      <c r="L2558" s="15">
        <f t="shared" si="199"/>
        <v>0</v>
      </c>
      <c r="M2558" s="16">
        <f t="shared" si="200"/>
        <v>162.698193</v>
      </c>
      <c r="N2558" s="17">
        <f t="shared" si="204"/>
        <v>1.91</v>
      </c>
      <c r="O2558" s="17">
        <f t="shared" si="201"/>
        <v>1528</v>
      </c>
      <c r="P2558" s="18">
        <f t="shared" si="202"/>
        <v>130158.55439999999</v>
      </c>
    </row>
    <row r="2559" spans="2:18" ht="12.75">
      <c r="B2559" s="10">
        <v>46198</v>
      </c>
      <c r="C2559" s="11">
        <f>VLOOKUP(B:B,'Курс валют'!A:D,4,0)</f>
        <v>85.182299999999998</v>
      </c>
      <c r="D2559" s="57" t="s">
        <v>442</v>
      </c>
      <c r="E2559" s="50" t="s">
        <v>51</v>
      </c>
      <c r="F2559" s="58">
        <v>800</v>
      </c>
      <c r="G2559" s="13">
        <v>807.54</v>
      </c>
      <c r="H2559" s="56">
        <v>0</v>
      </c>
      <c r="I2559" s="13">
        <f t="shared" si="205"/>
        <v>7.5399999999999636</v>
      </c>
      <c r="J2559" s="14">
        <f t="shared" si="198"/>
        <v>0.94249999999999545</v>
      </c>
      <c r="K2559" s="56">
        <v>1.9</v>
      </c>
      <c r="L2559" s="15">
        <f t="shared" si="199"/>
        <v>0</v>
      </c>
      <c r="M2559" s="16">
        <f t="shared" si="200"/>
        <v>161.84636999999998</v>
      </c>
      <c r="N2559" s="17">
        <f t="shared" si="204"/>
        <v>1.9</v>
      </c>
      <c r="O2559" s="17">
        <f t="shared" si="201"/>
        <v>1520</v>
      </c>
      <c r="P2559" s="18">
        <f t="shared" si="202"/>
        <v>129477.09599999999</v>
      </c>
    </row>
    <row r="2560" spans="2:18" ht="12.75">
      <c r="B2560" s="10">
        <v>46198</v>
      </c>
      <c r="C2560" s="11">
        <f>VLOOKUP(B:B,'Курс валют'!A:D,4,0)</f>
        <v>85.182299999999998</v>
      </c>
      <c r="D2560" s="57" t="s">
        <v>443</v>
      </c>
      <c r="E2560" s="50" t="s">
        <v>51</v>
      </c>
      <c r="F2560" s="58">
        <v>800</v>
      </c>
      <c r="G2560" s="13">
        <v>807.54</v>
      </c>
      <c r="H2560" s="56">
        <v>0</v>
      </c>
      <c r="I2560" s="13">
        <f t="shared" si="205"/>
        <v>7.5399999999999636</v>
      </c>
      <c r="J2560" s="14">
        <f t="shared" si="198"/>
        <v>0.94249999999999545</v>
      </c>
      <c r="K2560" s="56">
        <v>1.9</v>
      </c>
      <c r="L2560" s="15">
        <f t="shared" si="199"/>
        <v>0</v>
      </c>
      <c r="M2560" s="16">
        <f t="shared" si="200"/>
        <v>161.84636999999998</v>
      </c>
      <c r="N2560" s="17">
        <f t="shared" si="204"/>
        <v>1.9</v>
      </c>
      <c r="O2560" s="17">
        <f t="shared" si="201"/>
        <v>1520</v>
      </c>
      <c r="P2560" s="18">
        <f t="shared" si="202"/>
        <v>129477.09599999999</v>
      </c>
    </row>
    <row r="2561" spans="2:18" ht="12.75">
      <c r="B2561" s="10">
        <v>46198</v>
      </c>
      <c r="C2561" s="11">
        <f>VLOOKUP(B:B,'Курс валют'!A:D,4,0)</f>
        <v>85.182299999999998</v>
      </c>
      <c r="D2561" s="57" t="s">
        <v>444</v>
      </c>
      <c r="E2561" s="50" t="s">
        <v>15</v>
      </c>
      <c r="F2561" s="58">
        <v>220</v>
      </c>
      <c r="G2561" s="13">
        <v>222</v>
      </c>
      <c r="H2561" s="56">
        <v>0</v>
      </c>
      <c r="I2561" s="13">
        <f t="shared" si="205"/>
        <v>2</v>
      </c>
      <c r="J2561" s="14">
        <f t="shared" si="198"/>
        <v>0.90909090909090906</v>
      </c>
      <c r="K2561" s="56">
        <v>2.34</v>
      </c>
      <c r="L2561" s="15">
        <f t="shared" si="199"/>
        <v>0</v>
      </c>
      <c r="M2561" s="16">
        <f t="shared" si="200"/>
        <v>199.32658199999997</v>
      </c>
      <c r="N2561" s="17">
        <f t="shared" si="204"/>
        <v>2.34</v>
      </c>
      <c r="O2561" s="17">
        <f t="shared" si="201"/>
        <v>514.79999999999995</v>
      </c>
      <c r="P2561" s="18">
        <f t="shared" si="202"/>
        <v>43851.848039999997</v>
      </c>
      <c r="R2561" s="33" t="s">
        <v>445</v>
      </c>
    </row>
    <row r="2562" spans="2:18" ht="12.75">
      <c r="B2562" s="10">
        <v>46198</v>
      </c>
      <c r="C2562" s="11">
        <f>VLOOKUP(B:B,'Курс валют'!A:D,4,0)</f>
        <v>85.182299999999998</v>
      </c>
      <c r="D2562" s="57" t="s">
        <v>446</v>
      </c>
      <c r="E2562" s="50" t="s">
        <v>15</v>
      </c>
      <c r="F2562" s="58">
        <v>220</v>
      </c>
      <c r="G2562" s="13">
        <v>222</v>
      </c>
      <c r="H2562" s="56">
        <v>0</v>
      </c>
      <c r="I2562" s="13">
        <f t="shared" si="205"/>
        <v>2</v>
      </c>
      <c r="J2562" s="14">
        <f t="shared" si="198"/>
        <v>0.90909090909090906</v>
      </c>
      <c r="K2562" s="56">
        <v>2.34</v>
      </c>
      <c r="L2562" s="15">
        <f t="shared" si="199"/>
        <v>0</v>
      </c>
      <c r="M2562" s="16">
        <f t="shared" si="200"/>
        <v>199.32658199999997</v>
      </c>
      <c r="N2562" s="17">
        <f t="shared" si="204"/>
        <v>2.34</v>
      </c>
      <c r="O2562" s="17">
        <f t="shared" si="201"/>
        <v>514.79999999999995</v>
      </c>
      <c r="P2562" s="18">
        <f t="shared" si="202"/>
        <v>43851.848039999997</v>
      </c>
      <c r="R2562" s="33" t="s">
        <v>447</v>
      </c>
    </row>
    <row r="2563" spans="2:18" ht="12.75">
      <c r="B2563" s="10">
        <v>46198</v>
      </c>
      <c r="C2563" s="11">
        <f>VLOOKUP(B:B,'Курс валют'!A:D,4,0)</f>
        <v>85.182299999999998</v>
      </c>
      <c r="D2563" s="57" t="s">
        <v>448</v>
      </c>
      <c r="E2563" s="50" t="s">
        <v>15</v>
      </c>
      <c r="F2563" s="58">
        <v>220</v>
      </c>
      <c r="G2563" s="13">
        <v>223.1</v>
      </c>
      <c r="H2563" s="56">
        <v>0</v>
      </c>
      <c r="I2563" s="13">
        <f t="shared" si="205"/>
        <v>3.0999999999999943</v>
      </c>
      <c r="J2563" s="14">
        <f t="shared" si="198"/>
        <v>1.4090909090909065</v>
      </c>
      <c r="K2563" s="56">
        <v>2.35</v>
      </c>
      <c r="L2563" s="15">
        <f t="shared" si="199"/>
        <v>0</v>
      </c>
      <c r="M2563" s="16">
        <f t="shared" si="200"/>
        <v>200.178405</v>
      </c>
      <c r="N2563" s="17">
        <f t="shared" si="204"/>
        <v>2.35</v>
      </c>
      <c r="O2563" s="17">
        <f t="shared" si="201"/>
        <v>517</v>
      </c>
      <c r="P2563" s="18">
        <f t="shared" si="202"/>
        <v>44039.249100000001</v>
      </c>
      <c r="R2563" s="33" t="s">
        <v>449</v>
      </c>
    </row>
    <row r="2564" spans="2:18" ht="12.75">
      <c r="B2564" s="10">
        <v>46198</v>
      </c>
      <c r="C2564" s="11">
        <f>VLOOKUP(B:B,'Курс валют'!A:D,4,0)</f>
        <v>85.182299999999998</v>
      </c>
      <c r="D2564" s="57" t="s">
        <v>450</v>
      </c>
      <c r="E2564" s="50" t="s">
        <v>15</v>
      </c>
      <c r="F2564" s="58">
        <v>220</v>
      </c>
      <c r="G2564" s="13">
        <v>223.1</v>
      </c>
      <c r="H2564" s="56">
        <v>0</v>
      </c>
      <c r="I2564" s="13">
        <f t="shared" si="205"/>
        <v>3.0999999999999943</v>
      </c>
      <c r="J2564" s="14">
        <f t="shared" si="198"/>
        <v>1.4090909090909065</v>
      </c>
      <c r="K2564" s="56">
        <v>2.35</v>
      </c>
      <c r="L2564" s="15">
        <f t="shared" si="199"/>
        <v>0</v>
      </c>
      <c r="M2564" s="16">
        <f t="shared" si="200"/>
        <v>200.178405</v>
      </c>
      <c r="N2564" s="17">
        <f t="shared" si="204"/>
        <v>2.35</v>
      </c>
      <c r="O2564" s="17">
        <f t="shared" si="201"/>
        <v>517</v>
      </c>
      <c r="P2564" s="18">
        <f t="shared" si="202"/>
        <v>44039.249100000001</v>
      </c>
      <c r="R2564" s="33" t="s">
        <v>451</v>
      </c>
    </row>
    <row r="2565" spans="2:18" ht="12.75">
      <c r="B2565" s="10">
        <v>46198</v>
      </c>
      <c r="C2565" s="11">
        <f>VLOOKUP(B:B,'Курс валют'!A:D,4,0)</f>
        <v>85.182299999999998</v>
      </c>
      <c r="D2565" s="57" t="s">
        <v>452</v>
      </c>
      <c r="E2565" s="50" t="s">
        <v>51</v>
      </c>
      <c r="F2565" s="58">
        <v>800</v>
      </c>
      <c r="G2565" s="13">
        <v>807.54</v>
      </c>
      <c r="H2565" s="56">
        <v>0</v>
      </c>
      <c r="I2565" s="13">
        <f t="shared" si="205"/>
        <v>7.5399999999999636</v>
      </c>
      <c r="J2565" s="14">
        <f t="shared" si="198"/>
        <v>0.94249999999999545</v>
      </c>
      <c r="K2565" s="56">
        <v>1.9</v>
      </c>
      <c r="L2565" s="15">
        <f t="shared" si="199"/>
        <v>0</v>
      </c>
      <c r="M2565" s="16">
        <f t="shared" si="200"/>
        <v>161.84636999999998</v>
      </c>
      <c r="N2565" s="17">
        <f t="shared" si="204"/>
        <v>1.9</v>
      </c>
      <c r="O2565" s="17">
        <f t="shared" si="201"/>
        <v>1520</v>
      </c>
      <c r="P2565" s="18">
        <f t="shared" si="202"/>
        <v>129477.09599999999</v>
      </c>
    </row>
    <row r="2566" spans="2:18" ht="12.75">
      <c r="B2566" s="10">
        <v>46198</v>
      </c>
      <c r="C2566" s="11">
        <f>VLOOKUP(B:B,'Курс валют'!A:D,4,0)</f>
        <v>85.182299999999998</v>
      </c>
      <c r="D2566" s="57" t="s">
        <v>453</v>
      </c>
      <c r="E2566" s="50" t="s">
        <v>115</v>
      </c>
      <c r="F2566" s="58">
        <v>444</v>
      </c>
      <c r="G2566" s="58">
        <v>456.5</v>
      </c>
      <c r="H2566" s="56">
        <v>0</v>
      </c>
      <c r="I2566" s="58">
        <f t="shared" si="205"/>
        <v>12.5</v>
      </c>
      <c r="J2566" s="14">
        <f t="shared" si="198"/>
        <v>2.8153153153153152</v>
      </c>
      <c r="K2566" s="56">
        <v>1.74</v>
      </c>
      <c r="L2566" s="15">
        <f t="shared" si="199"/>
        <v>0</v>
      </c>
      <c r="M2566" s="16">
        <f t="shared" si="200"/>
        <v>148.21720199999999</v>
      </c>
      <c r="N2566" s="17">
        <f t="shared" si="204"/>
        <v>1.7399999999999998</v>
      </c>
      <c r="O2566" s="17">
        <f t="shared" si="201"/>
        <v>772.56</v>
      </c>
      <c r="P2566" s="18">
        <f t="shared" si="202"/>
        <v>65808.437687999991</v>
      </c>
    </row>
    <row r="2567" spans="2:18" ht="12.75">
      <c r="B2567" s="10">
        <v>46198</v>
      </c>
      <c r="C2567" s="11">
        <f>VLOOKUP(B:B,'Курс валют'!A:D,4,0)</f>
        <v>85.182299999999998</v>
      </c>
      <c r="D2567" s="57" t="s">
        <v>454</v>
      </c>
      <c r="E2567" s="50" t="s">
        <v>51</v>
      </c>
      <c r="F2567" s="58">
        <v>800</v>
      </c>
      <c r="G2567" s="13">
        <v>806.87</v>
      </c>
      <c r="H2567" s="56">
        <v>0</v>
      </c>
      <c r="I2567" s="13">
        <f t="shared" si="205"/>
        <v>6.8700000000000045</v>
      </c>
      <c r="J2567" s="14">
        <f t="shared" si="198"/>
        <v>0.85875000000000046</v>
      </c>
      <c r="K2567" s="56">
        <v>1.88</v>
      </c>
      <c r="L2567" s="15">
        <f t="shared" si="199"/>
        <v>0</v>
      </c>
      <c r="M2567" s="16">
        <f t="shared" si="200"/>
        <v>160.14272399999999</v>
      </c>
      <c r="N2567" s="17">
        <f t="shared" si="204"/>
        <v>1.88</v>
      </c>
      <c r="O2567" s="17">
        <f t="shared" si="201"/>
        <v>1504</v>
      </c>
      <c r="P2567" s="18">
        <f t="shared" si="202"/>
        <v>128114.1792</v>
      </c>
    </row>
    <row r="2568" spans="2:18" ht="12.75">
      <c r="B2568" s="10">
        <v>46199</v>
      </c>
      <c r="C2568" s="11">
        <f>VLOOKUP(B:B,'Курс валют'!A:D,4,0)</f>
        <v>85.7697</v>
      </c>
      <c r="D2568" s="57" t="s">
        <v>455</v>
      </c>
      <c r="E2568" s="50" t="s">
        <v>15</v>
      </c>
      <c r="F2568" s="58">
        <v>1100</v>
      </c>
      <c r="G2568" s="13">
        <v>1119.5</v>
      </c>
      <c r="H2568" s="56">
        <v>0</v>
      </c>
      <c r="I2568" s="13">
        <f t="shared" si="205"/>
        <v>19.5</v>
      </c>
      <c r="J2568" s="14">
        <f t="shared" si="198"/>
        <v>1.7727272727272727</v>
      </c>
      <c r="K2568" s="56">
        <v>2.4</v>
      </c>
      <c r="L2568" s="15">
        <f t="shared" si="199"/>
        <v>0</v>
      </c>
      <c r="M2568" s="16">
        <f t="shared" si="200"/>
        <v>205.84728000000001</v>
      </c>
      <c r="N2568" s="17">
        <f t="shared" si="204"/>
        <v>2.4</v>
      </c>
      <c r="O2568" s="17">
        <f t="shared" si="201"/>
        <v>2640</v>
      </c>
      <c r="P2568" s="18">
        <f t="shared" si="202"/>
        <v>226432.008</v>
      </c>
      <c r="R2568" s="33" t="s">
        <v>456</v>
      </c>
    </row>
    <row r="2569" spans="2:18" ht="12.75">
      <c r="B2569" s="10">
        <v>46199</v>
      </c>
      <c r="C2569" s="11">
        <f>VLOOKUP(B:B,'Курс валют'!A:D,4,0)</f>
        <v>85.7697</v>
      </c>
      <c r="D2569" s="57" t="s">
        <v>457</v>
      </c>
      <c r="E2569" s="50" t="s">
        <v>15</v>
      </c>
      <c r="F2569" s="58">
        <v>1100</v>
      </c>
      <c r="G2569" s="13">
        <v>1119.5</v>
      </c>
      <c r="H2569" s="56">
        <v>0</v>
      </c>
      <c r="I2569" s="13">
        <f t="shared" si="205"/>
        <v>19.5</v>
      </c>
      <c r="J2569" s="14">
        <f t="shared" si="198"/>
        <v>1.7727272727272727</v>
      </c>
      <c r="K2569" s="56">
        <v>2.4</v>
      </c>
      <c r="L2569" s="15">
        <f t="shared" si="199"/>
        <v>0</v>
      </c>
      <c r="M2569" s="16">
        <f t="shared" si="200"/>
        <v>205.84728000000001</v>
      </c>
      <c r="N2569" s="17">
        <f t="shared" si="204"/>
        <v>2.4</v>
      </c>
      <c r="O2569" s="17">
        <f t="shared" si="201"/>
        <v>2640</v>
      </c>
      <c r="P2569" s="18">
        <f t="shared" si="202"/>
        <v>226432.008</v>
      </c>
      <c r="R2569" s="33" t="s">
        <v>458</v>
      </c>
    </row>
    <row r="2570" spans="2:18" ht="12.75">
      <c r="B2570" s="10">
        <v>46199</v>
      </c>
      <c r="C2570" s="11">
        <f>VLOOKUP(B:B,'Курс валют'!A:D,4,0)</f>
        <v>85.7697</v>
      </c>
      <c r="D2570" s="57" t="s">
        <v>459</v>
      </c>
      <c r="E2570" s="50" t="s">
        <v>15</v>
      </c>
      <c r="F2570" s="58">
        <v>1100</v>
      </c>
      <c r="G2570" s="13">
        <v>1119.5</v>
      </c>
      <c r="H2570" s="56">
        <v>0</v>
      </c>
      <c r="I2570" s="13">
        <f t="shared" si="205"/>
        <v>19.5</v>
      </c>
      <c r="J2570" s="14">
        <f t="shared" si="198"/>
        <v>1.7727272727272727</v>
      </c>
      <c r="K2570" s="56">
        <v>2.4</v>
      </c>
      <c r="L2570" s="15">
        <f t="shared" si="199"/>
        <v>0</v>
      </c>
      <c r="M2570" s="16">
        <f t="shared" si="200"/>
        <v>205.84728000000001</v>
      </c>
      <c r="N2570" s="17">
        <f t="shared" si="204"/>
        <v>2.4</v>
      </c>
      <c r="O2570" s="17">
        <f t="shared" si="201"/>
        <v>2640</v>
      </c>
      <c r="P2570" s="18">
        <f t="shared" si="202"/>
        <v>226432.008</v>
      </c>
      <c r="R2570" s="33" t="s">
        <v>460</v>
      </c>
    </row>
    <row r="2571" spans="2:18" ht="12.75">
      <c r="B2571" s="10">
        <v>46199</v>
      </c>
      <c r="C2571" s="11">
        <f>VLOOKUP(B:B,'Курс валют'!A:D,4,0)</f>
        <v>85.7697</v>
      </c>
      <c r="D2571" s="57" t="s">
        <v>461</v>
      </c>
      <c r="E2571" s="50" t="s">
        <v>15</v>
      </c>
      <c r="F2571" s="58">
        <v>1100</v>
      </c>
      <c r="G2571" s="13">
        <v>1119.5</v>
      </c>
      <c r="H2571" s="56">
        <v>0</v>
      </c>
      <c r="I2571" s="13">
        <f t="shared" si="205"/>
        <v>19.5</v>
      </c>
      <c r="J2571" s="14">
        <f t="shared" si="198"/>
        <v>1.7727272727272727</v>
      </c>
      <c r="K2571" s="56">
        <v>2.4</v>
      </c>
      <c r="L2571" s="15">
        <f t="shared" si="199"/>
        <v>0</v>
      </c>
      <c r="M2571" s="16">
        <f t="shared" si="200"/>
        <v>205.84728000000001</v>
      </c>
      <c r="N2571" s="17">
        <f t="shared" si="204"/>
        <v>2.4</v>
      </c>
      <c r="O2571" s="17">
        <f t="shared" si="201"/>
        <v>2640</v>
      </c>
      <c r="P2571" s="18">
        <f t="shared" si="202"/>
        <v>226432.008</v>
      </c>
      <c r="R2571" s="33" t="s">
        <v>462</v>
      </c>
    </row>
    <row r="2572" spans="2:18" ht="12.75">
      <c r="B2572" s="10">
        <v>46199</v>
      </c>
      <c r="C2572" s="11">
        <f>VLOOKUP(B:B,'Курс валют'!A:D,4,0)</f>
        <v>85.7697</v>
      </c>
      <c r="D2572" s="57" t="s">
        <v>463</v>
      </c>
      <c r="E2572" s="50" t="s">
        <v>15</v>
      </c>
      <c r="F2572" s="58">
        <v>1100</v>
      </c>
      <c r="G2572" s="13">
        <v>1119.5</v>
      </c>
      <c r="H2572" s="56">
        <v>0</v>
      </c>
      <c r="I2572" s="13">
        <f t="shared" si="205"/>
        <v>19.5</v>
      </c>
      <c r="J2572" s="14">
        <f t="shared" si="198"/>
        <v>1.7727272727272727</v>
      </c>
      <c r="K2572" s="56">
        <v>2.4</v>
      </c>
      <c r="L2572" s="15">
        <f t="shared" si="199"/>
        <v>0</v>
      </c>
      <c r="M2572" s="16">
        <f t="shared" si="200"/>
        <v>205.84728000000001</v>
      </c>
      <c r="N2572" s="17">
        <f t="shared" si="204"/>
        <v>2.4</v>
      </c>
      <c r="O2572" s="17">
        <f t="shared" si="201"/>
        <v>2640</v>
      </c>
      <c r="P2572" s="18">
        <f t="shared" si="202"/>
        <v>226432.008</v>
      </c>
      <c r="R2572" s="33" t="s">
        <v>464</v>
      </c>
    </row>
    <row r="2573" spans="2:18" ht="12.75">
      <c r="B2573" s="10">
        <v>46199</v>
      </c>
      <c r="C2573" s="11">
        <f>VLOOKUP(B:B,'Курс валют'!A:D,4,0)</f>
        <v>85.7697</v>
      </c>
      <c r="D2573" s="57" t="s">
        <v>465</v>
      </c>
      <c r="E2573" s="50" t="s">
        <v>15</v>
      </c>
      <c r="F2573" s="58">
        <v>1100</v>
      </c>
      <c r="G2573" s="13">
        <v>1119.5</v>
      </c>
      <c r="H2573" s="56">
        <v>0</v>
      </c>
      <c r="I2573" s="13">
        <f t="shared" si="205"/>
        <v>19.5</v>
      </c>
      <c r="J2573" s="14">
        <f t="shared" si="198"/>
        <v>1.7727272727272727</v>
      </c>
      <c r="K2573" s="56">
        <v>2.4</v>
      </c>
      <c r="L2573" s="15">
        <f t="shared" si="199"/>
        <v>0</v>
      </c>
      <c r="M2573" s="16">
        <f t="shared" si="200"/>
        <v>205.84728000000001</v>
      </c>
      <c r="N2573" s="17">
        <f t="shared" si="204"/>
        <v>2.4</v>
      </c>
      <c r="O2573" s="17">
        <f t="shared" si="201"/>
        <v>2640</v>
      </c>
      <c r="P2573" s="18">
        <f t="shared" si="202"/>
        <v>226432.008</v>
      </c>
      <c r="R2573" s="33" t="s">
        <v>466</v>
      </c>
    </row>
    <row r="2574" spans="2:18" ht="12.75">
      <c r="B2574" s="10">
        <v>46199</v>
      </c>
      <c r="C2574" s="11">
        <f>VLOOKUP(B:B,'Курс валют'!A:D,4,0)</f>
        <v>85.7697</v>
      </c>
      <c r="D2574" s="57" t="s">
        <v>467</v>
      </c>
      <c r="E2574" s="50" t="s">
        <v>15</v>
      </c>
      <c r="F2574" s="58">
        <v>1100</v>
      </c>
      <c r="G2574" s="13">
        <v>1119.5</v>
      </c>
      <c r="H2574" s="56">
        <v>0</v>
      </c>
      <c r="I2574" s="13">
        <f t="shared" si="205"/>
        <v>19.5</v>
      </c>
      <c r="J2574" s="14">
        <f t="shared" si="198"/>
        <v>1.7727272727272727</v>
      </c>
      <c r="K2574" s="56">
        <v>2.4</v>
      </c>
      <c r="L2574" s="15">
        <f t="shared" si="199"/>
        <v>0</v>
      </c>
      <c r="M2574" s="16">
        <f t="shared" si="200"/>
        <v>205.84728000000001</v>
      </c>
      <c r="N2574" s="17">
        <f t="shared" si="204"/>
        <v>2.4</v>
      </c>
      <c r="O2574" s="17">
        <f t="shared" si="201"/>
        <v>2640</v>
      </c>
      <c r="P2574" s="18">
        <f t="shared" si="202"/>
        <v>226432.008</v>
      </c>
      <c r="R2574" s="33" t="s">
        <v>468</v>
      </c>
    </row>
    <row r="2575" spans="2:18" ht="12.75">
      <c r="B2575" s="10">
        <v>46199</v>
      </c>
      <c r="C2575" s="11">
        <f>VLOOKUP(B:B,'Курс валют'!A:D,4,0)</f>
        <v>85.7697</v>
      </c>
      <c r="D2575" s="57" t="s">
        <v>469</v>
      </c>
      <c r="E2575" s="50" t="s">
        <v>15</v>
      </c>
      <c r="F2575" s="58">
        <v>1100</v>
      </c>
      <c r="G2575" s="13">
        <v>1119.5</v>
      </c>
      <c r="H2575" s="56">
        <v>0</v>
      </c>
      <c r="I2575" s="13">
        <f t="shared" si="205"/>
        <v>19.5</v>
      </c>
      <c r="J2575" s="14">
        <f t="shared" si="198"/>
        <v>1.7727272727272727</v>
      </c>
      <c r="K2575" s="56">
        <v>2.4</v>
      </c>
      <c r="L2575" s="15">
        <f t="shared" si="199"/>
        <v>0</v>
      </c>
      <c r="M2575" s="16">
        <f t="shared" si="200"/>
        <v>205.84728000000001</v>
      </c>
      <c r="N2575" s="17">
        <f t="shared" si="204"/>
        <v>2.4</v>
      </c>
      <c r="O2575" s="17">
        <f t="shared" si="201"/>
        <v>2640</v>
      </c>
      <c r="P2575" s="18">
        <f t="shared" si="202"/>
        <v>226432.008</v>
      </c>
      <c r="R2575" s="33" t="s">
        <v>470</v>
      </c>
    </row>
    <row r="2576" spans="2:18" ht="12.75">
      <c r="B2576" s="10">
        <v>46199</v>
      </c>
      <c r="C2576" s="11">
        <f>VLOOKUP(B:B,'Курс валют'!A:D,4,0)</f>
        <v>85.7697</v>
      </c>
      <c r="D2576" s="57" t="s">
        <v>471</v>
      </c>
      <c r="E2576" s="50" t="s">
        <v>15</v>
      </c>
      <c r="F2576" s="58">
        <v>1100</v>
      </c>
      <c r="G2576" s="13">
        <v>1119.5</v>
      </c>
      <c r="H2576" s="56">
        <v>0</v>
      </c>
      <c r="I2576" s="13">
        <f t="shared" si="205"/>
        <v>19.5</v>
      </c>
      <c r="J2576" s="14">
        <f t="shared" si="198"/>
        <v>1.7727272727272727</v>
      </c>
      <c r="K2576" s="56">
        <v>2.4</v>
      </c>
      <c r="L2576" s="15">
        <f t="shared" si="199"/>
        <v>0</v>
      </c>
      <c r="M2576" s="16">
        <f t="shared" si="200"/>
        <v>205.84728000000001</v>
      </c>
      <c r="N2576" s="17">
        <f t="shared" si="204"/>
        <v>2.4</v>
      </c>
      <c r="O2576" s="17">
        <f t="shared" si="201"/>
        <v>2640</v>
      </c>
      <c r="P2576" s="18">
        <f t="shared" si="202"/>
        <v>226432.008</v>
      </c>
      <c r="R2576" s="33" t="s">
        <v>472</v>
      </c>
    </row>
    <row r="2577" spans="2:18" ht="12.75">
      <c r="B2577" s="10">
        <v>46200</v>
      </c>
      <c r="C2577" s="11">
        <f>VLOOKUP(B:B,'Курс валют'!A:D,4,0)</f>
        <v>87.402699999999996</v>
      </c>
      <c r="D2577" s="57" t="s">
        <v>473</v>
      </c>
      <c r="E2577" s="50" t="s">
        <v>51</v>
      </c>
      <c r="F2577" s="58">
        <v>800</v>
      </c>
      <c r="G2577" s="13">
        <v>807.54</v>
      </c>
      <c r="H2577" s="56">
        <v>0</v>
      </c>
      <c r="I2577" s="13">
        <f t="shared" si="205"/>
        <v>7.5399999999999636</v>
      </c>
      <c r="J2577" s="14">
        <f t="shared" si="198"/>
        <v>0.94249999999999545</v>
      </c>
      <c r="K2577" s="56">
        <v>1.92</v>
      </c>
      <c r="L2577" s="15">
        <f t="shared" si="199"/>
        <v>0</v>
      </c>
      <c r="M2577" s="16">
        <f t="shared" si="200"/>
        <v>167.81318400000001</v>
      </c>
      <c r="N2577" s="17">
        <f t="shared" si="204"/>
        <v>1.92</v>
      </c>
      <c r="O2577" s="17">
        <f t="shared" si="201"/>
        <v>1536</v>
      </c>
      <c r="P2577" s="18">
        <f t="shared" si="202"/>
        <v>134250.5472</v>
      </c>
    </row>
    <row r="2578" spans="2:18" ht="12.75">
      <c r="B2578" s="10">
        <v>46200</v>
      </c>
      <c r="C2578" s="11">
        <f>VLOOKUP(B:B,'Курс валют'!A:D,4,0)</f>
        <v>87.402699999999996</v>
      </c>
      <c r="D2578" s="57" t="s">
        <v>474</v>
      </c>
      <c r="E2578" s="50" t="s">
        <v>51</v>
      </c>
      <c r="F2578" s="58">
        <v>800</v>
      </c>
      <c r="G2578" s="13">
        <v>807.54</v>
      </c>
      <c r="H2578" s="56">
        <v>0</v>
      </c>
      <c r="I2578" s="13">
        <f t="shared" si="205"/>
        <v>7.5399999999999636</v>
      </c>
      <c r="J2578" s="14">
        <f t="shared" si="198"/>
        <v>0.94249999999999545</v>
      </c>
      <c r="K2578" s="56">
        <v>1.91</v>
      </c>
      <c r="L2578" s="15">
        <f t="shared" si="199"/>
        <v>0</v>
      </c>
      <c r="M2578" s="16">
        <f t="shared" si="200"/>
        <v>166.93915699999997</v>
      </c>
      <c r="N2578" s="17">
        <f t="shared" si="204"/>
        <v>1.91</v>
      </c>
      <c r="O2578" s="17">
        <f t="shared" si="201"/>
        <v>1528</v>
      </c>
      <c r="P2578" s="18">
        <f t="shared" si="202"/>
        <v>133551.32559999998</v>
      </c>
    </row>
    <row r="2579" spans="2:18" ht="12.75">
      <c r="B2579" s="10">
        <v>46200</v>
      </c>
      <c r="C2579" s="11">
        <f>VLOOKUP(B:B,'Курс валют'!A:D,4,0)</f>
        <v>87.402699999999996</v>
      </c>
      <c r="D2579" s="57" t="s">
        <v>475</v>
      </c>
      <c r="E2579" s="50" t="s">
        <v>51</v>
      </c>
      <c r="F2579" s="58">
        <v>800</v>
      </c>
      <c r="G2579" s="13">
        <v>807.54</v>
      </c>
      <c r="H2579" s="56">
        <v>0</v>
      </c>
      <c r="I2579" s="13">
        <f t="shared" si="205"/>
        <v>7.5399999999999636</v>
      </c>
      <c r="J2579" s="14">
        <f t="shared" si="198"/>
        <v>0.94249999999999545</v>
      </c>
      <c r="K2579" s="56">
        <v>1.91</v>
      </c>
      <c r="L2579" s="15">
        <f t="shared" si="199"/>
        <v>0</v>
      </c>
      <c r="M2579" s="16">
        <f t="shared" si="200"/>
        <v>166.93915699999997</v>
      </c>
      <c r="N2579" s="17">
        <f t="shared" si="204"/>
        <v>1.91</v>
      </c>
      <c r="O2579" s="17">
        <f t="shared" si="201"/>
        <v>1528</v>
      </c>
      <c r="P2579" s="18">
        <f t="shared" si="202"/>
        <v>133551.32559999998</v>
      </c>
    </row>
    <row r="2580" spans="2:18" ht="12.75">
      <c r="B2580" s="10">
        <v>46200</v>
      </c>
      <c r="C2580" s="11">
        <f>VLOOKUP(B:B,'Курс валют'!A:D,4,0)</f>
        <v>87.402699999999996</v>
      </c>
      <c r="D2580" s="57" t="s">
        <v>476</v>
      </c>
      <c r="E2580" s="50" t="s">
        <v>51</v>
      </c>
      <c r="F2580" s="58">
        <v>800</v>
      </c>
      <c r="G2580" s="13">
        <v>807.54</v>
      </c>
      <c r="H2580" s="56">
        <v>0</v>
      </c>
      <c r="I2580" s="13">
        <f t="shared" si="205"/>
        <v>7.5399999999999636</v>
      </c>
      <c r="J2580" s="14">
        <f t="shared" si="198"/>
        <v>0.94249999999999545</v>
      </c>
      <c r="K2580" s="56">
        <v>1.91</v>
      </c>
      <c r="L2580" s="15">
        <f t="shared" si="199"/>
        <v>0</v>
      </c>
      <c r="M2580" s="16">
        <f t="shared" si="200"/>
        <v>166.93915699999997</v>
      </c>
      <c r="N2580" s="17">
        <f t="shared" si="204"/>
        <v>1.91</v>
      </c>
      <c r="O2580" s="17">
        <f t="shared" si="201"/>
        <v>1528</v>
      </c>
      <c r="P2580" s="18">
        <f t="shared" si="202"/>
        <v>133551.32559999998</v>
      </c>
    </row>
    <row r="2581" spans="2:18" ht="12.75">
      <c r="B2581" s="10">
        <v>46200</v>
      </c>
      <c r="C2581" s="11">
        <f>VLOOKUP(B:B,'Курс валют'!A:D,4,0)</f>
        <v>87.402699999999996</v>
      </c>
      <c r="D2581" s="57" t="s">
        <v>477</v>
      </c>
      <c r="E2581" s="50" t="s">
        <v>51</v>
      </c>
      <c r="F2581" s="58">
        <v>800</v>
      </c>
      <c r="G2581" s="13">
        <v>807.54</v>
      </c>
      <c r="H2581" s="56">
        <v>0</v>
      </c>
      <c r="I2581" s="13">
        <f t="shared" si="205"/>
        <v>7.5399999999999636</v>
      </c>
      <c r="J2581" s="14">
        <f t="shared" si="198"/>
        <v>0.94249999999999545</v>
      </c>
      <c r="K2581" s="56">
        <v>1.91</v>
      </c>
      <c r="L2581" s="15">
        <f t="shared" si="199"/>
        <v>0</v>
      </c>
      <c r="M2581" s="16">
        <f t="shared" si="200"/>
        <v>166.93915699999997</v>
      </c>
      <c r="N2581" s="17">
        <f t="shared" si="204"/>
        <v>1.91</v>
      </c>
      <c r="O2581" s="17">
        <f t="shared" si="201"/>
        <v>1528</v>
      </c>
      <c r="P2581" s="18">
        <f t="shared" si="202"/>
        <v>133551.32559999998</v>
      </c>
    </row>
    <row r="2582" spans="2:18" ht="12.75">
      <c r="B2582" s="10">
        <v>46200</v>
      </c>
      <c r="C2582" s="11">
        <f>VLOOKUP(B:B,'Курс валют'!A:D,4,0)</f>
        <v>87.402699999999996</v>
      </c>
      <c r="D2582" s="57" t="s">
        <v>478</v>
      </c>
      <c r="E2582" s="50" t="s">
        <v>51</v>
      </c>
      <c r="F2582" s="58">
        <v>800</v>
      </c>
      <c r="G2582" s="13">
        <v>807.54</v>
      </c>
      <c r="H2582" s="56">
        <v>0</v>
      </c>
      <c r="I2582" s="13">
        <f t="shared" si="205"/>
        <v>7.5399999999999636</v>
      </c>
      <c r="J2582" s="14">
        <f t="shared" si="198"/>
        <v>0.94249999999999545</v>
      </c>
      <c r="K2582" s="56">
        <v>1.92</v>
      </c>
      <c r="L2582" s="15">
        <f t="shared" si="199"/>
        <v>0</v>
      </c>
      <c r="M2582" s="16">
        <f t="shared" si="200"/>
        <v>167.81318400000001</v>
      </c>
      <c r="N2582" s="17">
        <f t="shared" si="204"/>
        <v>1.92</v>
      </c>
      <c r="O2582" s="17">
        <f t="shared" si="201"/>
        <v>1536</v>
      </c>
      <c r="P2582" s="18">
        <f t="shared" si="202"/>
        <v>134250.5472</v>
      </c>
    </row>
    <row r="2583" spans="2:18" ht="12.75">
      <c r="B2583" s="10">
        <v>46200</v>
      </c>
      <c r="C2583" s="11">
        <f>VLOOKUP(B:B,'Курс валют'!A:D,4,0)</f>
        <v>87.402699999999996</v>
      </c>
      <c r="D2583" s="57" t="s">
        <v>479</v>
      </c>
      <c r="E2583" s="50" t="s">
        <v>51</v>
      </c>
      <c r="F2583" s="58">
        <v>800</v>
      </c>
      <c r="G2583" s="13">
        <v>807.54</v>
      </c>
      <c r="H2583" s="56">
        <v>0</v>
      </c>
      <c r="I2583" s="13">
        <f t="shared" si="205"/>
        <v>7.5399999999999636</v>
      </c>
      <c r="J2583" s="14">
        <f t="shared" si="198"/>
        <v>0.94249999999999545</v>
      </c>
      <c r="K2583" s="56">
        <v>1.91</v>
      </c>
      <c r="L2583" s="15">
        <f t="shared" si="199"/>
        <v>0</v>
      </c>
      <c r="M2583" s="16">
        <f t="shared" si="200"/>
        <v>166.93915699999997</v>
      </c>
      <c r="N2583" s="17">
        <f t="shared" si="204"/>
        <v>1.91</v>
      </c>
      <c r="O2583" s="17">
        <f t="shared" si="201"/>
        <v>1528</v>
      </c>
      <c r="P2583" s="18">
        <f t="shared" si="202"/>
        <v>133551.32559999998</v>
      </c>
    </row>
    <row r="2584" spans="2:18" ht="12.75">
      <c r="B2584" s="10">
        <v>46200</v>
      </c>
      <c r="C2584" s="11">
        <f>VLOOKUP(B:B,'Курс валют'!A:D,4,0)</f>
        <v>87.402699999999996</v>
      </c>
      <c r="D2584" s="57" t="s">
        <v>480</v>
      </c>
      <c r="E2584" s="50" t="s">
        <v>51</v>
      </c>
      <c r="F2584" s="58">
        <v>800</v>
      </c>
      <c r="G2584" s="13">
        <v>807.53999999999905</v>
      </c>
      <c r="H2584" s="56">
        <v>0</v>
      </c>
      <c r="I2584" s="13">
        <f t="shared" si="205"/>
        <v>7.5399999999990541</v>
      </c>
      <c r="J2584" s="14">
        <f t="shared" si="198"/>
        <v>0.94249999999988177</v>
      </c>
      <c r="K2584" s="56">
        <v>1.91</v>
      </c>
      <c r="L2584" s="15">
        <f t="shared" si="199"/>
        <v>0</v>
      </c>
      <c r="M2584" s="16">
        <f t="shared" si="200"/>
        <v>166.93915699999997</v>
      </c>
      <c r="N2584" s="17">
        <f t="shared" si="204"/>
        <v>1.91</v>
      </c>
      <c r="O2584" s="17">
        <f t="shared" si="201"/>
        <v>1528</v>
      </c>
      <c r="P2584" s="18">
        <f t="shared" si="202"/>
        <v>133551.32559999998</v>
      </c>
    </row>
    <row r="2585" spans="2:18" ht="12.75">
      <c r="B2585" s="10">
        <v>46200</v>
      </c>
      <c r="C2585" s="11">
        <f>VLOOKUP(B:B,'Курс валют'!A:D,4,0)</f>
        <v>87.402699999999996</v>
      </c>
      <c r="D2585" s="57" t="s">
        <v>481</v>
      </c>
      <c r="E2585" s="50" t="s">
        <v>51</v>
      </c>
      <c r="F2585" s="58">
        <v>800</v>
      </c>
      <c r="G2585" s="13">
        <v>807.53999999999905</v>
      </c>
      <c r="H2585" s="56">
        <v>0</v>
      </c>
      <c r="I2585" s="13">
        <f t="shared" si="205"/>
        <v>7.5399999999990541</v>
      </c>
      <c r="J2585" s="14">
        <f t="shared" si="198"/>
        <v>0.94249999999988177</v>
      </c>
      <c r="K2585" s="56">
        <v>1.91</v>
      </c>
      <c r="L2585" s="15">
        <f t="shared" si="199"/>
        <v>0</v>
      </c>
      <c r="M2585" s="16">
        <f t="shared" si="200"/>
        <v>166.93915699999997</v>
      </c>
      <c r="N2585" s="17">
        <f t="shared" si="204"/>
        <v>1.91</v>
      </c>
      <c r="O2585" s="17">
        <f t="shared" si="201"/>
        <v>1528</v>
      </c>
      <c r="P2585" s="18">
        <f t="shared" si="202"/>
        <v>133551.32559999998</v>
      </c>
    </row>
    <row r="2586" spans="2:18" ht="12.75">
      <c r="B2586" s="10">
        <v>46200</v>
      </c>
      <c r="C2586" s="11">
        <f>VLOOKUP(B:B,'Курс валют'!A:D,4,0)</f>
        <v>87.402699999999996</v>
      </c>
      <c r="D2586" s="57" t="s">
        <v>482</v>
      </c>
      <c r="E2586" s="50" t="s">
        <v>51</v>
      </c>
      <c r="F2586" s="58">
        <v>800</v>
      </c>
      <c r="G2586" s="13">
        <v>807.53999999999905</v>
      </c>
      <c r="H2586" s="56">
        <v>0</v>
      </c>
      <c r="I2586" s="13">
        <f t="shared" si="205"/>
        <v>7.5399999999990541</v>
      </c>
      <c r="J2586" s="14">
        <f t="shared" si="198"/>
        <v>0.94249999999988177</v>
      </c>
      <c r="K2586" s="56">
        <v>1.91</v>
      </c>
      <c r="L2586" s="15">
        <f t="shared" si="199"/>
        <v>0</v>
      </c>
      <c r="M2586" s="16">
        <f t="shared" si="200"/>
        <v>166.93915699999997</v>
      </c>
      <c r="N2586" s="17">
        <f t="shared" si="204"/>
        <v>1.91</v>
      </c>
      <c r="O2586" s="17">
        <f t="shared" si="201"/>
        <v>1528</v>
      </c>
      <c r="P2586" s="18">
        <f t="shared" si="202"/>
        <v>133551.32559999998</v>
      </c>
    </row>
    <row r="2587" spans="2:18" ht="12.75">
      <c r="B2587" s="10">
        <v>46200</v>
      </c>
      <c r="C2587" s="11">
        <f>VLOOKUP(B:B,'Курс валют'!A:D,4,0)</f>
        <v>87.402699999999996</v>
      </c>
      <c r="D2587" s="57" t="s">
        <v>483</v>
      </c>
      <c r="E2587" s="50" t="s">
        <v>484</v>
      </c>
      <c r="F2587" s="58">
        <v>20</v>
      </c>
      <c r="G2587" s="13">
        <v>22.16</v>
      </c>
      <c r="H2587" s="56">
        <v>0</v>
      </c>
      <c r="I2587" s="13">
        <f t="shared" si="205"/>
        <v>2.16</v>
      </c>
      <c r="J2587" s="14">
        <f t="shared" si="198"/>
        <v>10.8</v>
      </c>
      <c r="K2587" s="56">
        <v>3.04</v>
      </c>
      <c r="L2587" s="15">
        <f t="shared" si="199"/>
        <v>0</v>
      </c>
      <c r="M2587" s="16">
        <f t="shared" si="200"/>
        <v>265.70420799999999</v>
      </c>
      <c r="N2587" s="17">
        <f t="shared" si="204"/>
        <v>3.04</v>
      </c>
      <c r="O2587" s="17">
        <f t="shared" si="201"/>
        <v>60.8</v>
      </c>
      <c r="P2587" s="18">
        <f t="shared" si="202"/>
        <v>5314.0841599999994</v>
      </c>
    </row>
    <row r="2588" spans="2:18" ht="12.75">
      <c r="B2588" s="10">
        <v>46200</v>
      </c>
      <c r="C2588" s="11">
        <f>VLOOKUP(B:B,'Курс валют'!A:D,4,0)</f>
        <v>87.402699999999996</v>
      </c>
      <c r="D2588" s="57" t="s">
        <v>485</v>
      </c>
      <c r="E2588" s="50" t="s">
        <v>486</v>
      </c>
      <c r="F2588" s="58">
        <v>20</v>
      </c>
      <c r="G2588" s="13">
        <v>22.29</v>
      </c>
      <c r="H2588" s="56">
        <v>0</v>
      </c>
      <c r="I2588" s="13">
        <f t="shared" si="205"/>
        <v>2.2899999999999991</v>
      </c>
      <c r="J2588" s="14">
        <f t="shared" si="198"/>
        <v>11.449999999999996</v>
      </c>
      <c r="K2588" s="56">
        <v>2.6</v>
      </c>
      <c r="L2588" s="15">
        <f t="shared" si="199"/>
        <v>0</v>
      </c>
      <c r="M2588" s="16">
        <f t="shared" si="200"/>
        <v>227.24701999999996</v>
      </c>
      <c r="N2588" s="17">
        <f t="shared" si="204"/>
        <v>2.6</v>
      </c>
      <c r="O2588" s="17">
        <f t="shared" si="201"/>
        <v>52</v>
      </c>
      <c r="P2588" s="18">
        <f t="shared" si="202"/>
        <v>4544.9403999999995</v>
      </c>
    </row>
    <row r="2589" spans="2:18" ht="12.75">
      <c r="B2589" s="10">
        <v>46200</v>
      </c>
      <c r="C2589" s="11">
        <f>VLOOKUP(B:B,'Курс валют'!A:D,4,0)</f>
        <v>87.402699999999996</v>
      </c>
      <c r="D2589" s="57" t="s">
        <v>487</v>
      </c>
      <c r="E2589" s="50" t="s">
        <v>488</v>
      </c>
      <c r="F2589" s="58">
        <v>23</v>
      </c>
      <c r="G2589" s="13">
        <v>25.37</v>
      </c>
      <c r="H2589" s="56">
        <v>0</v>
      </c>
      <c r="I2589" s="13">
        <f t="shared" si="205"/>
        <v>2.370000000000001</v>
      </c>
      <c r="J2589" s="14">
        <f t="shared" si="198"/>
        <v>10.304347826086961</v>
      </c>
      <c r="K2589" s="56">
        <v>3.01</v>
      </c>
      <c r="L2589" s="15">
        <f t="shared" si="199"/>
        <v>0</v>
      </c>
      <c r="M2589" s="16">
        <f t="shared" si="200"/>
        <v>263.08212699999996</v>
      </c>
      <c r="N2589" s="17">
        <f t="shared" si="204"/>
        <v>3.0099999999999993</v>
      </c>
      <c r="O2589" s="17">
        <f t="shared" si="201"/>
        <v>69.22999999999999</v>
      </c>
      <c r="P2589" s="18">
        <f t="shared" si="202"/>
        <v>6050.8889209999988</v>
      </c>
    </row>
    <row r="2590" spans="2:18" ht="12.75">
      <c r="B2590" s="10">
        <v>46201</v>
      </c>
      <c r="C2590" s="11">
        <f>VLOOKUP(B:B,'Курс валют'!A:D,4,0)</f>
        <v>87.402699999999996</v>
      </c>
      <c r="D2590" s="57" t="s">
        <v>489</v>
      </c>
      <c r="E2590" s="50" t="s">
        <v>104</v>
      </c>
      <c r="F2590" s="58">
        <v>2160</v>
      </c>
      <c r="G2590" s="13">
        <v>2190.44</v>
      </c>
      <c r="H2590" s="56">
        <v>0</v>
      </c>
      <c r="I2590" s="13">
        <f t="shared" si="205"/>
        <v>30.440000000000055</v>
      </c>
      <c r="J2590" s="14">
        <f t="shared" si="198"/>
        <v>1.4092592592592619</v>
      </c>
      <c r="K2590" s="56">
        <v>2.64</v>
      </c>
      <c r="L2590" s="15">
        <f t="shared" si="199"/>
        <v>0</v>
      </c>
      <c r="M2590" s="16">
        <f t="shared" si="200"/>
        <v>230.74312800000001</v>
      </c>
      <c r="N2590" s="17">
        <f t="shared" si="204"/>
        <v>2.64</v>
      </c>
      <c r="O2590" s="17">
        <f t="shared" si="201"/>
        <v>5702.4000000000005</v>
      </c>
      <c r="P2590" s="18">
        <f t="shared" si="202"/>
        <v>498405.15648000001</v>
      </c>
    </row>
    <row r="2591" spans="2:18" ht="12.75">
      <c r="B2591" s="10">
        <v>46201</v>
      </c>
      <c r="C2591" s="11">
        <f>VLOOKUP(B:B,'Курс валют'!A:D,4,0)</f>
        <v>87.402699999999996</v>
      </c>
      <c r="D2591" s="57" t="s">
        <v>490</v>
      </c>
      <c r="E2591" s="50" t="s">
        <v>95</v>
      </c>
      <c r="F2591" s="58">
        <v>6840</v>
      </c>
      <c r="G2591" s="13">
        <v>6897</v>
      </c>
      <c r="H2591" s="56">
        <v>0</v>
      </c>
      <c r="I2591" s="13">
        <f t="shared" si="205"/>
        <v>57</v>
      </c>
      <c r="J2591" s="14">
        <f t="shared" si="198"/>
        <v>0.83333333333333337</v>
      </c>
      <c r="K2591" s="56">
        <v>1.89</v>
      </c>
      <c r="L2591" s="15">
        <f t="shared" si="199"/>
        <v>0</v>
      </c>
      <c r="M2591" s="16">
        <f t="shared" si="200"/>
        <v>165.19110299999997</v>
      </c>
      <c r="N2591" s="17">
        <f t="shared" si="204"/>
        <v>1.8899999999999997</v>
      </c>
      <c r="O2591" s="17">
        <f t="shared" si="201"/>
        <v>12927.599999999999</v>
      </c>
      <c r="P2591" s="18">
        <f t="shared" si="202"/>
        <v>1129907.1445199999</v>
      </c>
    </row>
    <row r="2592" spans="2:18" ht="12.75">
      <c r="B2592" s="10">
        <v>46202</v>
      </c>
      <c r="C2592" s="11">
        <f>VLOOKUP(B:B,'Курс валют'!A:D,4,0)</f>
        <v>87.402699999999996</v>
      </c>
      <c r="D2592" s="57" t="s">
        <v>491</v>
      </c>
      <c r="E2592" s="50" t="s">
        <v>15</v>
      </c>
      <c r="F2592" s="58">
        <v>880</v>
      </c>
      <c r="G2592" s="13">
        <v>903</v>
      </c>
      <c r="H2592" s="56"/>
      <c r="I2592" s="13">
        <f t="shared" si="205"/>
        <v>23</v>
      </c>
      <c r="J2592" s="14">
        <f t="shared" si="198"/>
        <v>2.6136363636363633</v>
      </c>
      <c r="K2592" s="56"/>
      <c r="L2592" s="15">
        <f t="shared" si="199"/>
        <v>0</v>
      </c>
      <c r="M2592" s="16">
        <f t="shared" si="200"/>
        <v>0</v>
      </c>
      <c r="N2592" s="17">
        <f t="shared" si="204"/>
        <v>0</v>
      </c>
      <c r="O2592" s="17">
        <f t="shared" si="201"/>
        <v>0</v>
      </c>
      <c r="P2592" s="18">
        <f t="shared" si="202"/>
        <v>0</v>
      </c>
      <c r="R2592" s="33" t="s">
        <v>492</v>
      </c>
    </row>
    <row r="2593" spans="2:16" ht="12.75">
      <c r="B2593" s="10">
        <v>46202</v>
      </c>
      <c r="C2593" s="11">
        <f>VLOOKUP(B:B,'Курс валют'!A:D,4,0)</f>
        <v>87.402699999999996</v>
      </c>
      <c r="D2593" s="57" t="s">
        <v>493</v>
      </c>
      <c r="E2593" s="50" t="s">
        <v>95</v>
      </c>
      <c r="F2593" s="58">
        <v>2520</v>
      </c>
      <c r="G2593" s="13">
        <v>2550</v>
      </c>
      <c r="H2593" s="56"/>
      <c r="I2593" s="13">
        <f t="shared" si="205"/>
        <v>30</v>
      </c>
      <c r="J2593" s="14">
        <f t="shared" si="198"/>
        <v>1.1904761904761905</v>
      </c>
      <c r="K2593" s="56"/>
      <c r="L2593" s="15">
        <f t="shared" si="199"/>
        <v>0</v>
      </c>
      <c r="M2593" s="16">
        <f t="shared" si="200"/>
        <v>0</v>
      </c>
      <c r="N2593" s="17">
        <f t="shared" si="204"/>
        <v>0</v>
      </c>
      <c r="O2593" s="17">
        <f t="shared" si="201"/>
        <v>0</v>
      </c>
      <c r="P2593" s="18">
        <f t="shared" si="202"/>
        <v>0</v>
      </c>
    </row>
    <row r="2594" spans="2:16" ht="12.75">
      <c r="B2594" s="10">
        <v>46202</v>
      </c>
      <c r="C2594" s="11">
        <f>VLOOKUP(B:B,'Курс валют'!A:D,4,0)</f>
        <v>87.402699999999996</v>
      </c>
      <c r="D2594" s="57" t="s">
        <v>494</v>
      </c>
      <c r="E2594" s="50" t="s">
        <v>104</v>
      </c>
      <c r="F2594" s="58">
        <v>2640</v>
      </c>
      <c r="G2594" s="13">
        <v>2676.76</v>
      </c>
      <c r="H2594" s="56"/>
      <c r="I2594" s="13">
        <f t="shared" si="205"/>
        <v>36.760000000000218</v>
      </c>
      <c r="J2594" s="14">
        <f t="shared" si="198"/>
        <v>1.3924242424242508</v>
      </c>
      <c r="K2594" s="56"/>
      <c r="L2594" s="15">
        <f t="shared" si="199"/>
        <v>0</v>
      </c>
      <c r="M2594" s="16">
        <f t="shared" si="200"/>
        <v>0</v>
      </c>
      <c r="N2594" s="17">
        <f t="shared" si="204"/>
        <v>0</v>
      </c>
      <c r="O2594" s="17">
        <f t="shared" si="201"/>
        <v>0</v>
      </c>
      <c r="P2594" s="18">
        <f t="shared" si="202"/>
        <v>0</v>
      </c>
    </row>
    <row r="2595" spans="2:16" ht="12.75">
      <c r="B2595" s="10">
        <v>46202</v>
      </c>
      <c r="C2595" s="11">
        <f>VLOOKUP(B:B,'Курс валют'!A:D,4,0)</f>
        <v>87.402699999999996</v>
      </c>
      <c r="D2595" s="57" t="s">
        <v>495</v>
      </c>
      <c r="E2595" s="50" t="s">
        <v>51</v>
      </c>
      <c r="F2595" s="58">
        <v>800</v>
      </c>
      <c r="G2595" s="13">
        <v>807.54</v>
      </c>
      <c r="H2595" s="56"/>
      <c r="I2595" s="13">
        <f t="shared" si="205"/>
        <v>7.5399999999999636</v>
      </c>
      <c r="J2595" s="14">
        <f t="shared" si="198"/>
        <v>0.94249999999999545</v>
      </c>
      <c r="K2595" s="56"/>
      <c r="L2595" s="15">
        <f t="shared" si="199"/>
        <v>0</v>
      </c>
      <c r="M2595" s="16">
        <f t="shared" si="200"/>
        <v>0</v>
      </c>
      <c r="N2595" s="17">
        <f t="shared" si="204"/>
        <v>0</v>
      </c>
      <c r="O2595" s="17">
        <f t="shared" si="201"/>
        <v>0</v>
      </c>
      <c r="P2595" s="18">
        <f t="shared" si="202"/>
        <v>0</v>
      </c>
    </row>
    <row r="2596" spans="2:16" ht="12.75">
      <c r="B2596" s="10">
        <v>46202</v>
      </c>
      <c r="C2596" s="11">
        <f>VLOOKUP(B:B,'Курс валют'!A:D,4,0)</f>
        <v>87.402699999999996</v>
      </c>
      <c r="D2596" s="57" t="s">
        <v>496</v>
      </c>
      <c r="E2596" s="50" t="s">
        <v>51</v>
      </c>
      <c r="F2596" s="58">
        <v>800</v>
      </c>
      <c r="G2596" s="13">
        <v>807.54</v>
      </c>
      <c r="H2596" s="56"/>
      <c r="I2596" s="13">
        <f t="shared" si="205"/>
        <v>7.5399999999999636</v>
      </c>
      <c r="J2596" s="14">
        <f t="shared" si="198"/>
        <v>0.94249999999999545</v>
      </c>
      <c r="K2596" s="56"/>
      <c r="L2596" s="15">
        <f t="shared" si="199"/>
        <v>0</v>
      </c>
      <c r="M2596" s="16">
        <f t="shared" si="200"/>
        <v>0</v>
      </c>
      <c r="N2596" s="17">
        <f t="shared" si="204"/>
        <v>0</v>
      </c>
      <c r="O2596" s="17">
        <f t="shared" si="201"/>
        <v>0</v>
      </c>
      <c r="P2596" s="18">
        <f t="shared" si="202"/>
        <v>0</v>
      </c>
    </row>
  </sheetData>
  <autoFilter ref="E1:E957" xr:uid="{00000000-0009-0000-0000-000019000000}"/>
  <mergeCells count="2">
    <mergeCell ref="R367:R368"/>
    <mergeCell ref="R396:R39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76"/>
  <sheetViews>
    <sheetView topLeftCell="A121" workbookViewId="0"/>
  </sheetViews>
  <sheetFormatPr defaultColWidth="12.5703125" defaultRowHeight="15.75" customHeight="1"/>
  <sheetData>
    <row r="1" spans="1:5" ht="12.75" hidden="1">
      <c r="A1" s="27">
        <v>45536</v>
      </c>
      <c r="B1" s="28">
        <v>1</v>
      </c>
      <c r="C1" s="29" t="s">
        <v>24</v>
      </c>
      <c r="D1" s="28">
        <v>100.76220000000001</v>
      </c>
      <c r="E1" s="29" t="s">
        <v>25</v>
      </c>
    </row>
    <row r="2" spans="1:5" ht="12.75" hidden="1">
      <c r="A2" s="27">
        <v>45537</v>
      </c>
      <c r="B2" s="28">
        <v>1</v>
      </c>
      <c r="C2" s="29" t="s">
        <v>24</v>
      </c>
      <c r="D2" s="28">
        <v>100.76220000000001</v>
      </c>
      <c r="E2" s="29" t="s">
        <v>25</v>
      </c>
    </row>
    <row r="3" spans="1:5" ht="12.75" hidden="1">
      <c r="A3" s="27">
        <v>45538</v>
      </c>
      <c r="B3" s="28">
        <v>1</v>
      </c>
      <c r="C3" s="29" t="s">
        <v>24</v>
      </c>
      <c r="D3" s="28">
        <v>99.261300000000006</v>
      </c>
      <c r="E3" s="29" t="s">
        <v>25</v>
      </c>
    </row>
    <row r="4" spans="1:5" ht="12.75" hidden="1">
      <c r="A4" s="27">
        <v>45539</v>
      </c>
      <c r="B4" s="28">
        <v>1</v>
      </c>
      <c r="C4" s="29" t="s">
        <v>24</v>
      </c>
      <c r="D4" s="28">
        <v>97.812100000000001</v>
      </c>
      <c r="E4" s="29" t="s">
        <v>25</v>
      </c>
    </row>
    <row r="5" spans="1:5" ht="12.75" hidden="1">
      <c r="A5" s="27">
        <v>45540</v>
      </c>
      <c r="B5" s="28">
        <v>1</v>
      </c>
      <c r="C5" s="29" t="s">
        <v>24</v>
      </c>
      <c r="D5" s="28">
        <v>98.072500000000005</v>
      </c>
      <c r="E5" s="29" t="s">
        <v>25</v>
      </c>
    </row>
    <row r="6" spans="1:5" ht="12.75" hidden="1">
      <c r="A6" s="27">
        <v>45541</v>
      </c>
      <c r="B6" s="28">
        <v>1</v>
      </c>
      <c r="C6" s="29" t="s">
        <v>24</v>
      </c>
      <c r="D6" s="28">
        <v>99.192700000000002</v>
      </c>
      <c r="E6" s="29" t="s">
        <v>25</v>
      </c>
    </row>
    <row r="7" spans="1:5" ht="12.75" hidden="1">
      <c r="A7" s="27">
        <v>45542</v>
      </c>
      <c r="B7" s="28">
        <v>1</v>
      </c>
      <c r="C7" s="29" t="s">
        <v>24</v>
      </c>
      <c r="D7" s="28">
        <v>99.715599999999995</v>
      </c>
      <c r="E7" s="29" t="s">
        <v>25</v>
      </c>
    </row>
    <row r="8" spans="1:5" ht="12.75" hidden="1">
      <c r="A8" s="27">
        <v>45543</v>
      </c>
      <c r="B8" s="28">
        <v>1</v>
      </c>
      <c r="C8" s="29" t="s">
        <v>24</v>
      </c>
      <c r="D8" s="28">
        <v>99.715599999999995</v>
      </c>
      <c r="E8" s="29" t="s">
        <v>25</v>
      </c>
    </row>
    <row r="9" spans="1:5" ht="12.75" hidden="1">
      <c r="A9" s="27">
        <v>45544</v>
      </c>
      <c r="B9" s="28">
        <v>1</v>
      </c>
      <c r="C9" s="29" t="s">
        <v>24</v>
      </c>
      <c r="D9" s="28">
        <v>99.715599999999995</v>
      </c>
      <c r="E9" s="29" t="s">
        <v>25</v>
      </c>
    </row>
    <row r="10" spans="1:5" ht="12.75" hidden="1">
      <c r="A10" s="27">
        <v>45545</v>
      </c>
      <c r="B10" s="28">
        <v>1</v>
      </c>
      <c r="C10" s="29" t="s">
        <v>24</v>
      </c>
      <c r="D10" s="28">
        <v>99.906700000000001</v>
      </c>
      <c r="E10" s="29" t="s">
        <v>25</v>
      </c>
    </row>
    <row r="11" spans="1:5" ht="12.75" hidden="1">
      <c r="A11" s="27">
        <v>45546</v>
      </c>
      <c r="B11" s="28">
        <v>1</v>
      </c>
      <c r="C11" s="29" t="s">
        <v>24</v>
      </c>
      <c r="D11" s="28">
        <v>100.4995</v>
      </c>
      <c r="E11" s="29" t="s">
        <v>25</v>
      </c>
    </row>
    <row r="12" spans="1:5" ht="12.75" hidden="1">
      <c r="A12" s="27">
        <v>45547</v>
      </c>
      <c r="B12" s="28">
        <v>1</v>
      </c>
      <c r="C12" s="29" t="s">
        <v>24</v>
      </c>
      <c r="D12" s="28">
        <v>100.74209999999999</v>
      </c>
      <c r="E12" s="29" t="s">
        <v>25</v>
      </c>
    </row>
    <row r="13" spans="1:5" ht="12.75" hidden="1">
      <c r="A13" s="27">
        <v>45548</v>
      </c>
      <c r="B13" s="28">
        <v>1</v>
      </c>
      <c r="C13" s="29" t="s">
        <v>24</v>
      </c>
      <c r="D13" s="28">
        <v>100.3907</v>
      </c>
      <c r="E13" s="29" t="s">
        <v>25</v>
      </c>
    </row>
    <row r="14" spans="1:5" ht="12.75" hidden="1">
      <c r="A14" s="27">
        <v>45549</v>
      </c>
      <c r="B14" s="28">
        <v>1</v>
      </c>
      <c r="C14" s="29" t="s">
        <v>24</v>
      </c>
      <c r="D14" s="28">
        <v>100.7958</v>
      </c>
      <c r="E14" s="29" t="s">
        <v>25</v>
      </c>
    </row>
    <row r="15" spans="1:5" ht="12.75" hidden="1">
      <c r="A15" s="27">
        <v>45550</v>
      </c>
      <c r="B15" s="28">
        <v>1</v>
      </c>
      <c r="C15" s="29" t="s">
        <v>24</v>
      </c>
      <c r="D15" s="28">
        <v>100.7958</v>
      </c>
      <c r="E15" s="29" t="s">
        <v>25</v>
      </c>
    </row>
    <row r="16" spans="1:5" ht="12.75" hidden="1">
      <c r="A16" s="27">
        <v>45551</v>
      </c>
      <c r="B16" s="28">
        <v>1</v>
      </c>
      <c r="C16" s="29" t="s">
        <v>24</v>
      </c>
      <c r="D16" s="28">
        <v>100.7958</v>
      </c>
      <c r="E16" s="29" t="s">
        <v>25</v>
      </c>
    </row>
    <row r="17" spans="1:5" ht="12.75" hidden="1">
      <c r="A17" s="27">
        <v>45552</v>
      </c>
      <c r="B17" s="28">
        <v>1</v>
      </c>
      <c r="C17" s="29" t="s">
        <v>24</v>
      </c>
      <c r="D17" s="28">
        <v>101.27889999999999</v>
      </c>
      <c r="E17" s="29" t="s">
        <v>25</v>
      </c>
    </row>
    <row r="18" spans="1:5" ht="12.75" hidden="1">
      <c r="A18" s="27">
        <v>45553</v>
      </c>
      <c r="B18" s="28">
        <v>1</v>
      </c>
      <c r="C18" s="29" t="s">
        <v>24</v>
      </c>
      <c r="D18" s="28">
        <v>101.5057</v>
      </c>
      <c r="E18" s="29" t="s">
        <v>25</v>
      </c>
    </row>
    <row r="19" spans="1:5" ht="12.75" hidden="1">
      <c r="A19" s="27">
        <v>45554</v>
      </c>
      <c r="B19" s="28">
        <v>1</v>
      </c>
      <c r="C19" s="29" t="s">
        <v>24</v>
      </c>
      <c r="D19" s="28">
        <v>102.039</v>
      </c>
      <c r="E19" s="29" t="s">
        <v>25</v>
      </c>
    </row>
    <row r="20" spans="1:5" ht="12.75" hidden="1">
      <c r="A20" s="27">
        <v>45555</v>
      </c>
      <c r="B20" s="28">
        <v>1</v>
      </c>
      <c r="C20" s="29" t="s">
        <v>24</v>
      </c>
      <c r="D20" s="28">
        <v>103.249</v>
      </c>
      <c r="E20" s="29" t="s">
        <v>25</v>
      </c>
    </row>
    <row r="21" spans="1:5" ht="12.75" hidden="1">
      <c r="A21" s="27">
        <v>45556</v>
      </c>
      <c r="B21" s="28">
        <v>1</v>
      </c>
      <c r="C21" s="29" t="s">
        <v>24</v>
      </c>
      <c r="D21" s="28">
        <v>103.37730000000001</v>
      </c>
      <c r="E21" s="29" t="s">
        <v>25</v>
      </c>
    </row>
    <row r="22" spans="1:5" ht="12.75" hidden="1">
      <c r="A22" s="27">
        <v>45557</v>
      </c>
      <c r="B22" s="28">
        <v>1</v>
      </c>
      <c r="C22" s="29" t="s">
        <v>24</v>
      </c>
      <c r="D22" s="28">
        <v>103.37730000000001</v>
      </c>
      <c r="E22" s="29" t="s">
        <v>25</v>
      </c>
    </row>
    <row r="23" spans="1:5" ht="12.75" hidden="1">
      <c r="A23" s="27">
        <v>45558</v>
      </c>
      <c r="B23" s="28">
        <v>1</v>
      </c>
      <c r="C23" s="29" t="s">
        <v>24</v>
      </c>
      <c r="D23" s="28">
        <v>103.37730000000001</v>
      </c>
      <c r="E23" s="29" t="s">
        <v>25</v>
      </c>
    </row>
    <row r="24" spans="1:5" ht="12.75" hidden="1">
      <c r="A24" s="27">
        <v>45559</v>
      </c>
      <c r="B24" s="28">
        <v>1</v>
      </c>
      <c r="C24" s="29" t="s">
        <v>24</v>
      </c>
      <c r="D24" s="28">
        <v>103.2191</v>
      </c>
      <c r="E24" s="29" t="s">
        <v>25</v>
      </c>
    </row>
    <row r="25" spans="1:5" ht="12.75" hidden="1">
      <c r="A25" s="27">
        <v>45560</v>
      </c>
      <c r="B25" s="28">
        <v>1</v>
      </c>
      <c r="C25" s="29" t="s">
        <v>24</v>
      </c>
      <c r="D25" s="28">
        <v>103.41</v>
      </c>
      <c r="E25" s="29" t="s">
        <v>25</v>
      </c>
    </row>
    <row r="26" spans="1:5" ht="12.75" hidden="1">
      <c r="A26" s="27">
        <v>45561</v>
      </c>
      <c r="B26" s="28">
        <v>1</v>
      </c>
      <c r="C26" s="29" t="s">
        <v>24</v>
      </c>
      <c r="D26" s="28">
        <v>103.47580000000001</v>
      </c>
      <c r="E26" s="29" t="s">
        <v>25</v>
      </c>
    </row>
    <row r="27" spans="1:5" ht="12.75" hidden="1">
      <c r="A27" s="27">
        <v>45562</v>
      </c>
      <c r="B27" s="28">
        <v>1</v>
      </c>
      <c r="C27" s="29" t="s">
        <v>24</v>
      </c>
      <c r="D27" s="28">
        <v>103.1931</v>
      </c>
      <c r="E27" s="29" t="s">
        <v>25</v>
      </c>
    </row>
    <row r="28" spans="1:5" ht="12.75" hidden="1">
      <c r="A28" s="27">
        <v>45565</v>
      </c>
      <c r="B28" s="28">
        <v>1</v>
      </c>
      <c r="C28" s="29" t="s">
        <v>24</v>
      </c>
      <c r="D28" s="28">
        <v>103.46939999999999</v>
      </c>
      <c r="E28" s="29" t="s">
        <v>25</v>
      </c>
    </row>
    <row r="29" spans="1:5" ht="12.75" hidden="1">
      <c r="A29" s="27">
        <v>45566</v>
      </c>
      <c r="B29" s="28">
        <v>1</v>
      </c>
      <c r="C29" s="29" t="s">
        <v>24</v>
      </c>
      <c r="D29" s="28">
        <v>104.1735</v>
      </c>
      <c r="E29" s="29" t="s">
        <v>25</v>
      </c>
    </row>
    <row r="30" spans="1:5" ht="12.75" hidden="1">
      <c r="A30" s="27">
        <v>45567</v>
      </c>
      <c r="B30" s="28">
        <v>1</v>
      </c>
      <c r="C30" s="29" t="s">
        <v>24</v>
      </c>
      <c r="D30" s="28">
        <v>103.6502</v>
      </c>
      <c r="E30" s="29" t="s">
        <v>25</v>
      </c>
    </row>
    <row r="31" spans="1:5" ht="12.75" hidden="1">
      <c r="A31" s="27">
        <v>45568</v>
      </c>
      <c r="B31" s="28">
        <v>1</v>
      </c>
      <c r="C31" s="29" t="s">
        <v>24</v>
      </c>
      <c r="D31" s="28">
        <v>104.4481</v>
      </c>
      <c r="E31" s="29" t="s">
        <v>25</v>
      </c>
    </row>
    <row r="32" spans="1:5" ht="12.75" hidden="1">
      <c r="A32" s="27">
        <v>45569</v>
      </c>
      <c r="B32" s="28">
        <v>1</v>
      </c>
      <c r="C32" s="29" t="s">
        <v>24</v>
      </c>
      <c r="D32" s="28">
        <v>104.8664</v>
      </c>
      <c r="E32" s="29" t="s">
        <v>25</v>
      </c>
    </row>
    <row r="33" spans="1:5" ht="12.75" hidden="1">
      <c r="A33" s="27">
        <v>45570</v>
      </c>
      <c r="B33" s="28">
        <v>1</v>
      </c>
      <c r="C33" s="29" t="s">
        <v>24</v>
      </c>
      <c r="D33" s="28">
        <v>104.7424</v>
      </c>
      <c r="E33" s="29" t="s">
        <v>25</v>
      </c>
    </row>
    <row r="34" spans="1:5" ht="12.75" hidden="1">
      <c r="A34" s="27">
        <v>45571</v>
      </c>
      <c r="B34" s="28">
        <v>1</v>
      </c>
      <c r="C34" s="29" t="s">
        <v>24</v>
      </c>
      <c r="D34" s="28">
        <v>104.7424</v>
      </c>
      <c r="E34" s="29" t="s">
        <v>25</v>
      </c>
    </row>
    <row r="35" spans="1:5" ht="12.75" hidden="1">
      <c r="A35" s="27">
        <v>45572</v>
      </c>
      <c r="B35" s="28">
        <v>1</v>
      </c>
      <c r="C35" s="29" t="s">
        <v>24</v>
      </c>
      <c r="D35" s="28">
        <v>104.7424</v>
      </c>
      <c r="E35" s="29" t="s">
        <v>25</v>
      </c>
    </row>
    <row r="36" spans="1:5" ht="12.75" hidden="1">
      <c r="A36" s="27">
        <v>45573</v>
      </c>
      <c r="B36" s="28">
        <v>1</v>
      </c>
      <c r="C36" s="29" t="s">
        <v>24</v>
      </c>
      <c r="D36" s="28">
        <v>105.3069</v>
      </c>
      <c r="E36" s="29" t="s">
        <v>25</v>
      </c>
    </row>
    <row r="37" spans="1:5" ht="12.75" hidden="1">
      <c r="A37" s="27">
        <v>45574</v>
      </c>
      <c r="B37" s="28">
        <v>1</v>
      </c>
      <c r="C37" s="29" t="s">
        <v>24</v>
      </c>
      <c r="D37" s="28">
        <v>105.6891</v>
      </c>
      <c r="E37" s="29" t="s">
        <v>25</v>
      </c>
    </row>
    <row r="38" spans="1:5" ht="12.75" hidden="1">
      <c r="A38" s="27">
        <v>45575</v>
      </c>
      <c r="B38" s="28">
        <v>1</v>
      </c>
      <c r="C38" s="29" t="s">
        <v>24</v>
      </c>
      <c r="D38" s="28">
        <v>106.4175</v>
      </c>
      <c r="E38" s="29" t="s">
        <v>25</v>
      </c>
    </row>
    <row r="39" spans="1:5" ht="12.75" hidden="1">
      <c r="A39" s="27">
        <v>45576</v>
      </c>
      <c r="B39" s="28">
        <v>1</v>
      </c>
      <c r="C39" s="29" t="s">
        <v>24</v>
      </c>
      <c r="D39" s="28">
        <v>106.5074</v>
      </c>
      <c r="E39" s="29" t="s">
        <v>25</v>
      </c>
    </row>
    <row r="40" spans="1:5" ht="12.75" hidden="1">
      <c r="A40" s="27">
        <v>45577</v>
      </c>
      <c r="B40" s="28">
        <v>1</v>
      </c>
      <c r="C40" s="29" t="s">
        <v>24</v>
      </c>
      <c r="D40" s="28">
        <v>105.1095</v>
      </c>
      <c r="E40" s="29" t="s">
        <v>25</v>
      </c>
    </row>
    <row r="41" spans="1:5" ht="12.75" hidden="1">
      <c r="A41" s="27">
        <v>45578</v>
      </c>
      <c r="B41" s="28">
        <v>1</v>
      </c>
      <c r="C41" s="29" t="s">
        <v>24</v>
      </c>
      <c r="D41" s="28">
        <v>105.1095</v>
      </c>
      <c r="E41" s="29" t="s">
        <v>25</v>
      </c>
    </row>
    <row r="42" spans="1:5" ht="12.75" hidden="1">
      <c r="A42" s="27">
        <v>45579</v>
      </c>
      <c r="B42" s="28">
        <v>1</v>
      </c>
      <c r="C42" s="29" t="s">
        <v>24</v>
      </c>
      <c r="D42" s="28">
        <v>105.1095</v>
      </c>
      <c r="E42" s="29" t="s">
        <v>25</v>
      </c>
    </row>
    <row r="43" spans="1:5" ht="12.75" hidden="1">
      <c r="A43" s="27">
        <v>45580</v>
      </c>
      <c r="B43" s="28">
        <v>1</v>
      </c>
      <c r="C43" s="29" t="s">
        <v>24</v>
      </c>
      <c r="D43" s="28">
        <v>105.4854</v>
      </c>
      <c r="E43" s="29" t="s">
        <v>25</v>
      </c>
    </row>
    <row r="44" spans="1:5" ht="12.75" hidden="1">
      <c r="A44" s="27">
        <v>45581</v>
      </c>
      <c r="B44" s="28">
        <v>1</v>
      </c>
      <c r="C44" s="29" t="s">
        <v>24</v>
      </c>
      <c r="D44" s="28">
        <v>105.67570000000001</v>
      </c>
      <c r="E44" s="29" t="s">
        <v>25</v>
      </c>
    </row>
    <row r="45" spans="1:5" ht="12.75" hidden="1">
      <c r="A45" s="27">
        <v>45582</v>
      </c>
      <c r="B45" s="28">
        <v>1</v>
      </c>
      <c r="C45" s="29" t="s">
        <v>24</v>
      </c>
      <c r="D45" s="28">
        <v>106.0844</v>
      </c>
      <c r="E45" s="29" t="s">
        <v>25</v>
      </c>
    </row>
    <row r="46" spans="1:5" ht="12.75" hidden="1">
      <c r="A46" s="27">
        <v>45583</v>
      </c>
      <c r="B46" s="28">
        <v>1</v>
      </c>
      <c r="C46" s="29" t="s">
        <v>24</v>
      </c>
      <c r="D46" s="28">
        <v>105.756</v>
      </c>
      <c r="E46" s="29" t="s">
        <v>25</v>
      </c>
    </row>
    <row r="47" spans="1:5" ht="12.75" hidden="1">
      <c r="A47" s="27">
        <v>45584</v>
      </c>
      <c r="B47" s="28">
        <v>1</v>
      </c>
      <c r="C47" s="29" t="s">
        <v>24</v>
      </c>
      <c r="D47" s="28">
        <v>104.8565</v>
      </c>
      <c r="E47" s="29" t="s">
        <v>25</v>
      </c>
    </row>
    <row r="48" spans="1:5" ht="12.75" hidden="1">
      <c r="A48" s="27">
        <v>45585</v>
      </c>
      <c r="B48" s="28">
        <v>1</v>
      </c>
      <c r="C48" s="29" t="s">
        <v>24</v>
      </c>
      <c r="D48" s="28">
        <v>104.8565</v>
      </c>
      <c r="E48" s="29" t="s">
        <v>25</v>
      </c>
    </row>
    <row r="49" spans="1:5" ht="12.75" hidden="1">
      <c r="A49" s="27">
        <v>45586</v>
      </c>
      <c r="B49" s="30">
        <v>1</v>
      </c>
      <c r="C49" s="31" t="s">
        <v>24</v>
      </c>
      <c r="D49" s="28">
        <v>104.8565</v>
      </c>
      <c r="E49" s="31" t="s">
        <v>25</v>
      </c>
    </row>
    <row r="50" spans="1:5" ht="12.75" hidden="1">
      <c r="A50" s="27">
        <v>45587</v>
      </c>
      <c r="B50" s="30">
        <v>1</v>
      </c>
      <c r="C50" s="31" t="s">
        <v>24</v>
      </c>
      <c r="D50" s="28">
        <v>104.4016</v>
      </c>
      <c r="E50" s="31" t="s">
        <v>25</v>
      </c>
    </row>
    <row r="51" spans="1:5" ht="12.75" hidden="1">
      <c r="A51" s="27">
        <v>45588</v>
      </c>
      <c r="B51" s="30">
        <v>1</v>
      </c>
      <c r="C51" s="31" t="s">
        <v>24</v>
      </c>
      <c r="D51" s="28">
        <v>104.866</v>
      </c>
      <c r="E51" s="31" t="s">
        <v>25</v>
      </c>
    </row>
    <row r="52" spans="1:5" ht="12.75" hidden="1">
      <c r="A52" s="32">
        <v>45589</v>
      </c>
      <c r="B52" s="28">
        <v>1</v>
      </c>
      <c r="C52" s="29" t="s">
        <v>24</v>
      </c>
      <c r="D52" s="28">
        <v>104.3815</v>
      </c>
      <c r="E52" s="29" t="s">
        <v>25</v>
      </c>
    </row>
    <row r="53" spans="1:5" ht="12.75" hidden="1">
      <c r="A53" s="32">
        <v>45590</v>
      </c>
      <c r="B53" s="28">
        <v>1</v>
      </c>
      <c r="C53" s="29" t="s">
        <v>24</v>
      </c>
      <c r="D53" s="28">
        <v>104.51390000000001</v>
      </c>
      <c r="E53" s="29" t="s">
        <v>25</v>
      </c>
    </row>
    <row r="54" spans="1:5" ht="12.75" hidden="1">
      <c r="A54" s="32">
        <v>45591</v>
      </c>
      <c r="B54" s="28">
        <v>1</v>
      </c>
      <c r="C54" s="29" t="s">
        <v>24</v>
      </c>
      <c r="D54" s="28">
        <v>104.8094</v>
      </c>
      <c r="E54" s="29" t="s">
        <v>25</v>
      </c>
    </row>
    <row r="55" spans="1:5" ht="12.75" hidden="1">
      <c r="A55" s="32">
        <v>45592</v>
      </c>
      <c r="B55" s="28">
        <v>1</v>
      </c>
      <c r="C55" s="29" t="s">
        <v>24</v>
      </c>
      <c r="D55" s="28">
        <v>104.8094</v>
      </c>
      <c r="E55" s="29" t="s">
        <v>25</v>
      </c>
    </row>
    <row r="56" spans="1:5" ht="12.75" hidden="1">
      <c r="A56" s="32">
        <v>45593</v>
      </c>
      <c r="B56" s="28">
        <v>1</v>
      </c>
      <c r="C56" s="29" t="s">
        <v>24</v>
      </c>
      <c r="D56" s="28">
        <v>104.8094</v>
      </c>
      <c r="E56" s="29" t="s">
        <v>25</v>
      </c>
    </row>
    <row r="57" spans="1:5" ht="12.75" hidden="1">
      <c r="A57" s="32">
        <v>45594</v>
      </c>
      <c r="B57" s="28">
        <v>1</v>
      </c>
      <c r="C57" s="29" t="s">
        <v>24</v>
      </c>
      <c r="D57" s="28">
        <v>105.2229</v>
      </c>
      <c r="E57" s="29" t="s">
        <v>25</v>
      </c>
    </row>
    <row r="58" spans="1:5" ht="12.75" hidden="1">
      <c r="A58" s="32">
        <v>45595</v>
      </c>
      <c r="B58" s="28">
        <v>1</v>
      </c>
      <c r="C58" s="29" t="s">
        <v>24</v>
      </c>
      <c r="D58" s="28">
        <v>105.4375</v>
      </c>
      <c r="E58" s="29" t="s">
        <v>25</v>
      </c>
    </row>
    <row r="59" spans="1:5" ht="12.75" hidden="1">
      <c r="A59" s="32">
        <v>45596</v>
      </c>
      <c r="B59" s="28">
        <v>1</v>
      </c>
      <c r="C59" s="29" t="s">
        <v>24</v>
      </c>
      <c r="D59" s="28">
        <v>105.22110000000001</v>
      </c>
      <c r="E59" s="29" t="s">
        <v>25</v>
      </c>
    </row>
    <row r="60" spans="1:5" ht="12.75" hidden="1">
      <c r="A60" s="27">
        <v>45597</v>
      </c>
      <c r="B60" s="28">
        <v>1</v>
      </c>
      <c r="C60" s="29" t="s">
        <v>24</v>
      </c>
      <c r="D60" s="28">
        <v>105.5231</v>
      </c>
      <c r="E60" s="29" t="s">
        <v>25</v>
      </c>
    </row>
    <row r="61" spans="1:5" ht="12.75" hidden="1">
      <c r="A61" s="27">
        <v>45598</v>
      </c>
      <c r="B61" s="28">
        <v>1</v>
      </c>
      <c r="C61" s="29" t="s">
        <v>24</v>
      </c>
      <c r="D61" s="28">
        <v>105.8415</v>
      </c>
      <c r="E61" s="29" t="s">
        <v>25</v>
      </c>
    </row>
    <row r="62" spans="1:5" ht="12.75" hidden="1">
      <c r="A62" s="27">
        <v>45599</v>
      </c>
      <c r="B62" s="28">
        <v>1</v>
      </c>
      <c r="C62" s="29" t="s">
        <v>24</v>
      </c>
      <c r="D62" s="28">
        <v>106.1426</v>
      </c>
      <c r="E62" s="29" t="s">
        <v>25</v>
      </c>
    </row>
    <row r="63" spans="1:5" ht="12.75" hidden="1">
      <c r="A63" s="27">
        <v>45600</v>
      </c>
      <c r="B63" s="28">
        <v>1</v>
      </c>
      <c r="C63" s="29" t="s">
        <v>24</v>
      </c>
      <c r="D63" s="28">
        <v>106.1426</v>
      </c>
      <c r="E63" s="29" t="s">
        <v>25</v>
      </c>
    </row>
    <row r="64" spans="1:5" ht="12.75" hidden="1">
      <c r="A64" s="27">
        <v>45601</v>
      </c>
      <c r="B64" s="28">
        <v>1</v>
      </c>
      <c r="C64" s="29" t="s">
        <v>24</v>
      </c>
      <c r="D64" s="28">
        <v>106.1426</v>
      </c>
      <c r="E64" s="29" t="s">
        <v>25</v>
      </c>
    </row>
    <row r="65" spans="1:5" ht="12.75" hidden="1">
      <c r="A65" s="27">
        <v>45602</v>
      </c>
      <c r="B65" s="28">
        <v>1</v>
      </c>
      <c r="C65" s="29" t="s">
        <v>24</v>
      </c>
      <c r="D65" s="28">
        <v>106.8883</v>
      </c>
      <c r="E65" s="29" t="s">
        <v>25</v>
      </c>
    </row>
    <row r="66" spans="1:5" ht="12.75" hidden="1">
      <c r="A66" s="27">
        <v>45603</v>
      </c>
      <c r="B66" s="28">
        <v>1</v>
      </c>
      <c r="C66" s="29" t="s">
        <v>24</v>
      </c>
      <c r="D66" s="28">
        <v>105.7086</v>
      </c>
      <c r="E66" s="29" t="s">
        <v>25</v>
      </c>
    </row>
    <row r="67" spans="1:5" ht="12.75" hidden="1">
      <c r="A67" s="27">
        <v>45604</v>
      </c>
      <c r="B67" s="28">
        <v>1</v>
      </c>
      <c r="C67" s="29" t="s">
        <v>24</v>
      </c>
      <c r="D67" s="28">
        <v>105.56789999999999</v>
      </c>
      <c r="E67" s="29" t="s">
        <v>25</v>
      </c>
    </row>
    <row r="68" spans="1:5" ht="12.75" hidden="1">
      <c r="A68" s="27">
        <v>45605</v>
      </c>
      <c r="B68" s="28">
        <v>1</v>
      </c>
      <c r="C68" s="29" t="s">
        <v>24</v>
      </c>
      <c r="D68" s="28">
        <v>105.45099999999999</v>
      </c>
      <c r="E68" s="29" t="s">
        <v>25</v>
      </c>
    </row>
    <row r="69" spans="1:5" ht="12.75" hidden="1">
      <c r="A69" s="27">
        <v>45606</v>
      </c>
      <c r="B69" s="28">
        <v>1</v>
      </c>
      <c r="C69" s="29" t="s">
        <v>24</v>
      </c>
      <c r="D69" s="28">
        <v>105.45099999999999</v>
      </c>
      <c r="E69" s="29" t="s">
        <v>25</v>
      </c>
    </row>
    <row r="70" spans="1:5" ht="12.75" hidden="1">
      <c r="A70" s="27">
        <v>45607</v>
      </c>
      <c r="B70" s="28">
        <v>1</v>
      </c>
      <c r="C70" s="29" t="s">
        <v>24</v>
      </c>
      <c r="D70" s="28">
        <v>105.45099999999999</v>
      </c>
      <c r="E70" s="29" t="s">
        <v>25</v>
      </c>
    </row>
    <row r="71" spans="1:5" ht="12.75" hidden="1">
      <c r="A71" s="27">
        <v>45608</v>
      </c>
      <c r="B71" s="28">
        <v>1</v>
      </c>
      <c r="C71" s="29" t="s">
        <v>24</v>
      </c>
      <c r="D71" s="28">
        <v>104.8522</v>
      </c>
      <c r="E71" s="29" t="s">
        <v>25</v>
      </c>
    </row>
    <row r="72" spans="1:5" ht="12.75" hidden="1">
      <c r="A72" s="27">
        <v>45609</v>
      </c>
      <c r="B72" s="28">
        <v>1</v>
      </c>
      <c r="C72" s="29" t="s">
        <v>24</v>
      </c>
      <c r="D72" s="28">
        <v>104.2533</v>
      </c>
      <c r="E72" s="29" t="s">
        <v>25</v>
      </c>
    </row>
    <row r="73" spans="1:5" ht="12.75" hidden="1">
      <c r="A73" s="27">
        <v>45610</v>
      </c>
      <c r="B73" s="28">
        <v>1</v>
      </c>
      <c r="C73" s="29" t="s">
        <v>24</v>
      </c>
      <c r="D73" s="28">
        <v>104.2901</v>
      </c>
      <c r="E73" s="29" t="s">
        <v>25</v>
      </c>
    </row>
    <row r="74" spans="1:5" ht="12.75" hidden="1">
      <c r="A74" s="27">
        <v>45611</v>
      </c>
      <c r="B74" s="28">
        <v>1</v>
      </c>
      <c r="C74" s="29" t="s">
        <v>24</v>
      </c>
      <c r="D74" s="28">
        <v>104.5016</v>
      </c>
      <c r="E74" s="29" t="s">
        <v>25</v>
      </c>
    </row>
    <row r="75" spans="1:5" ht="12.75" hidden="1">
      <c r="A75" s="27">
        <v>45612</v>
      </c>
      <c r="B75" s="28">
        <v>1</v>
      </c>
      <c r="C75" s="29" t="s">
        <v>24</v>
      </c>
      <c r="D75" s="28">
        <v>105.7072</v>
      </c>
      <c r="E75" s="29" t="s">
        <v>25</v>
      </c>
    </row>
    <row r="76" spans="1:5" ht="12.75" hidden="1">
      <c r="A76" s="27">
        <v>45613</v>
      </c>
      <c r="B76" s="28">
        <v>1</v>
      </c>
      <c r="C76" s="29" t="s">
        <v>24</v>
      </c>
      <c r="D76" s="28">
        <v>105.7072</v>
      </c>
      <c r="E76" s="29" t="s">
        <v>25</v>
      </c>
    </row>
    <row r="77" spans="1:5" ht="12.75" hidden="1">
      <c r="A77" s="27">
        <v>45614</v>
      </c>
      <c r="B77" s="28">
        <v>1</v>
      </c>
      <c r="C77" s="29" t="s">
        <v>24</v>
      </c>
      <c r="D77" s="28">
        <v>105.7072</v>
      </c>
      <c r="E77" s="29" t="s">
        <v>25</v>
      </c>
    </row>
    <row r="78" spans="1:5" ht="12.75" hidden="1">
      <c r="A78" s="27">
        <v>45615</v>
      </c>
      <c r="B78" s="28">
        <v>1</v>
      </c>
      <c r="C78" s="29" t="s">
        <v>24</v>
      </c>
      <c r="D78" s="28">
        <v>105.4606</v>
      </c>
      <c r="E78" s="29" t="s">
        <v>25</v>
      </c>
    </row>
    <row r="79" spans="1:5" ht="12.75" hidden="1">
      <c r="A79" s="27">
        <v>45616</v>
      </c>
      <c r="B79" s="28">
        <v>1</v>
      </c>
      <c r="C79" s="29" t="s">
        <v>24</v>
      </c>
      <c r="D79" s="28">
        <v>105.7338</v>
      </c>
      <c r="E79" s="29" t="s">
        <v>25</v>
      </c>
    </row>
    <row r="80" spans="1:5" ht="12.75" hidden="1">
      <c r="A80" s="27">
        <v>45617</v>
      </c>
      <c r="B80" s="28">
        <v>1</v>
      </c>
      <c r="C80" s="29" t="s">
        <v>24</v>
      </c>
      <c r="D80" s="28">
        <v>105.809</v>
      </c>
      <c r="E80" s="29" t="s">
        <v>25</v>
      </c>
    </row>
    <row r="81" spans="1:5" ht="12.75" hidden="1">
      <c r="A81" s="27">
        <v>45618</v>
      </c>
      <c r="B81" s="28">
        <v>1</v>
      </c>
      <c r="C81" s="29" t="s">
        <v>24</v>
      </c>
      <c r="D81" s="28">
        <v>106.0762</v>
      </c>
      <c r="E81" s="29" t="s">
        <v>25</v>
      </c>
    </row>
    <row r="82" spans="1:5" ht="12.75" hidden="1">
      <c r="A82" s="27">
        <v>45619</v>
      </c>
      <c r="B82" s="28">
        <v>1</v>
      </c>
      <c r="C82" s="29" t="s">
        <v>24</v>
      </c>
      <c r="D82" s="28">
        <v>107.4252</v>
      </c>
      <c r="E82" s="29" t="s">
        <v>25</v>
      </c>
    </row>
    <row r="83" spans="1:5" ht="12.75" hidden="1">
      <c r="A83" s="27">
        <v>45620</v>
      </c>
      <c r="B83" s="28">
        <v>1</v>
      </c>
      <c r="C83" s="29" t="s">
        <v>24</v>
      </c>
      <c r="D83" s="28">
        <v>107.4252</v>
      </c>
      <c r="E83" s="29" t="s">
        <v>25</v>
      </c>
    </row>
    <row r="84" spans="1:5" ht="12.75" hidden="1">
      <c r="A84" s="27">
        <v>45621</v>
      </c>
      <c r="B84" s="28">
        <v>1</v>
      </c>
      <c r="C84" s="29" t="s">
        <v>24</v>
      </c>
      <c r="D84" s="28">
        <v>107.4252</v>
      </c>
      <c r="E84" s="29" t="s">
        <v>25</v>
      </c>
    </row>
    <row r="85" spans="1:5" ht="12.75" hidden="1">
      <c r="A85" s="27">
        <v>45622</v>
      </c>
      <c r="B85" s="28">
        <v>1</v>
      </c>
      <c r="C85" s="29" t="s">
        <v>24</v>
      </c>
      <c r="D85" s="28">
        <v>108.87050000000001</v>
      </c>
      <c r="E85" s="29" t="s">
        <v>25</v>
      </c>
    </row>
    <row r="86" spans="1:5" ht="12.75" hidden="1">
      <c r="A86" s="27">
        <v>45623</v>
      </c>
      <c r="B86" s="28">
        <v>1</v>
      </c>
      <c r="C86" s="29" t="s">
        <v>24</v>
      </c>
      <c r="D86" s="28">
        <v>110.4943</v>
      </c>
      <c r="E86" s="29" t="s">
        <v>25</v>
      </c>
    </row>
    <row r="87" spans="1:5" ht="12.75" hidden="1">
      <c r="A87" s="27">
        <v>45624</v>
      </c>
      <c r="B87" s="28">
        <v>1</v>
      </c>
      <c r="C87" s="29" t="s">
        <v>24</v>
      </c>
      <c r="D87" s="28">
        <v>113.0947</v>
      </c>
      <c r="E87" s="29" t="s">
        <v>25</v>
      </c>
    </row>
    <row r="88" spans="1:5" ht="12.75" hidden="1">
      <c r="A88" s="27">
        <v>45625</v>
      </c>
      <c r="B88" s="28">
        <v>1</v>
      </c>
      <c r="C88" s="29" t="s">
        <v>24</v>
      </c>
      <c r="D88" s="28">
        <v>116.14100000000001</v>
      </c>
      <c r="E88" s="29" t="s">
        <v>25</v>
      </c>
    </row>
    <row r="89" spans="1:5" ht="12.75" hidden="1">
      <c r="A89" s="27">
        <v>45626</v>
      </c>
      <c r="B89" s="28">
        <v>1</v>
      </c>
      <c r="C89" s="29" t="s">
        <v>24</v>
      </c>
      <c r="D89" s="28">
        <v>114.31489999999999</v>
      </c>
      <c r="E89" s="29" t="s">
        <v>25</v>
      </c>
    </row>
    <row r="90" spans="1:5" ht="12.75" hidden="1">
      <c r="A90" s="27">
        <v>45627</v>
      </c>
      <c r="B90" s="28">
        <v>1</v>
      </c>
      <c r="C90" s="29" t="s">
        <v>24</v>
      </c>
      <c r="D90" s="28">
        <v>114.31489999999999</v>
      </c>
      <c r="E90" s="29" t="s">
        <v>25</v>
      </c>
    </row>
    <row r="91" spans="1:5" ht="12.75" hidden="1">
      <c r="A91" s="27">
        <v>45628</v>
      </c>
      <c r="B91" s="28">
        <v>1</v>
      </c>
      <c r="C91" s="29" t="s">
        <v>24</v>
      </c>
      <c r="D91" s="28">
        <v>114.31489999999999</v>
      </c>
      <c r="E91" s="29" t="s">
        <v>25</v>
      </c>
    </row>
    <row r="92" spans="1:5" ht="12.75" hidden="1">
      <c r="A92" s="27">
        <v>45629</v>
      </c>
      <c r="B92" s="28">
        <v>1</v>
      </c>
      <c r="C92" s="29" t="s">
        <v>24</v>
      </c>
      <c r="D92" s="28">
        <v>112.8019</v>
      </c>
      <c r="E92" s="29" t="s">
        <v>25</v>
      </c>
    </row>
    <row r="93" spans="1:5" ht="12.75" hidden="1">
      <c r="A93" s="27">
        <v>45630</v>
      </c>
      <c r="B93" s="28">
        <v>1</v>
      </c>
      <c r="C93" s="29" t="s">
        <v>24</v>
      </c>
      <c r="D93" s="28">
        <v>112.02</v>
      </c>
      <c r="E93" s="29" t="s">
        <v>25</v>
      </c>
    </row>
    <row r="94" spans="1:5" ht="12.75" hidden="1">
      <c r="A94" s="27">
        <v>45631</v>
      </c>
      <c r="B94" s="28">
        <v>1</v>
      </c>
      <c r="C94" s="29" t="s">
        <v>24</v>
      </c>
      <c r="D94" s="28">
        <v>110.2041</v>
      </c>
      <c r="E94" s="29" t="s">
        <v>25</v>
      </c>
    </row>
    <row r="95" spans="1:5" ht="12.75" hidden="1">
      <c r="A95" s="27">
        <v>45632</v>
      </c>
      <c r="B95" s="28">
        <v>1</v>
      </c>
      <c r="C95" s="29" t="s">
        <v>24</v>
      </c>
      <c r="D95" s="28">
        <v>109.78019999999999</v>
      </c>
      <c r="E95" s="29" t="s">
        <v>25</v>
      </c>
    </row>
    <row r="96" spans="1:5" ht="12.75" hidden="1">
      <c r="A96" s="27">
        <v>45633</v>
      </c>
      <c r="B96" s="28">
        <v>1</v>
      </c>
      <c r="C96" s="29" t="s">
        <v>24</v>
      </c>
      <c r="D96" s="28">
        <v>106.304</v>
      </c>
      <c r="E96" s="29" t="s">
        <v>25</v>
      </c>
    </row>
    <row r="97" spans="1:5" ht="12.75" hidden="1">
      <c r="A97" s="27">
        <v>45634</v>
      </c>
      <c r="B97" s="28">
        <v>1</v>
      </c>
      <c r="C97" s="29" t="s">
        <v>24</v>
      </c>
      <c r="D97" s="28">
        <v>106.304</v>
      </c>
      <c r="E97" s="29" t="s">
        <v>25</v>
      </c>
    </row>
    <row r="98" spans="1:5" ht="12.75" hidden="1">
      <c r="A98" s="27">
        <v>45635</v>
      </c>
      <c r="B98" s="28">
        <v>1</v>
      </c>
      <c r="C98" s="29" t="s">
        <v>24</v>
      </c>
      <c r="D98" s="28">
        <v>106.304</v>
      </c>
      <c r="E98" s="29" t="s">
        <v>25</v>
      </c>
    </row>
    <row r="99" spans="1:5" ht="12.75" hidden="1">
      <c r="A99" s="27">
        <v>45636</v>
      </c>
      <c r="B99" s="28">
        <v>1</v>
      </c>
      <c r="C99" s="29" t="s">
        <v>24</v>
      </c>
      <c r="D99" s="28">
        <v>105.0996</v>
      </c>
      <c r="E99" s="29" t="s">
        <v>25</v>
      </c>
    </row>
    <row r="100" spans="1:5" ht="12.75" hidden="1">
      <c r="A100" s="27">
        <v>45637</v>
      </c>
      <c r="B100" s="28">
        <v>1</v>
      </c>
      <c r="C100" s="29" t="s">
        <v>24</v>
      </c>
      <c r="D100" s="28">
        <v>106.2024</v>
      </c>
      <c r="E100" s="29" t="s">
        <v>25</v>
      </c>
    </row>
    <row r="101" spans="1:5" ht="12.75" hidden="1">
      <c r="A101" s="27">
        <v>45638</v>
      </c>
      <c r="B101" s="28">
        <v>1</v>
      </c>
      <c r="C101" s="29" t="s">
        <v>24</v>
      </c>
      <c r="D101" s="28">
        <v>108.55880000000001</v>
      </c>
      <c r="E101" s="29" t="s">
        <v>25</v>
      </c>
    </row>
    <row r="102" spans="1:5" ht="12.75" hidden="1">
      <c r="A102" s="27">
        <v>45639</v>
      </c>
      <c r="B102" s="28">
        <v>1</v>
      </c>
      <c r="C102" s="29" t="s">
        <v>24</v>
      </c>
      <c r="D102" s="28">
        <v>110.4804</v>
      </c>
      <c r="E102" s="29" t="s">
        <v>25</v>
      </c>
    </row>
    <row r="103" spans="1:5" ht="12.75" hidden="1">
      <c r="A103" s="27">
        <v>45640</v>
      </c>
      <c r="B103" s="28">
        <v>1</v>
      </c>
      <c r="C103" s="29" t="s">
        <v>24</v>
      </c>
      <c r="D103" s="28">
        <v>109.01260000000001</v>
      </c>
      <c r="E103" s="29" t="s">
        <v>25</v>
      </c>
    </row>
    <row r="104" spans="1:5" ht="12.75" hidden="1">
      <c r="A104" s="27">
        <v>45641</v>
      </c>
      <c r="B104" s="28">
        <v>1</v>
      </c>
      <c r="C104" s="29" t="s">
        <v>24</v>
      </c>
      <c r="D104" s="28">
        <v>109.01260000000001</v>
      </c>
      <c r="E104" s="29" t="s">
        <v>25</v>
      </c>
    </row>
    <row r="105" spans="1:5" ht="12.75" hidden="1">
      <c r="A105" s="27">
        <v>45642</v>
      </c>
      <c r="B105" s="28">
        <v>1</v>
      </c>
      <c r="C105" s="29" t="s">
        <v>24</v>
      </c>
      <c r="D105" s="28">
        <v>109.01260000000001</v>
      </c>
      <c r="E105" s="29" t="s">
        <v>25</v>
      </c>
    </row>
    <row r="106" spans="1:5" ht="12.75" hidden="1">
      <c r="A106" s="27">
        <v>45643</v>
      </c>
      <c r="B106" s="28">
        <v>1</v>
      </c>
      <c r="C106" s="29" t="s">
        <v>24</v>
      </c>
      <c r="D106" s="28">
        <v>108.7016</v>
      </c>
      <c r="E106" s="29" t="s">
        <v>25</v>
      </c>
    </row>
    <row r="107" spans="1:5" ht="12.75" hidden="1">
      <c r="A107" s="27">
        <v>45644</v>
      </c>
      <c r="B107" s="28">
        <v>1</v>
      </c>
      <c r="C107" s="29" t="s">
        <v>24</v>
      </c>
      <c r="D107" s="28">
        <v>108.34439999999999</v>
      </c>
      <c r="E107" s="29" t="s">
        <v>25</v>
      </c>
    </row>
    <row r="108" spans="1:5" ht="12.75" hidden="1">
      <c r="A108" s="27">
        <v>45645</v>
      </c>
      <c r="B108" s="28">
        <v>1</v>
      </c>
      <c r="C108" s="29" t="s">
        <v>24</v>
      </c>
      <c r="D108" s="28">
        <v>108.50830000000001</v>
      </c>
      <c r="E108" s="29" t="s">
        <v>25</v>
      </c>
    </row>
    <row r="109" spans="1:5" ht="12.75" hidden="1">
      <c r="A109" s="27">
        <v>45646</v>
      </c>
      <c r="B109" s="28">
        <v>1</v>
      </c>
      <c r="C109" s="29" t="s">
        <v>24</v>
      </c>
      <c r="D109" s="28">
        <v>107.9576</v>
      </c>
      <c r="E109" s="29" t="s">
        <v>25</v>
      </c>
    </row>
    <row r="110" spans="1:5" ht="12.75" hidden="1">
      <c r="A110" s="27">
        <v>45647</v>
      </c>
      <c r="B110" s="28">
        <v>1</v>
      </c>
      <c r="C110" s="29" t="s">
        <v>24</v>
      </c>
      <c r="D110" s="28">
        <v>106.5444</v>
      </c>
      <c r="E110" s="29" t="s">
        <v>25</v>
      </c>
    </row>
    <row r="111" spans="1:5" ht="12.75" hidden="1">
      <c r="A111" s="27">
        <v>45648</v>
      </c>
      <c r="B111" s="28">
        <v>1</v>
      </c>
      <c r="C111" s="29" t="s">
        <v>24</v>
      </c>
      <c r="D111" s="28">
        <v>106.5444</v>
      </c>
      <c r="E111" s="29" t="s">
        <v>25</v>
      </c>
    </row>
    <row r="112" spans="1:5" ht="12.75" hidden="1">
      <c r="A112" s="27">
        <v>45649</v>
      </c>
      <c r="B112" s="28">
        <v>1</v>
      </c>
      <c r="C112" s="29" t="s">
        <v>24</v>
      </c>
      <c r="D112" s="28">
        <v>106.5444</v>
      </c>
      <c r="E112" s="29" t="s">
        <v>25</v>
      </c>
    </row>
    <row r="113" spans="1:5" ht="12.75" hidden="1">
      <c r="A113" s="27">
        <v>45650</v>
      </c>
      <c r="B113" s="28">
        <v>1</v>
      </c>
      <c r="C113" s="29" t="s">
        <v>24</v>
      </c>
      <c r="D113" s="28">
        <v>105.2512</v>
      </c>
      <c r="E113" s="29" t="s">
        <v>25</v>
      </c>
    </row>
    <row r="114" spans="1:5" ht="12.75" hidden="1">
      <c r="A114" s="27">
        <v>45651</v>
      </c>
      <c r="B114" s="28">
        <v>1</v>
      </c>
      <c r="C114" s="29" t="s">
        <v>24</v>
      </c>
      <c r="D114" s="28">
        <v>104.23099999999999</v>
      </c>
      <c r="E114" s="29" t="s">
        <v>25</v>
      </c>
    </row>
    <row r="115" spans="1:5" ht="12.75" hidden="1">
      <c r="A115" s="27">
        <v>45652</v>
      </c>
      <c r="B115" s="28">
        <v>1</v>
      </c>
      <c r="C115" s="29" t="s">
        <v>24</v>
      </c>
      <c r="D115" s="28">
        <v>103.94159999999999</v>
      </c>
      <c r="E115" s="29" t="s">
        <v>25</v>
      </c>
    </row>
    <row r="116" spans="1:5" ht="12.75" hidden="1">
      <c r="A116" s="27">
        <v>45653</v>
      </c>
      <c r="B116" s="28">
        <v>1</v>
      </c>
      <c r="C116" s="29" t="s">
        <v>24</v>
      </c>
      <c r="D116" s="28">
        <v>103.2997</v>
      </c>
      <c r="E116" s="29" t="s">
        <v>25</v>
      </c>
    </row>
    <row r="117" spans="1:5" ht="12.75" hidden="1">
      <c r="A117" s="27">
        <v>45654</v>
      </c>
      <c r="B117" s="28">
        <v>1</v>
      </c>
      <c r="C117" s="29" t="s">
        <v>24</v>
      </c>
      <c r="D117" s="33">
        <v>105.9522</v>
      </c>
      <c r="E117" s="29" t="s">
        <v>25</v>
      </c>
    </row>
    <row r="118" spans="1:5" ht="12.75" hidden="1">
      <c r="A118" s="32">
        <v>45655</v>
      </c>
      <c r="B118" s="28">
        <v>1</v>
      </c>
      <c r="C118" s="29" t="s">
        <v>24</v>
      </c>
      <c r="D118" s="28">
        <v>106.1028</v>
      </c>
      <c r="E118" s="29" t="s">
        <v>25</v>
      </c>
    </row>
    <row r="119" spans="1:5" ht="12.75" hidden="1">
      <c r="A119" s="32">
        <v>45656</v>
      </c>
      <c r="B119" s="28">
        <v>1</v>
      </c>
      <c r="C119" s="29" t="s">
        <v>24</v>
      </c>
      <c r="D119" s="28">
        <v>106.1028</v>
      </c>
      <c r="E119" s="29" t="s">
        <v>25</v>
      </c>
    </row>
    <row r="120" spans="1:5" ht="12.75" hidden="1">
      <c r="A120" s="32">
        <v>45657</v>
      </c>
      <c r="B120" s="28">
        <v>1</v>
      </c>
      <c r="C120" s="29" t="s">
        <v>24</v>
      </c>
      <c r="D120" s="28">
        <v>106.1028</v>
      </c>
      <c r="E120" s="29" t="s">
        <v>25</v>
      </c>
    </row>
    <row r="121" spans="1:5" ht="12.75">
      <c r="A121" s="27">
        <v>45658</v>
      </c>
      <c r="B121" s="28">
        <v>1</v>
      </c>
      <c r="C121" s="29" t="s">
        <v>24</v>
      </c>
      <c r="D121" s="28">
        <v>106.1028</v>
      </c>
      <c r="E121" s="29" t="s">
        <v>25</v>
      </c>
    </row>
    <row r="122" spans="1:5" ht="12.75">
      <c r="A122" s="27">
        <v>45659</v>
      </c>
      <c r="B122" s="28">
        <v>1</v>
      </c>
      <c r="C122" s="29" t="s">
        <v>24</v>
      </c>
      <c r="D122" s="28">
        <v>106.1028</v>
      </c>
      <c r="E122" s="29" t="s">
        <v>25</v>
      </c>
    </row>
    <row r="123" spans="1:5" ht="12.75">
      <c r="A123" s="27">
        <v>45660</v>
      </c>
      <c r="B123" s="28">
        <v>1</v>
      </c>
      <c r="C123" s="29" t="s">
        <v>24</v>
      </c>
      <c r="D123" s="28">
        <v>106.1028</v>
      </c>
      <c r="E123" s="29" t="s">
        <v>25</v>
      </c>
    </row>
    <row r="124" spans="1:5" ht="12.75">
      <c r="A124" s="27">
        <v>45661</v>
      </c>
      <c r="B124" s="28">
        <v>1</v>
      </c>
      <c r="C124" s="29" t="s">
        <v>24</v>
      </c>
      <c r="D124" s="28">
        <v>106.1028</v>
      </c>
      <c r="E124" s="29" t="s">
        <v>25</v>
      </c>
    </row>
    <row r="125" spans="1:5" ht="12.75">
      <c r="A125" s="27">
        <v>45662</v>
      </c>
      <c r="B125" s="28">
        <v>1</v>
      </c>
      <c r="C125" s="29" t="s">
        <v>24</v>
      </c>
      <c r="D125" s="28">
        <v>106.1028</v>
      </c>
      <c r="E125" s="29" t="s">
        <v>25</v>
      </c>
    </row>
    <row r="126" spans="1:5" ht="12.75">
      <c r="A126" s="27">
        <v>45663</v>
      </c>
      <c r="B126" s="28">
        <v>1</v>
      </c>
      <c r="C126" s="29" t="s">
        <v>24</v>
      </c>
      <c r="D126" s="28">
        <v>106.1028</v>
      </c>
      <c r="E126" s="29" t="s">
        <v>25</v>
      </c>
    </row>
    <row r="127" spans="1:5" ht="12.75">
      <c r="A127" s="27">
        <v>45664</v>
      </c>
      <c r="B127" s="28">
        <v>1</v>
      </c>
      <c r="C127" s="29" t="s">
        <v>24</v>
      </c>
      <c r="D127" s="28">
        <v>106.1028</v>
      </c>
      <c r="E127" s="29" t="s">
        <v>25</v>
      </c>
    </row>
    <row r="128" spans="1:5" ht="12.75">
      <c r="A128" s="27">
        <v>45665</v>
      </c>
      <c r="B128" s="28">
        <v>1</v>
      </c>
      <c r="C128" s="29" t="s">
        <v>24</v>
      </c>
      <c r="D128" s="28">
        <v>106.1028</v>
      </c>
      <c r="E128" s="29" t="s">
        <v>25</v>
      </c>
    </row>
    <row r="129" spans="1:5" ht="12.75">
      <c r="A129" s="27">
        <v>45666</v>
      </c>
      <c r="B129" s="28">
        <v>1</v>
      </c>
      <c r="C129" s="29" t="s">
        <v>24</v>
      </c>
      <c r="D129" s="28">
        <v>106.1028</v>
      </c>
      <c r="E129" s="29" t="s">
        <v>25</v>
      </c>
    </row>
    <row r="130" spans="1:5" ht="12.75">
      <c r="A130" s="27">
        <v>45667</v>
      </c>
      <c r="B130" s="28">
        <v>1</v>
      </c>
      <c r="C130" s="29" t="s">
        <v>24</v>
      </c>
      <c r="D130" s="28">
        <v>105.08929999999999</v>
      </c>
      <c r="E130" s="29" t="s">
        <v>25</v>
      </c>
    </row>
    <row r="131" spans="1:5" ht="12.75">
      <c r="A131" s="27">
        <v>45668</v>
      </c>
      <c r="B131" s="28">
        <v>1</v>
      </c>
      <c r="C131" s="29" t="s">
        <v>24</v>
      </c>
      <c r="D131" s="28">
        <v>105.04640000000001</v>
      </c>
      <c r="E131" s="29" t="s">
        <v>25</v>
      </c>
    </row>
    <row r="132" spans="1:5" ht="12.75">
      <c r="A132" s="27">
        <v>45669</v>
      </c>
      <c r="B132" s="28">
        <v>1</v>
      </c>
      <c r="C132" s="29" t="s">
        <v>24</v>
      </c>
      <c r="D132" s="28">
        <v>105.04640000000001</v>
      </c>
      <c r="E132" s="29" t="s">
        <v>25</v>
      </c>
    </row>
    <row r="133" spans="1:5" ht="12.75">
      <c r="A133" s="27">
        <v>45670</v>
      </c>
      <c r="B133" s="28">
        <v>1</v>
      </c>
      <c r="C133" s="29" t="s">
        <v>24</v>
      </c>
      <c r="D133" s="28">
        <v>105.04640000000001</v>
      </c>
      <c r="E133" s="29" t="s">
        <v>25</v>
      </c>
    </row>
    <row r="134" spans="1:5" ht="12.75">
      <c r="A134" s="27">
        <v>45671</v>
      </c>
      <c r="B134" s="28">
        <v>1</v>
      </c>
      <c r="C134" s="29" t="s">
        <v>24</v>
      </c>
      <c r="D134" s="28">
        <v>104.8556</v>
      </c>
      <c r="E134" s="29" t="s">
        <v>25</v>
      </c>
    </row>
    <row r="135" spans="1:5" ht="12.75">
      <c r="A135" s="27">
        <v>45672</v>
      </c>
      <c r="B135" s="28">
        <v>1</v>
      </c>
      <c r="C135" s="29" t="s">
        <v>24</v>
      </c>
      <c r="D135" s="28">
        <v>106.24930000000001</v>
      </c>
      <c r="E135" s="29" t="s">
        <v>25</v>
      </c>
    </row>
    <row r="136" spans="1:5" ht="12.75">
      <c r="A136" s="27">
        <v>45673</v>
      </c>
      <c r="B136" s="28">
        <v>1</v>
      </c>
      <c r="C136" s="29" t="s">
        <v>24</v>
      </c>
      <c r="D136" s="28">
        <v>106.0971</v>
      </c>
      <c r="E136" s="29" t="s">
        <v>25</v>
      </c>
    </row>
    <row r="137" spans="1:5" ht="12.75">
      <c r="A137" s="27">
        <v>45674</v>
      </c>
      <c r="B137" s="28">
        <v>1</v>
      </c>
      <c r="C137" s="29" t="s">
        <v>24</v>
      </c>
      <c r="D137" s="28">
        <v>105.80719999999999</v>
      </c>
      <c r="E137" s="29" t="s">
        <v>25</v>
      </c>
    </row>
    <row r="138" spans="1:5" ht="12.75">
      <c r="A138" s="27">
        <v>45675</v>
      </c>
      <c r="B138" s="28">
        <v>1</v>
      </c>
      <c r="C138" s="29" t="s">
        <v>24</v>
      </c>
      <c r="D138" s="28">
        <v>104.8609</v>
      </c>
      <c r="E138" s="29" t="s">
        <v>25</v>
      </c>
    </row>
    <row r="139" spans="1:5" ht="12.75">
      <c r="A139" s="27">
        <v>45676</v>
      </c>
      <c r="B139" s="28">
        <v>1</v>
      </c>
      <c r="C139" s="29" t="s">
        <v>24</v>
      </c>
      <c r="D139" s="28">
        <v>104.8609</v>
      </c>
      <c r="E139" s="29" t="s">
        <v>25</v>
      </c>
    </row>
    <row r="140" spans="1:5" ht="12.75">
      <c r="A140" s="27">
        <v>45677</v>
      </c>
      <c r="B140" s="28">
        <v>1</v>
      </c>
      <c r="C140" s="29" t="s">
        <v>24</v>
      </c>
      <c r="D140" s="28">
        <v>104.8609</v>
      </c>
      <c r="E140" s="29" t="s">
        <v>25</v>
      </c>
    </row>
    <row r="141" spans="1:5" ht="12.75">
      <c r="A141" s="27">
        <v>45678</v>
      </c>
      <c r="B141" s="28">
        <v>1</v>
      </c>
      <c r="C141" s="29" t="s">
        <v>24</v>
      </c>
      <c r="D141" s="28">
        <v>105.0457</v>
      </c>
      <c r="E141" s="29" t="s">
        <v>25</v>
      </c>
    </row>
    <row r="142" spans="1:5" ht="12.75">
      <c r="A142" s="27">
        <v>45679</v>
      </c>
      <c r="B142" s="28">
        <v>1</v>
      </c>
      <c r="C142" s="29" t="s">
        <v>24</v>
      </c>
      <c r="D142" s="28">
        <v>103.2856</v>
      </c>
      <c r="E142" s="29" t="s">
        <v>25</v>
      </c>
    </row>
    <row r="143" spans="1:5" ht="12.75">
      <c r="A143" s="27">
        <v>45680</v>
      </c>
      <c r="B143" s="28">
        <v>1</v>
      </c>
      <c r="C143" s="29" t="s">
        <v>24</v>
      </c>
      <c r="D143" s="28">
        <v>103.2419</v>
      </c>
      <c r="E143" s="29" t="s">
        <v>25</v>
      </c>
    </row>
    <row r="144" spans="1:5" ht="12.75">
      <c r="A144" s="27">
        <v>45681</v>
      </c>
      <c r="B144" s="28">
        <v>1</v>
      </c>
      <c r="C144" s="29" t="s">
        <v>24</v>
      </c>
      <c r="D144" s="28">
        <v>103.66119999999999</v>
      </c>
      <c r="E144" s="29" t="s">
        <v>25</v>
      </c>
    </row>
    <row r="145" spans="1:5" ht="12.75">
      <c r="A145" s="27">
        <v>45682</v>
      </c>
      <c r="B145" s="28">
        <v>1</v>
      </c>
      <c r="C145" s="29" t="s">
        <v>24</v>
      </c>
      <c r="D145" s="28">
        <v>103.187</v>
      </c>
      <c r="E145" s="29" t="s">
        <v>25</v>
      </c>
    </row>
    <row r="146" spans="1:5" ht="12.75">
      <c r="A146" s="27">
        <v>45683</v>
      </c>
      <c r="B146" s="28">
        <v>1</v>
      </c>
      <c r="C146" s="29" t="s">
        <v>24</v>
      </c>
      <c r="D146" s="28">
        <v>103.187</v>
      </c>
      <c r="E146" s="29" t="s">
        <v>25</v>
      </c>
    </row>
    <row r="147" spans="1:5" ht="12.75">
      <c r="A147" s="27">
        <v>45684</v>
      </c>
      <c r="B147" s="28">
        <v>1</v>
      </c>
      <c r="C147" s="29" t="s">
        <v>24</v>
      </c>
      <c r="D147" s="28">
        <v>103.187</v>
      </c>
      <c r="E147" s="29" t="s">
        <v>25</v>
      </c>
    </row>
    <row r="148" spans="1:5" ht="12.75">
      <c r="A148" s="27">
        <v>45685</v>
      </c>
      <c r="B148" s="28">
        <v>1</v>
      </c>
      <c r="C148" s="29" t="s">
        <v>24</v>
      </c>
      <c r="D148" s="28">
        <v>102.746</v>
      </c>
      <c r="E148" s="29" t="s">
        <v>25</v>
      </c>
    </row>
    <row r="149" spans="1:5" ht="12.75">
      <c r="A149" s="27">
        <v>45686</v>
      </c>
      <c r="B149" s="28">
        <v>1</v>
      </c>
      <c r="C149" s="29" t="s">
        <v>24</v>
      </c>
      <c r="D149" s="28">
        <v>101.59569999999999</v>
      </c>
      <c r="E149" s="29" t="s">
        <v>25</v>
      </c>
    </row>
    <row r="150" spans="1:5" ht="12.75">
      <c r="A150" s="27">
        <v>45687</v>
      </c>
      <c r="B150" s="28">
        <v>1</v>
      </c>
      <c r="C150" s="29" t="s">
        <v>24</v>
      </c>
      <c r="D150" s="28">
        <v>102.4041</v>
      </c>
      <c r="E150" s="29" t="s">
        <v>25</v>
      </c>
    </row>
    <row r="151" spans="1:5" ht="12.75">
      <c r="A151" s="27">
        <v>45688</v>
      </c>
      <c r="B151" s="28">
        <v>1</v>
      </c>
      <c r="C151" s="29" t="s">
        <v>24</v>
      </c>
      <c r="D151" s="28">
        <v>102.7782</v>
      </c>
      <c r="E151" s="29" t="s">
        <v>25</v>
      </c>
    </row>
    <row r="152" spans="1:5" ht="12.75">
      <c r="A152" s="27">
        <v>45689</v>
      </c>
      <c r="B152" s="28">
        <v>1</v>
      </c>
      <c r="C152" s="29" t="s">
        <v>24</v>
      </c>
      <c r="D152" s="28">
        <v>102.1301</v>
      </c>
      <c r="E152" s="29" t="s">
        <v>25</v>
      </c>
    </row>
    <row r="153" spans="1:5" ht="12.75">
      <c r="A153" s="27">
        <v>45690</v>
      </c>
      <c r="B153" s="28">
        <v>1</v>
      </c>
      <c r="C153" s="29" t="s">
        <v>24</v>
      </c>
      <c r="D153" s="28">
        <v>102.1301</v>
      </c>
      <c r="E153" s="29" t="s">
        <v>25</v>
      </c>
    </row>
    <row r="154" spans="1:5" ht="12.75">
      <c r="A154" s="27">
        <v>45691</v>
      </c>
      <c r="B154" s="28">
        <v>1</v>
      </c>
      <c r="C154" s="29" t="s">
        <v>24</v>
      </c>
      <c r="D154" s="28">
        <v>102.1301</v>
      </c>
      <c r="E154" s="29" t="s">
        <v>25</v>
      </c>
    </row>
    <row r="155" spans="1:5" ht="12.75">
      <c r="A155" s="27">
        <v>45692</v>
      </c>
      <c r="B155" s="28">
        <v>1</v>
      </c>
      <c r="C155" s="29" t="s">
        <v>24</v>
      </c>
      <c r="D155" s="28">
        <v>102.491</v>
      </c>
      <c r="E155" s="29" t="s">
        <v>25</v>
      </c>
    </row>
    <row r="156" spans="1:5" ht="12.75">
      <c r="A156" s="27">
        <v>45693</v>
      </c>
      <c r="B156" s="28">
        <v>1</v>
      </c>
      <c r="C156" s="29" t="s">
        <v>24</v>
      </c>
      <c r="D156" s="28">
        <v>102.68519999999999</v>
      </c>
      <c r="E156" s="29" t="s">
        <v>25</v>
      </c>
    </row>
    <row r="157" spans="1:5" ht="12.75">
      <c r="A157" s="27">
        <v>45694</v>
      </c>
      <c r="B157" s="28">
        <v>1</v>
      </c>
      <c r="C157" s="29" t="s">
        <v>24</v>
      </c>
      <c r="D157" s="28">
        <v>102.92149999999999</v>
      </c>
      <c r="E157" s="29" t="s">
        <v>25</v>
      </c>
    </row>
    <row r="158" spans="1:5" ht="12.75">
      <c r="A158" s="27">
        <v>45695</v>
      </c>
      <c r="B158" s="28">
        <v>1</v>
      </c>
      <c r="C158" s="29" t="s">
        <v>24</v>
      </c>
      <c r="D158" s="28">
        <v>100.6751</v>
      </c>
      <c r="E158" s="29" t="s">
        <v>25</v>
      </c>
    </row>
    <row r="159" spans="1:5" ht="12.75">
      <c r="A159" s="27">
        <v>45696</v>
      </c>
      <c r="B159" s="28">
        <v>1</v>
      </c>
      <c r="C159" s="29" t="s">
        <v>24</v>
      </c>
      <c r="D159" s="28">
        <v>101.2243</v>
      </c>
      <c r="E159" s="29" t="s">
        <v>25</v>
      </c>
    </row>
    <row r="160" spans="1:5" ht="12.75">
      <c r="A160" s="27">
        <v>45697</v>
      </c>
      <c r="B160" s="28">
        <v>1</v>
      </c>
      <c r="C160" s="29" t="s">
        <v>24</v>
      </c>
      <c r="D160" s="28">
        <v>101.2243</v>
      </c>
      <c r="E160" s="29" t="s">
        <v>25</v>
      </c>
    </row>
    <row r="161" spans="1:5" ht="12.75">
      <c r="A161" s="27">
        <v>45698</v>
      </c>
      <c r="B161" s="28">
        <v>1</v>
      </c>
      <c r="C161" s="29" t="s">
        <v>24</v>
      </c>
      <c r="D161" s="28">
        <v>101.2243</v>
      </c>
      <c r="E161" s="29" t="s">
        <v>25</v>
      </c>
    </row>
    <row r="162" spans="1:5" ht="12.75">
      <c r="A162" s="27">
        <v>45699</v>
      </c>
      <c r="B162" s="28">
        <v>1</v>
      </c>
      <c r="C162" s="29" t="s">
        <v>24</v>
      </c>
      <c r="D162" s="28">
        <v>100.4991</v>
      </c>
      <c r="E162" s="29" t="s">
        <v>25</v>
      </c>
    </row>
    <row r="163" spans="1:5" ht="12.75">
      <c r="A163" s="27">
        <v>45700</v>
      </c>
      <c r="B163" s="28">
        <v>1</v>
      </c>
      <c r="C163" s="29" t="s">
        <v>24</v>
      </c>
      <c r="D163" s="28">
        <v>99.195300000000003</v>
      </c>
      <c r="E163" s="29" t="s">
        <v>25</v>
      </c>
    </row>
    <row r="164" spans="1:5" ht="12.75">
      <c r="A164" s="27">
        <v>45701</v>
      </c>
      <c r="B164" s="28">
        <v>1</v>
      </c>
      <c r="C164" s="29" t="s">
        <v>24</v>
      </c>
      <c r="D164" s="28">
        <v>98.011899999999997</v>
      </c>
      <c r="E164" s="29" t="s">
        <v>25</v>
      </c>
    </row>
    <row r="165" spans="1:5" ht="12.75">
      <c r="A165" s="27">
        <v>45702</v>
      </c>
      <c r="B165" s="28">
        <v>1</v>
      </c>
      <c r="C165" s="29" t="s">
        <v>24</v>
      </c>
      <c r="D165" s="28">
        <v>94.9221</v>
      </c>
      <c r="E165" s="29" t="s">
        <v>25</v>
      </c>
    </row>
    <row r="166" spans="1:5" ht="12.75">
      <c r="A166" s="27">
        <v>45703</v>
      </c>
      <c r="B166" s="28">
        <v>1</v>
      </c>
      <c r="C166" s="29" t="s">
        <v>24</v>
      </c>
      <c r="D166" s="28">
        <v>94.887600000000006</v>
      </c>
      <c r="E166" s="29" t="s">
        <v>25</v>
      </c>
    </row>
    <row r="167" spans="1:5" ht="12.75">
      <c r="A167" s="27">
        <v>45704</v>
      </c>
      <c r="B167" s="28">
        <v>1</v>
      </c>
      <c r="C167" s="29" t="s">
        <v>24</v>
      </c>
      <c r="D167" s="28">
        <v>94.887600000000006</v>
      </c>
      <c r="E167" s="29" t="s">
        <v>25</v>
      </c>
    </row>
    <row r="168" spans="1:5" ht="12.75">
      <c r="A168" s="27">
        <v>45705</v>
      </c>
      <c r="B168" s="28">
        <v>1</v>
      </c>
      <c r="C168" s="29" t="s">
        <v>24</v>
      </c>
      <c r="D168" s="28">
        <v>94.887600000000006</v>
      </c>
      <c r="E168" s="29" t="s">
        <v>25</v>
      </c>
    </row>
    <row r="169" spans="1:5" ht="12.75">
      <c r="A169" s="27">
        <v>45706</v>
      </c>
      <c r="B169" s="28">
        <v>1</v>
      </c>
      <c r="C169" s="29" t="s">
        <v>24</v>
      </c>
      <c r="D169" s="28">
        <v>95.8048</v>
      </c>
      <c r="E169" s="29" t="s">
        <v>25</v>
      </c>
    </row>
    <row r="170" spans="1:5" ht="12.75">
      <c r="A170" s="27">
        <v>45707</v>
      </c>
      <c r="B170" s="28">
        <v>1</v>
      </c>
      <c r="C170" s="29" t="s">
        <v>24</v>
      </c>
      <c r="D170" s="28">
        <v>95.669300000000007</v>
      </c>
      <c r="E170" s="29" t="s">
        <v>25</v>
      </c>
    </row>
    <row r="171" spans="1:5" ht="12.75">
      <c r="A171" s="27">
        <v>45708</v>
      </c>
      <c r="B171" s="28">
        <v>1</v>
      </c>
      <c r="C171" s="29" t="s">
        <v>24</v>
      </c>
      <c r="D171" s="28">
        <v>94.083399999999997</v>
      </c>
      <c r="E171" s="29" t="s">
        <v>25</v>
      </c>
    </row>
    <row r="172" spans="1:5" ht="12.75">
      <c r="A172" s="27">
        <v>45709</v>
      </c>
      <c r="B172" s="28">
        <v>1</v>
      </c>
      <c r="C172" s="29" t="s">
        <v>24</v>
      </c>
      <c r="D172" s="28">
        <v>92.483099999999993</v>
      </c>
      <c r="E172" s="29" t="s">
        <v>25</v>
      </c>
    </row>
    <row r="173" spans="1:5" ht="12.75">
      <c r="A173" s="27">
        <v>45710</v>
      </c>
      <c r="B173" s="28">
        <v>1</v>
      </c>
      <c r="C173" s="29" t="s">
        <v>24</v>
      </c>
      <c r="D173" s="28">
        <v>92.015199999999993</v>
      </c>
      <c r="E173" s="29" t="s">
        <v>25</v>
      </c>
    </row>
    <row r="174" spans="1:5" ht="12.75">
      <c r="A174" s="27">
        <v>45711</v>
      </c>
      <c r="B174" s="28">
        <v>1</v>
      </c>
      <c r="C174" s="29" t="s">
        <v>24</v>
      </c>
      <c r="D174" s="28">
        <v>92.015199999999993</v>
      </c>
      <c r="E174" s="29" t="s">
        <v>25</v>
      </c>
    </row>
    <row r="175" spans="1:5" ht="12.75">
      <c r="A175" s="27">
        <v>45712</v>
      </c>
      <c r="B175" s="28">
        <v>1</v>
      </c>
      <c r="C175" s="29" t="s">
        <v>24</v>
      </c>
      <c r="D175" s="28">
        <v>92.015199999999993</v>
      </c>
      <c r="E175" s="29" t="s">
        <v>25</v>
      </c>
    </row>
    <row r="176" spans="1:5" ht="12.75">
      <c r="A176" s="27">
        <v>45713</v>
      </c>
      <c r="B176" s="28">
        <v>1</v>
      </c>
      <c r="C176" s="29" t="s">
        <v>24</v>
      </c>
      <c r="D176" s="28">
        <v>92.516199999999998</v>
      </c>
      <c r="E176" s="29" t="s">
        <v>25</v>
      </c>
    </row>
    <row r="177" spans="1:5" ht="12.75">
      <c r="A177" s="27">
        <v>45714</v>
      </c>
      <c r="B177" s="28">
        <v>1</v>
      </c>
      <c r="C177" s="29" t="s">
        <v>24</v>
      </c>
      <c r="D177" s="28">
        <v>90.940299999999993</v>
      </c>
      <c r="E177" s="29" t="s">
        <v>25</v>
      </c>
    </row>
    <row r="178" spans="1:5" ht="12.75">
      <c r="A178" s="27">
        <v>45715</v>
      </c>
      <c r="B178" s="28">
        <v>1</v>
      </c>
      <c r="C178" s="29" t="s">
        <v>24</v>
      </c>
      <c r="D178" s="28">
        <v>90.182599999999994</v>
      </c>
      <c r="E178" s="29" t="s">
        <v>25</v>
      </c>
    </row>
    <row r="179" spans="1:5" ht="12.75">
      <c r="A179" s="27">
        <v>45716</v>
      </c>
      <c r="B179" s="28">
        <v>1</v>
      </c>
      <c r="C179" s="29" t="s">
        <v>24</v>
      </c>
      <c r="D179" s="28">
        <v>92.036199999999994</v>
      </c>
      <c r="E179" s="29" t="s">
        <v>25</v>
      </c>
    </row>
    <row r="180" spans="1:5" ht="12.75">
      <c r="A180" s="27">
        <v>45717</v>
      </c>
      <c r="B180" s="28">
        <v>1</v>
      </c>
      <c r="C180" s="29" t="s">
        <v>24</v>
      </c>
      <c r="D180" s="28">
        <v>91.5655</v>
      </c>
      <c r="E180" s="29" t="s">
        <v>25</v>
      </c>
    </row>
    <row r="181" spans="1:5" ht="12.75">
      <c r="A181" s="27">
        <v>45718</v>
      </c>
      <c r="B181" s="28">
        <v>1</v>
      </c>
      <c r="C181" s="29" t="s">
        <v>24</v>
      </c>
      <c r="D181" s="28">
        <v>91.5655</v>
      </c>
      <c r="E181" s="29" t="s">
        <v>25</v>
      </c>
    </row>
    <row r="182" spans="1:5" ht="12.75">
      <c r="A182" s="27">
        <v>45719</v>
      </c>
      <c r="B182" s="28">
        <v>1</v>
      </c>
      <c r="C182" s="29" t="s">
        <v>24</v>
      </c>
      <c r="D182" s="28">
        <v>91.5655</v>
      </c>
      <c r="E182" s="29" t="s">
        <v>25</v>
      </c>
    </row>
    <row r="183" spans="1:5" ht="12.75">
      <c r="A183" s="27">
        <v>45720</v>
      </c>
      <c r="B183" s="28">
        <v>1</v>
      </c>
      <c r="C183" s="29" t="s">
        <v>24</v>
      </c>
      <c r="D183" s="28">
        <v>92.852999999999994</v>
      </c>
      <c r="E183" s="29" t="s">
        <v>25</v>
      </c>
    </row>
    <row r="184" spans="1:5" ht="12.75">
      <c r="A184" s="27">
        <v>45721</v>
      </c>
      <c r="B184" s="28">
        <v>1</v>
      </c>
      <c r="C184" s="29" t="s">
        <v>24</v>
      </c>
      <c r="D184" s="28">
        <v>93.903400000000005</v>
      </c>
      <c r="E184" s="29" t="s">
        <v>25</v>
      </c>
    </row>
    <row r="185" spans="1:5" ht="12.75">
      <c r="A185" s="27">
        <v>45722</v>
      </c>
      <c r="B185" s="28">
        <v>1</v>
      </c>
      <c r="C185" s="29" t="s">
        <v>24</v>
      </c>
      <c r="D185" s="28">
        <v>95.703500000000005</v>
      </c>
      <c r="E185" s="29" t="s">
        <v>25</v>
      </c>
    </row>
    <row r="186" spans="1:5" ht="12.75">
      <c r="A186" s="27">
        <v>45723</v>
      </c>
      <c r="B186" s="28">
        <v>1</v>
      </c>
      <c r="C186" s="29" t="s">
        <v>24</v>
      </c>
      <c r="D186" s="28">
        <v>96.597499999999997</v>
      </c>
      <c r="E186" s="29" t="s">
        <v>25</v>
      </c>
    </row>
    <row r="187" spans="1:5" ht="12.75">
      <c r="A187" s="27">
        <v>45724</v>
      </c>
      <c r="B187" s="28">
        <v>1</v>
      </c>
      <c r="C187" s="29" t="s">
        <v>24</v>
      </c>
      <c r="D187" s="28">
        <v>96.860900000000001</v>
      </c>
      <c r="E187" s="29" t="s">
        <v>25</v>
      </c>
    </row>
    <row r="188" spans="1:5" ht="12.75">
      <c r="A188" s="27">
        <v>45725</v>
      </c>
      <c r="B188" s="28">
        <v>1</v>
      </c>
      <c r="C188" s="29" t="s">
        <v>24</v>
      </c>
      <c r="D188" s="28">
        <v>96.860900000000001</v>
      </c>
      <c r="E188" s="29" t="s">
        <v>25</v>
      </c>
    </row>
    <row r="189" spans="1:5" ht="12.75">
      <c r="A189" s="27">
        <v>45726</v>
      </c>
      <c r="B189" s="28">
        <v>1</v>
      </c>
      <c r="C189" s="29" t="s">
        <v>24</v>
      </c>
      <c r="D189" s="28">
        <v>96.860900000000001</v>
      </c>
      <c r="E189" s="29" t="s">
        <v>25</v>
      </c>
    </row>
    <row r="190" spans="1:5" ht="12.75">
      <c r="A190" s="27">
        <v>45727</v>
      </c>
      <c r="B190" s="28">
        <v>1</v>
      </c>
      <c r="C190" s="29" t="s">
        <v>24</v>
      </c>
      <c r="D190" s="28">
        <v>95.444299999999998</v>
      </c>
      <c r="E190" s="29" t="s">
        <v>25</v>
      </c>
    </row>
    <row r="191" spans="1:5" ht="12.75">
      <c r="A191" s="27">
        <v>45728</v>
      </c>
      <c r="B191" s="28">
        <v>1</v>
      </c>
      <c r="C191" s="29" t="s">
        <v>24</v>
      </c>
      <c r="D191" s="28">
        <v>93.663899999999998</v>
      </c>
      <c r="E191" s="29" t="s">
        <v>25</v>
      </c>
    </row>
    <row r="192" spans="1:5" ht="12.75">
      <c r="A192" s="27">
        <v>45729</v>
      </c>
      <c r="B192" s="28">
        <v>1</v>
      </c>
      <c r="C192" s="29" t="s">
        <v>24</v>
      </c>
      <c r="D192" s="28">
        <v>93.971000000000004</v>
      </c>
      <c r="E192" s="29" t="s">
        <v>25</v>
      </c>
    </row>
    <row r="193" spans="1:5" ht="12.75">
      <c r="A193" s="27">
        <v>45730</v>
      </c>
      <c r="B193" s="28">
        <v>1</v>
      </c>
      <c r="C193" s="29" t="s">
        <v>24</v>
      </c>
      <c r="D193" s="28">
        <v>94.255899999999997</v>
      </c>
      <c r="E193" s="29" t="s">
        <v>25</v>
      </c>
    </row>
    <row r="194" spans="1:5" ht="12.75">
      <c r="A194" s="27">
        <v>45731</v>
      </c>
      <c r="B194" s="28">
        <v>1</v>
      </c>
      <c r="C194" s="29" t="s">
        <v>24</v>
      </c>
      <c r="D194" s="28">
        <v>93.608699999999999</v>
      </c>
      <c r="E194" s="29" t="s">
        <v>25</v>
      </c>
    </row>
    <row r="195" spans="1:5" ht="12.75">
      <c r="A195" s="27">
        <v>45732</v>
      </c>
      <c r="B195" s="28">
        <v>1</v>
      </c>
      <c r="C195" s="29" t="s">
        <v>24</v>
      </c>
      <c r="D195" s="28">
        <v>93.608699999999999</v>
      </c>
      <c r="E195" s="29" t="s">
        <v>25</v>
      </c>
    </row>
    <row r="196" spans="1:5" ht="12.75">
      <c r="A196" s="27">
        <v>45733</v>
      </c>
      <c r="B196" s="28">
        <v>1</v>
      </c>
      <c r="C196" s="29" t="s">
        <v>24</v>
      </c>
      <c r="D196" s="28">
        <v>93.608699999999999</v>
      </c>
      <c r="E196" s="29" t="s">
        <v>25</v>
      </c>
    </row>
    <row r="197" spans="1:5" ht="12.75">
      <c r="A197" s="27">
        <v>45734</v>
      </c>
      <c r="B197" s="28">
        <v>1</v>
      </c>
      <c r="C197" s="29" t="s">
        <v>24</v>
      </c>
      <c r="D197" s="28">
        <v>90.844300000000004</v>
      </c>
      <c r="E197" s="29" t="s">
        <v>25</v>
      </c>
    </row>
    <row r="198" spans="1:5" ht="12.75">
      <c r="A198" s="27">
        <v>45735</v>
      </c>
      <c r="B198" s="28">
        <v>1</v>
      </c>
      <c r="C198" s="29" t="s">
        <v>24</v>
      </c>
      <c r="D198" s="28">
        <v>87.569699999999997</v>
      </c>
      <c r="E198" s="29" t="s">
        <v>25</v>
      </c>
    </row>
    <row r="199" spans="1:5" ht="12.75">
      <c r="A199" s="27">
        <v>45736</v>
      </c>
      <c r="B199" s="28">
        <v>1</v>
      </c>
      <c r="C199" s="29" t="s">
        <v>24</v>
      </c>
      <c r="D199" s="28">
        <v>90.825699999999998</v>
      </c>
      <c r="E199" s="29" t="s">
        <v>25</v>
      </c>
    </row>
    <row r="200" spans="1:5" ht="12.75">
      <c r="A200" s="27">
        <v>45737</v>
      </c>
      <c r="B200" s="28">
        <v>1</v>
      </c>
      <c r="C200" s="29" t="s">
        <v>24</v>
      </c>
      <c r="D200" s="28">
        <v>92.463300000000004</v>
      </c>
      <c r="E200" s="29" t="s">
        <v>25</v>
      </c>
    </row>
    <row r="201" spans="1:5" ht="12.75">
      <c r="A201" s="27">
        <v>45738</v>
      </c>
      <c r="B201" s="28">
        <v>1</v>
      </c>
      <c r="C201" s="29" t="s">
        <v>24</v>
      </c>
      <c r="D201" s="28">
        <v>91.426199999999994</v>
      </c>
      <c r="E201" s="29" t="s">
        <v>25</v>
      </c>
    </row>
    <row r="202" spans="1:5" ht="12.75">
      <c r="A202" s="27">
        <v>45739</v>
      </c>
      <c r="B202" s="28">
        <v>1</v>
      </c>
      <c r="C202" s="29" t="s">
        <v>24</v>
      </c>
      <c r="D202" s="28">
        <v>91.426199999999994</v>
      </c>
      <c r="E202" s="29" t="s">
        <v>25</v>
      </c>
    </row>
    <row r="203" spans="1:5" ht="12.75">
      <c r="A203" s="27">
        <v>45740</v>
      </c>
      <c r="B203" s="28">
        <v>1</v>
      </c>
      <c r="C203" s="29" t="s">
        <v>24</v>
      </c>
      <c r="D203" s="28">
        <v>91.426199999999994</v>
      </c>
      <c r="E203" s="29" t="s">
        <v>25</v>
      </c>
    </row>
    <row r="204" spans="1:5" ht="12.75">
      <c r="A204" s="27">
        <v>45741</v>
      </c>
      <c r="B204" s="28">
        <v>1</v>
      </c>
      <c r="C204" s="29" t="s">
        <v>24</v>
      </c>
      <c r="D204" s="28">
        <v>91.525199999999998</v>
      </c>
      <c r="E204" s="29" t="s">
        <v>25</v>
      </c>
    </row>
    <row r="205" spans="1:5" ht="12.75">
      <c r="A205" s="27">
        <v>45742</v>
      </c>
      <c r="B205" s="28">
        <v>1</v>
      </c>
      <c r="C205" s="29" t="s">
        <v>24</v>
      </c>
      <c r="D205" s="28">
        <v>92.340900000000005</v>
      </c>
      <c r="E205" s="29" t="s">
        <v>25</v>
      </c>
    </row>
    <row r="206" spans="1:5" ht="12.75">
      <c r="A206" s="27">
        <v>45743</v>
      </c>
      <c r="B206" s="28">
        <v>1</v>
      </c>
      <c r="C206" s="29" t="s">
        <v>24</v>
      </c>
      <c r="D206" s="28">
        <v>92.002899999999997</v>
      </c>
      <c r="E206" s="29" t="s">
        <v>25</v>
      </c>
    </row>
    <row r="207" spans="1:5" ht="12.75">
      <c r="A207" s="27">
        <v>45744</v>
      </c>
      <c r="B207" s="28">
        <v>1</v>
      </c>
      <c r="C207" s="29" t="s">
        <v>24</v>
      </c>
      <c r="D207" s="28">
        <v>90.5441</v>
      </c>
      <c r="E207" s="29" t="s">
        <v>25</v>
      </c>
    </row>
    <row r="208" spans="1:5" ht="12.75">
      <c r="A208" s="27">
        <v>45745</v>
      </c>
      <c r="B208" s="28">
        <v>1</v>
      </c>
      <c r="C208" s="29" t="s">
        <v>24</v>
      </c>
      <c r="D208" s="28">
        <v>89.655299999999997</v>
      </c>
      <c r="E208" s="29" t="s">
        <v>25</v>
      </c>
    </row>
    <row r="209" spans="1:5" ht="12.75">
      <c r="A209" s="27">
        <v>45746</v>
      </c>
      <c r="B209" s="28">
        <v>1</v>
      </c>
      <c r="C209" s="29" t="s">
        <v>24</v>
      </c>
      <c r="D209" s="28">
        <v>89.655299999999997</v>
      </c>
      <c r="E209" s="29" t="s">
        <v>25</v>
      </c>
    </row>
    <row r="210" spans="1:5" ht="12.75">
      <c r="A210" s="27">
        <v>45747</v>
      </c>
      <c r="B210" s="28">
        <v>1</v>
      </c>
      <c r="C210" s="29" t="s">
        <v>24</v>
      </c>
      <c r="D210" s="28">
        <v>89.655299999999997</v>
      </c>
      <c r="E210" s="29" t="s">
        <v>25</v>
      </c>
    </row>
    <row r="211" spans="1:5" ht="12.75">
      <c r="A211" s="27">
        <v>45748</v>
      </c>
      <c r="B211" s="28">
        <v>1</v>
      </c>
      <c r="C211" s="29" t="s">
        <v>24</v>
      </c>
      <c r="D211" s="28">
        <v>92.427599999999998</v>
      </c>
      <c r="E211" s="29" t="s">
        <v>25</v>
      </c>
    </row>
    <row r="212" spans="1:5" ht="12.75">
      <c r="A212" s="27">
        <v>45749</v>
      </c>
      <c r="B212" s="28">
        <v>1</v>
      </c>
      <c r="C212" s="29" t="s">
        <v>24</v>
      </c>
      <c r="D212" s="28">
        <v>91.964299999999994</v>
      </c>
      <c r="E212" s="29" t="s">
        <v>25</v>
      </c>
    </row>
    <row r="213" spans="1:5" ht="12.75">
      <c r="A213" s="27">
        <v>45750</v>
      </c>
      <c r="B213" s="28">
        <v>1</v>
      </c>
      <c r="C213" s="29" t="s">
        <v>24</v>
      </c>
      <c r="D213" s="28">
        <v>91.204400000000007</v>
      </c>
      <c r="E213" s="29" t="s">
        <v>25</v>
      </c>
    </row>
    <row r="214" spans="1:5" ht="12.75">
      <c r="A214" s="27">
        <v>45751</v>
      </c>
      <c r="B214" s="28">
        <v>1</v>
      </c>
      <c r="C214" s="29" t="s">
        <v>24</v>
      </c>
      <c r="D214" s="28">
        <v>93.160799999999995</v>
      </c>
      <c r="E214" s="29" t="s">
        <v>25</v>
      </c>
    </row>
    <row r="215" spans="1:5" ht="12.75">
      <c r="A215" s="27">
        <v>45752</v>
      </c>
      <c r="B215" s="28">
        <v>1</v>
      </c>
      <c r="C215" s="29" t="s">
        <v>24</v>
      </c>
      <c r="D215" s="28">
        <v>92.985500000000002</v>
      </c>
      <c r="E215" s="29" t="s">
        <v>25</v>
      </c>
    </row>
    <row r="216" spans="1:5" ht="12.75">
      <c r="A216" s="27">
        <v>45753</v>
      </c>
      <c r="B216" s="28">
        <v>1</v>
      </c>
      <c r="C216" s="29" t="s">
        <v>24</v>
      </c>
      <c r="D216" s="28">
        <v>92.985500000000002</v>
      </c>
      <c r="E216" s="29" t="s">
        <v>25</v>
      </c>
    </row>
    <row r="217" spans="1:5" ht="12.75">
      <c r="A217" s="27">
        <v>45754</v>
      </c>
      <c r="B217" s="28">
        <v>1</v>
      </c>
      <c r="C217" s="29" t="s">
        <v>24</v>
      </c>
      <c r="D217" s="28">
        <v>92.985500000000002</v>
      </c>
      <c r="E217" s="29" t="s">
        <v>25</v>
      </c>
    </row>
    <row r="218" spans="1:5" ht="12.75">
      <c r="A218" s="27">
        <v>45755</v>
      </c>
      <c r="B218" s="28">
        <v>1</v>
      </c>
      <c r="C218" s="29" t="s">
        <v>24</v>
      </c>
      <c r="D218" s="28">
        <v>94.774199999999993</v>
      </c>
      <c r="E218" s="29" t="s">
        <v>25</v>
      </c>
    </row>
    <row r="219" spans="1:5" ht="12.75">
      <c r="A219" s="27">
        <v>45756</v>
      </c>
      <c r="B219" s="28">
        <v>1</v>
      </c>
      <c r="C219" s="29" t="s">
        <v>24</v>
      </c>
      <c r="D219" s="28">
        <v>93.775499999999994</v>
      </c>
      <c r="E219" s="29" t="s">
        <v>25</v>
      </c>
    </row>
    <row r="220" spans="1:5" ht="12.75">
      <c r="A220" s="27">
        <v>45757</v>
      </c>
      <c r="B220" s="28">
        <v>1</v>
      </c>
      <c r="C220" s="29" t="s">
        <v>24</v>
      </c>
      <c r="D220" s="28">
        <v>95.090999999999994</v>
      </c>
      <c r="E220" s="29" t="s">
        <v>25</v>
      </c>
    </row>
    <row r="221" spans="1:5" ht="12.75">
      <c r="A221" s="27">
        <v>45758</v>
      </c>
      <c r="B221" s="28">
        <v>1</v>
      </c>
      <c r="C221" s="29" t="s">
        <v>24</v>
      </c>
      <c r="D221" s="28">
        <v>94.6036</v>
      </c>
      <c r="E221" s="29" t="s">
        <v>25</v>
      </c>
    </row>
    <row r="222" spans="1:5" ht="12.75">
      <c r="A222" s="27">
        <v>45759</v>
      </c>
      <c r="B222" s="28">
        <v>1</v>
      </c>
      <c r="C222" s="29" t="s">
        <v>24</v>
      </c>
      <c r="D222" s="28">
        <v>96.216300000000004</v>
      </c>
      <c r="E222" s="29" t="s">
        <v>25</v>
      </c>
    </row>
    <row r="223" spans="1:5" ht="12.75">
      <c r="A223" s="27">
        <v>45760</v>
      </c>
      <c r="B223" s="28">
        <v>1</v>
      </c>
      <c r="C223" s="29" t="s">
        <v>24</v>
      </c>
      <c r="D223" s="28">
        <v>96.216300000000004</v>
      </c>
      <c r="E223" s="29" t="s">
        <v>25</v>
      </c>
    </row>
    <row r="224" spans="1:5" ht="12.75">
      <c r="A224" s="27">
        <v>45761</v>
      </c>
      <c r="B224" s="28">
        <v>1</v>
      </c>
      <c r="C224" s="29" t="s">
        <v>24</v>
      </c>
      <c r="D224" s="28">
        <v>96.216300000000004</v>
      </c>
      <c r="E224" s="29" t="s">
        <v>25</v>
      </c>
    </row>
    <row r="225" spans="1:5" ht="12.75">
      <c r="A225" s="27">
        <v>45762</v>
      </c>
      <c r="B225" s="28">
        <v>1</v>
      </c>
      <c r="C225" s="29" t="s">
        <v>24</v>
      </c>
      <c r="D225" s="28">
        <v>94.163499999999999</v>
      </c>
      <c r="E225" s="29" t="s">
        <v>25</v>
      </c>
    </row>
    <row r="226" spans="1:5" ht="12.75">
      <c r="A226" s="27">
        <v>45763</v>
      </c>
      <c r="B226" s="28">
        <v>1</v>
      </c>
      <c r="C226" s="29" t="s">
        <v>24</v>
      </c>
      <c r="D226" s="28">
        <v>93.684399999999997</v>
      </c>
      <c r="E226" s="29" t="s">
        <v>25</v>
      </c>
    </row>
    <row r="227" spans="1:5" ht="12.75">
      <c r="A227" s="27">
        <v>45764</v>
      </c>
      <c r="B227" s="28">
        <v>1</v>
      </c>
      <c r="C227" s="29" t="s">
        <v>24</v>
      </c>
      <c r="D227" s="28">
        <v>93.335599999999999</v>
      </c>
      <c r="E227" s="29" t="s">
        <v>25</v>
      </c>
    </row>
    <row r="228" spans="1:5" ht="12.75">
      <c r="A228" s="27">
        <v>45765</v>
      </c>
      <c r="B228" s="28">
        <v>1</v>
      </c>
      <c r="C228" s="29" t="s">
        <v>24</v>
      </c>
      <c r="D228" s="28">
        <v>93.251300000000001</v>
      </c>
      <c r="E228" s="29" t="s">
        <v>25</v>
      </c>
    </row>
    <row r="229" spans="1:5" ht="12.75">
      <c r="A229" s="27">
        <v>45766</v>
      </c>
      <c r="B229" s="28">
        <v>1</v>
      </c>
      <c r="C229" s="29" t="s">
        <v>24</v>
      </c>
      <c r="D229" s="28">
        <v>92.223200000000006</v>
      </c>
      <c r="E229" s="29" t="s">
        <v>25</v>
      </c>
    </row>
    <row r="230" spans="1:5" ht="12.75">
      <c r="A230" s="27">
        <v>45767</v>
      </c>
      <c r="B230" s="28">
        <v>1</v>
      </c>
      <c r="C230" s="29" t="s">
        <v>24</v>
      </c>
      <c r="D230" s="28">
        <v>92.223200000000006</v>
      </c>
      <c r="E230" s="29" t="s">
        <v>25</v>
      </c>
    </row>
    <row r="231" spans="1:5" ht="12.75">
      <c r="A231" s="27">
        <v>45768</v>
      </c>
      <c r="B231" s="28">
        <v>1</v>
      </c>
      <c r="C231" s="29" t="s">
        <v>24</v>
      </c>
      <c r="D231" s="28">
        <v>92.223200000000006</v>
      </c>
      <c r="E231" s="29" t="s">
        <v>25</v>
      </c>
    </row>
    <row r="232" spans="1:5" ht="12.75">
      <c r="A232" s="27">
        <v>45769</v>
      </c>
      <c r="B232" s="28">
        <v>1</v>
      </c>
      <c r="C232" s="29" t="s">
        <v>24</v>
      </c>
      <c r="D232" s="28">
        <v>93.671400000000006</v>
      </c>
      <c r="E232" s="29" t="s">
        <v>25</v>
      </c>
    </row>
    <row r="233" spans="1:5" ht="12.75">
      <c r="A233" s="27">
        <v>45770</v>
      </c>
      <c r="B233" s="28">
        <v>1</v>
      </c>
      <c r="C233" s="29" t="s">
        <v>24</v>
      </c>
      <c r="D233" s="28">
        <v>94.04</v>
      </c>
      <c r="E233" s="29" t="s">
        <v>25</v>
      </c>
    </row>
    <row r="234" spans="1:5" ht="12.75">
      <c r="A234" s="27">
        <v>45771</v>
      </c>
      <c r="B234" s="28">
        <v>1</v>
      </c>
      <c r="C234" s="29" t="s">
        <v>24</v>
      </c>
      <c r="D234" s="28">
        <v>94.572299999999998</v>
      </c>
      <c r="E234" s="29" t="s">
        <v>25</v>
      </c>
    </row>
    <row r="235" spans="1:5" ht="12.75">
      <c r="A235" s="27">
        <v>45772</v>
      </c>
      <c r="B235" s="28">
        <v>1</v>
      </c>
      <c r="C235" s="29" t="s">
        <v>24</v>
      </c>
      <c r="D235" s="28">
        <v>94.712900000000005</v>
      </c>
      <c r="E235" s="29" t="s">
        <v>25</v>
      </c>
    </row>
    <row r="236" spans="1:5" ht="12.75">
      <c r="A236" s="27">
        <v>45773</v>
      </c>
      <c r="B236" s="28">
        <v>1</v>
      </c>
      <c r="C236" s="29" t="s">
        <v>24</v>
      </c>
      <c r="D236" s="28">
        <v>94.359300000000005</v>
      </c>
      <c r="E236" s="29" t="s">
        <v>25</v>
      </c>
    </row>
    <row r="237" spans="1:5" ht="12.75">
      <c r="A237" s="27">
        <v>45774</v>
      </c>
      <c r="B237" s="28">
        <v>1</v>
      </c>
      <c r="C237" s="29" t="s">
        <v>24</v>
      </c>
      <c r="D237" s="28">
        <v>94.359300000000005</v>
      </c>
      <c r="E237" s="29" t="s">
        <v>25</v>
      </c>
    </row>
    <row r="238" spans="1:5" ht="12.75">
      <c r="A238" s="27">
        <v>45775</v>
      </c>
      <c r="B238" s="28">
        <v>1</v>
      </c>
      <c r="C238" s="29" t="s">
        <v>24</v>
      </c>
      <c r="D238" s="28">
        <v>94.359300000000005</v>
      </c>
      <c r="E238" s="29" t="s">
        <v>25</v>
      </c>
    </row>
    <row r="239" spans="1:5" ht="12.75">
      <c r="A239" s="27">
        <v>45776</v>
      </c>
      <c r="B239" s="28">
        <v>1</v>
      </c>
      <c r="C239" s="29" t="s">
        <v>24</v>
      </c>
      <c r="D239" s="28">
        <v>93.180099999999996</v>
      </c>
      <c r="E239" s="29" t="s">
        <v>25</v>
      </c>
    </row>
    <row r="240" spans="1:5" ht="12.75">
      <c r="A240" s="27">
        <v>45777</v>
      </c>
      <c r="B240" s="28">
        <v>1</v>
      </c>
      <c r="C240" s="29" t="s">
        <v>24</v>
      </c>
      <c r="D240" s="28">
        <v>93.173000000000002</v>
      </c>
      <c r="E240" s="29" t="s">
        <v>25</v>
      </c>
    </row>
    <row r="241" spans="1:5" ht="12.75">
      <c r="A241" s="27">
        <v>45778</v>
      </c>
      <c r="B241" s="28">
        <v>1</v>
      </c>
      <c r="C241" s="29" t="s">
        <v>24</v>
      </c>
      <c r="D241" s="28">
        <v>92.837000000000003</v>
      </c>
      <c r="E241" s="29" t="s">
        <v>25</v>
      </c>
    </row>
    <row r="242" spans="1:5" ht="12.75">
      <c r="A242" s="27">
        <v>45779</v>
      </c>
      <c r="B242" s="28">
        <v>1</v>
      </c>
      <c r="C242" s="29" t="s">
        <v>24</v>
      </c>
      <c r="D242" s="28">
        <v>92.837000000000003</v>
      </c>
      <c r="E242" s="29" t="s">
        <v>25</v>
      </c>
    </row>
    <row r="243" spans="1:5" ht="12.75">
      <c r="A243" s="27">
        <v>45780</v>
      </c>
      <c r="B243" s="28">
        <v>1</v>
      </c>
      <c r="C243" s="29" t="s">
        <v>24</v>
      </c>
      <c r="D243" s="28">
        <v>92.837000000000003</v>
      </c>
      <c r="E243" s="29" t="s">
        <v>25</v>
      </c>
    </row>
    <row r="244" spans="1:5" ht="12.75">
      <c r="A244" s="27">
        <v>45781</v>
      </c>
      <c r="B244" s="28">
        <v>1</v>
      </c>
      <c r="C244" s="29" t="s">
        <v>24</v>
      </c>
      <c r="D244" s="28">
        <v>92.837000000000003</v>
      </c>
      <c r="E244" s="29" t="s">
        <v>25</v>
      </c>
    </row>
    <row r="245" spans="1:5" ht="12.75">
      <c r="A245" s="27">
        <v>45782</v>
      </c>
      <c r="B245" s="28">
        <v>1</v>
      </c>
      <c r="C245" s="29" t="s">
        <v>24</v>
      </c>
      <c r="D245" s="28">
        <v>92.837000000000003</v>
      </c>
      <c r="E245" s="29" t="s">
        <v>25</v>
      </c>
    </row>
    <row r="246" spans="1:5" ht="12.75">
      <c r="A246" s="27">
        <v>45783</v>
      </c>
      <c r="B246" s="28">
        <v>1</v>
      </c>
      <c r="C246" s="29" t="s">
        <v>24</v>
      </c>
      <c r="D246" s="28">
        <v>92.908199999999994</v>
      </c>
      <c r="E246" s="29" t="s">
        <v>25</v>
      </c>
    </row>
    <row r="247" spans="1:5" ht="12.75">
      <c r="A247" s="27">
        <v>45784</v>
      </c>
      <c r="B247" s="28">
        <v>1</v>
      </c>
      <c r="C247" s="29" t="s">
        <v>24</v>
      </c>
      <c r="D247" s="28">
        <v>91.916899999999998</v>
      </c>
      <c r="E247" s="29" t="s">
        <v>25</v>
      </c>
    </row>
    <row r="248" spans="1:5" ht="12.75">
      <c r="A248" s="27">
        <v>45785</v>
      </c>
      <c r="B248" s="28">
        <v>1</v>
      </c>
      <c r="C248" s="29" t="s">
        <v>24</v>
      </c>
      <c r="D248" s="28">
        <v>92.143900000000002</v>
      </c>
      <c r="E248" s="29" t="s">
        <v>25</v>
      </c>
    </row>
    <row r="249" spans="1:5" ht="12.75">
      <c r="A249" s="27">
        <v>45786</v>
      </c>
      <c r="B249" s="28">
        <v>1</v>
      </c>
      <c r="C249" s="29" t="s">
        <v>24</v>
      </c>
      <c r="D249" s="28">
        <v>92.143900000000002</v>
      </c>
      <c r="E249" s="29" t="s">
        <v>25</v>
      </c>
    </row>
    <row r="250" spans="1:5" ht="12.75">
      <c r="A250" s="27">
        <v>45787</v>
      </c>
      <c r="B250" s="28">
        <v>1</v>
      </c>
      <c r="C250" s="29" t="s">
        <v>24</v>
      </c>
      <c r="D250" s="28">
        <v>92.143900000000002</v>
      </c>
      <c r="E250" s="29" t="s">
        <v>25</v>
      </c>
    </row>
    <row r="251" spans="1:5" ht="12.75">
      <c r="A251" s="27">
        <v>45788</v>
      </c>
      <c r="B251" s="28">
        <v>1</v>
      </c>
      <c r="C251" s="29" t="s">
        <v>24</v>
      </c>
      <c r="D251" s="28">
        <v>92.143900000000002</v>
      </c>
      <c r="E251" s="29" t="s">
        <v>25</v>
      </c>
    </row>
    <row r="252" spans="1:5" ht="12.75">
      <c r="A252" s="27">
        <v>45789</v>
      </c>
      <c r="B252" s="28">
        <v>1</v>
      </c>
      <c r="C252" s="29" t="s">
        <v>24</v>
      </c>
      <c r="D252" s="28">
        <v>92.143900000000002</v>
      </c>
      <c r="E252" s="29" t="s">
        <v>25</v>
      </c>
    </row>
    <row r="253" spans="1:5" ht="12.75">
      <c r="A253" s="27">
        <v>45790</v>
      </c>
      <c r="B253" s="28">
        <v>1</v>
      </c>
      <c r="C253" s="29" t="s">
        <v>24</v>
      </c>
      <c r="D253" s="28">
        <v>90.111699999999999</v>
      </c>
      <c r="E253" s="29" t="s">
        <v>25</v>
      </c>
    </row>
    <row r="254" spans="1:5" ht="12.75">
      <c r="A254" s="27">
        <v>45791</v>
      </c>
      <c r="B254" s="28">
        <v>1</v>
      </c>
      <c r="C254" s="29" t="s">
        <v>24</v>
      </c>
      <c r="D254" s="28">
        <v>89.695599999999999</v>
      </c>
      <c r="E254" s="29" t="s">
        <v>25</v>
      </c>
    </row>
    <row r="255" spans="1:5" ht="12.75">
      <c r="A255" s="27">
        <v>45792</v>
      </c>
      <c r="B255" s="28">
        <v>1</v>
      </c>
      <c r="C255" s="29" t="s">
        <v>24</v>
      </c>
      <c r="D255" s="28">
        <v>90.382099999999994</v>
      </c>
      <c r="E255" s="29" t="s">
        <v>25</v>
      </c>
    </row>
    <row r="256" spans="1:5" ht="12.75">
      <c r="A256" s="27">
        <v>45793</v>
      </c>
      <c r="B256" s="28">
        <v>1</v>
      </c>
      <c r="C256" s="29" t="s">
        <v>24</v>
      </c>
      <c r="D256" s="28">
        <v>90.101100000000002</v>
      </c>
      <c r="E256" s="29" t="s">
        <v>25</v>
      </c>
    </row>
    <row r="257" spans="1:5" ht="12.75">
      <c r="A257" s="27">
        <v>45794</v>
      </c>
      <c r="B257" s="28">
        <v>1</v>
      </c>
      <c r="C257" s="29" t="s">
        <v>24</v>
      </c>
      <c r="D257" s="28">
        <v>90.706199999999995</v>
      </c>
      <c r="E257" s="29" t="s">
        <v>25</v>
      </c>
    </row>
    <row r="258" spans="1:5" ht="12.75">
      <c r="A258" s="27">
        <v>45795</v>
      </c>
      <c r="B258" s="28">
        <v>1</v>
      </c>
      <c r="C258" s="29" t="s">
        <v>24</v>
      </c>
      <c r="D258" s="28">
        <v>90.706199999999995</v>
      </c>
      <c r="E258" s="29" t="s">
        <v>25</v>
      </c>
    </row>
    <row r="259" spans="1:5" ht="12.75">
      <c r="A259" s="27">
        <v>45796</v>
      </c>
      <c r="B259" s="28">
        <v>1</v>
      </c>
      <c r="C259" s="29" t="s">
        <v>24</v>
      </c>
      <c r="D259" s="28">
        <v>90.706199999999995</v>
      </c>
      <c r="E259" s="29" t="s">
        <v>25</v>
      </c>
    </row>
    <row r="260" spans="1:5" ht="12.75">
      <c r="A260" s="27">
        <v>45797</v>
      </c>
      <c r="B260" s="28">
        <v>1</v>
      </c>
      <c r="C260" s="29" t="s">
        <v>24</v>
      </c>
      <c r="D260" s="28">
        <v>90.509799999999998</v>
      </c>
      <c r="E260" s="29" t="s">
        <v>25</v>
      </c>
    </row>
    <row r="261" spans="1:5" ht="12.75">
      <c r="A261" s="27">
        <v>45798</v>
      </c>
      <c r="B261" s="28">
        <v>1</v>
      </c>
      <c r="C261" s="29" t="s">
        <v>24</v>
      </c>
      <c r="D261" s="28">
        <v>89.9679</v>
      </c>
      <c r="E261" s="29" t="s">
        <v>25</v>
      </c>
    </row>
    <row r="262" spans="1:5" ht="12.75">
      <c r="A262" s="27">
        <v>45799</v>
      </c>
      <c r="B262" s="28">
        <v>1</v>
      </c>
      <c r="C262" s="29" t="s">
        <v>24</v>
      </c>
      <c r="D262" s="28">
        <v>91.299000000000007</v>
      </c>
      <c r="E262" s="29" t="s">
        <v>25</v>
      </c>
    </row>
    <row r="263" spans="1:5" ht="12.75">
      <c r="A263" s="27">
        <v>45800</v>
      </c>
      <c r="B263" s="28">
        <v>1</v>
      </c>
      <c r="C263" s="29" t="s">
        <v>24</v>
      </c>
      <c r="D263" s="28">
        <v>90.200400000000002</v>
      </c>
      <c r="E263" s="29" t="s">
        <v>25</v>
      </c>
    </row>
    <row r="264" spans="1:5" ht="12.75">
      <c r="A264" s="27">
        <v>45801</v>
      </c>
      <c r="B264" s="28">
        <v>1</v>
      </c>
      <c r="C264" s="29" t="s">
        <v>24</v>
      </c>
      <c r="D264" s="28">
        <v>90.520700000000005</v>
      </c>
      <c r="E264" s="29" t="s">
        <v>25</v>
      </c>
    </row>
    <row r="265" spans="1:5" ht="12.75">
      <c r="A265" s="27">
        <v>45802</v>
      </c>
      <c r="B265" s="28">
        <v>1</v>
      </c>
      <c r="C265" s="29" t="s">
        <v>24</v>
      </c>
      <c r="D265" s="28">
        <v>90.520700000000005</v>
      </c>
      <c r="E265" s="29" t="s">
        <v>25</v>
      </c>
    </row>
    <row r="266" spans="1:5" ht="12.75">
      <c r="A266" s="27">
        <v>45803</v>
      </c>
      <c r="B266" s="28">
        <v>1</v>
      </c>
      <c r="C266" s="29" t="s">
        <v>24</v>
      </c>
      <c r="D266" s="28">
        <v>90.520700000000005</v>
      </c>
      <c r="E266" s="29" t="s">
        <v>25</v>
      </c>
    </row>
    <row r="267" spans="1:5" ht="12.75">
      <c r="A267" s="27">
        <v>45804</v>
      </c>
      <c r="B267" s="28">
        <v>1</v>
      </c>
      <c r="C267" s="29" t="s">
        <v>24</v>
      </c>
      <c r="D267" s="28">
        <v>90.464399999999998</v>
      </c>
      <c r="E267" s="29" t="s">
        <v>25</v>
      </c>
    </row>
    <row r="268" spans="1:5" ht="12.75">
      <c r="A268" s="27">
        <v>45805</v>
      </c>
      <c r="B268" s="28">
        <v>1</v>
      </c>
      <c r="C268" s="29" t="s">
        <v>24</v>
      </c>
      <c r="D268" s="28">
        <v>90.900700000000001</v>
      </c>
      <c r="E268" s="29" t="s">
        <v>25</v>
      </c>
    </row>
    <row r="269" spans="1:5" ht="12.75">
      <c r="A269" s="27">
        <v>45806</v>
      </c>
      <c r="B269" s="28">
        <v>1</v>
      </c>
      <c r="C269" s="29" t="s">
        <v>24</v>
      </c>
      <c r="D269" s="28">
        <v>90.336500000000001</v>
      </c>
      <c r="E269" s="29" t="s">
        <v>25</v>
      </c>
    </row>
    <row r="270" spans="1:5" ht="12.75">
      <c r="A270" s="27">
        <v>45807</v>
      </c>
      <c r="B270" s="28">
        <v>1</v>
      </c>
      <c r="C270" s="29" t="s">
        <v>24</v>
      </c>
      <c r="D270" s="28">
        <v>88.948099999999997</v>
      </c>
      <c r="E270" s="29" t="s">
        <v>25</v>
      </c>
    </row>
    <row r="271" spans="1:5" ht="12.75">
      <c r="A271" s="27">
        <v>45808</v>
      </c>
      <c r="B271" s="28">
        <v>1</v>
      </c>
      <c r="C271" s="29" t="s">
        <v>24</v>
      </c>
      <c r="D271" s="28">
        <v>89.251199999999997</v>
      </c>
      <c r="E271" s="29" t="s">
        <v>25</v>
      </c>
    </row>
    <row r="272" spans="1:5" ht="12.75">
      <c r="A272" s="27">
        <v>45809</v>
      </c>
      <c r="B272" s="28">
        <v>1</v>
      </c>
      <c r="C272" s="29" t="s">
        <v>24</v>
      </c>
      <c r="D272" s="28">
        <v>89.251199999999997</v>
      </c>
      <c r="E272" s="29" t="s">
        <v>25</v>
      </c>
    </row>
    <row r="273" spans="1:5" ht="12.75">
      <c r="A273" s="27">
        <v>45810</v>
      </c>
      <c r="B273" s="28">
        <v>1</v>
      </c>
      <c r="C273" s="29" t="s">
        <v>24</v>
      </c>
      <c r="D273" s="28">
        <v>89.251199999999997</v>
      </c>
      <c r="E273" s="29" t="s">
        <v>25</v>
      </c>
    </row>
    <row r="274" spans="1:5" ht="12.75">
      <c r="A274" s="27">
        <v>45811</v>
      </c>
      <c r="B274" s="28">
        <v>1</v>
      </c>
      <c r="C274" s="29" t="s">
        <v>24</v>
      </c>
      <c r="D274" s="28">
        <v>90.376999999999995</v>
      </c>
      <c r="E274" s="29" t="s">
        <v>25</v>
      </c>
    </row>
    <row r="275" spans="1:5" ht="12.75">
      <c r="A275" s="27">
        <v>45812</v>
      </c>
      <c r="B275" s="28">
        <v>1</v>
      </c>
      <c r="C275" s="29" t="s">
        <v>24</v>
      </c>
      <c r="D275" s="28">
        <v>89.926699999999997</v>
      </c>
      <c r="E275" s="29" t="s">
        <v>25</v>
      </c>
    </row>
    <row r="276" spans="1:5" ht="12.75">
      <c r="A276" s="27">
        <v>45813</v>
      </c>
      <c r="B276" s="28">
        <v>1</v>
      </c>
      <c r="C276" s="29" t="s">
        <v>24</v>
      </c>
      <c r="D276" s="28">
        <v>89.3108</v>
      </c>
      <c r="E276" s="29" t="s">
        <v>25</v>
      </c>
    </row>
    <row r="277" spans="1:5" ht="12.75">
      <c r="A277" s="27">
        <v>45814</v>
      </c>
      <c r="B277" s="28">
        <v>1</v>
      </c>
      <c r="C277" s="29" t="s">
        <v>24</v>
      </c>
      <c r="D277" s="28">
        <v>90.663499999999999</v>
      </c>
      <c r="E277" s="29" t="s">
        <v>25</v>
      </c>
    </row>
    <row r="278" spans="1:5" ht="12.75">
      <c r="A278" s="27">
        <v>45815</v>
      </c>
      <c r="B278" s="28">
        <v>1</v>
      </c>
      <c r="C278" s="29" t="s">
        <v>24</v>
      </c>
      <c r="D278" s="28">
        <v>90.395399999999995</v>
      </c>
      <c r="E278" s="29" t="s">
        <v>25</v>
      </c>
    </row>
    <row r="279" spans="1:5" ht="12.75">
      <c r="A279" s="27">
        <v>45816</v>
      </c>
      <c r="B279" s="28">
        <v>1</v>
      </c>
      <c r="C279" s="29" t="s">
        <v>24</v>
      </c>
      <c r="D279" s="28">
        <v>90.395399999999995</v>
      </c>
      <c r="E279" s="29" t="s">
        <v>25</v>
      </c>
    </row>
    <row r="280" spans="1:5" ht="12.75">
      <c r="A280" s="27">
        <v>45817</v>
      </c>
      <c r="B280" s="28">
        <v>1</v>
      </c>
      <c r="C280" s="29" t="s">
        <v>24</v>
      </c>
      <c r="D280" s="28">
        <v>90.395399999999995</v>
      </c>
      <c r="E280" s="29" t="s">
        <v>25</v>
      </c>
    </row>
    <row r="281" spans="1:5" ht="12.75">
      <c r="A281" s="27">
        <v>45818</v>
      </c>
      <c r="B281" s="28">
        <v>1</v>
      </c>
      <c r="C281" s="29" t="s">
        <v>24</v>
      </c>
      <c r="D281" s="28">
        <v>90.366600000000005</v>
      </c>
      <c r="E281" s="29" t="s">
        <v>25</v>
      </c>
    </row>
    <row r="282" spans="1:5" ht="12.75">
      <c r="A282" s="27">
        <v>45819</v>
      </c>
      <c r="B282" s="28">
        <v>1</v>
      </c>
      <c r="C282" s="29" t="s">
        <v>24</v>
      </c>
      <c r="D282" s="28">
        <v>89.791799999999995</v>
      </c>
      <c r="E282" s="29" t="s">
        <v>25</v>
      </c>
    </row>
    <row r="283" spans="1:5" ht="12.75">
      <c r="A283" s="27">
        <v>45820</v>
      </c>
      <c r="B283" s="28">
        <v>1</v>
      </c>
      <c r="C283" s="29" t="s">
        <v>24</v>
      </c>
      <c r="D283" s="28">
        <v>90.006799999999998</v>
      </c>
      <c r="E283" s="29" t="s">
        <v>25</v>
      </c>
    </row>
    <row r="284" spans="1:5" ht="12.75">
      <c r="A284" s="27">
        <v>45821</v>
      </c>
      <c r="B284" s="28">
        <v>1</v>
      </c>
      <c r="C284" s="29" t="s">
        <v>24</v>
      </c>
      <c r="D284" s="28">
        <v>90.006799999999998</v>
      </c>
      <c r="E284" s="29" t="s">
        <v>25</v>
      </c>
    </row>
    <row r="285" spans="1:5" ht="12.75">
      <c r="A285" s="27">
        <v>45822</v>
      </c>
      <c r="B285" s="28">
        <v>1</v>
      </c>
      <c r="C285" s="29" t="s">
        <v>24</v>
      </c>
      <c r="D285" s="28">
        <v>90.006799999999998</v>
      </c>
      <c r="E285" s="29" t="s">
        <v>25</v>
      </c>
    </row>
    <row r="286" spans="1:5" ht="12.75">
      <c r="A286" s="27">
        <v>45823</v>
      </c>
      <c r="B286" s="28">
        <v>1</v>
      </c>
      <c r="C286" s="29" t="s">
        <v>24</v>
      </c>
      <c r="D286" s="28">
        <v>90.006799999999998</v>
      </c>
      <c r="E286" s="29" t="s">
        <v>25</v>
      </c>
    </row>
    <row r="287" spans="1:5" ht="12.75">
      <c r="A287" s="27">
        <v>45824</v>
      </c>
      <c r="B287" s="28">
        <v>1</v>
      </c>
      <c r="C287" s="29" t="s">
        <v>24</v>
      </c>
      <c r="D287" s="28">
        <v>90.006799999999998</v>
      </c>
      <c r="E287" s="29" t="s">
        <v>25</v>
      </c>
    </row>
    <row r="288" spans="1:5" ht="12.75">
      <c r="A288" s="27">
        <v>45825</v>
      </c>
      <c r="B288" s="28">
        <v>1</v>
      </c>
      <c r="C288" s="29" t="s">
        <v>24</v>
      </c>
      <c r="D288" s="28">
        <v>90.943799999999996</v>
      </c>
      <c r="E288" s="29" t="s">
        <v>25</v>
      </c>
    </row>
    <row r="289" spans="1:5" ht="12.75">
      <c r="A289" s="27">
        <v>45826</v>
      </c>
      <c r="B289" s="28">
        <v>1</v>
      </c>
      <c r="C289" s="29" t="s">
        <v>24</v>
      </c>
      <c r="D289" s="28">
        <v>90.754800000000003</v>
      </c>
      <c r="E289" s="29" t="s">
        <v>25</v>
      </c>
    </row>
    <row r="290" spans="1:5" ht="12.75">
      <c r="A290" s="27">
        <v>45827</v>
      </c>
      <c r="B290" s="28">
        <v>1</v>
      </c>
      <c r="C290" s="29" t="s">
        <v>24</v>
      </c>
      <c r="D290" s="28">
        <v>90.309299999999993</v>
      </c>
      <c r="E290" s="29" t="s">
        <v>25</v>
      </c>
    </row>
    <row r="291" spans="1:5" ht="12.75">
      <c r="A291" s="27">
        <v>45828</v>
      </c>
      <c r="B291" s="28">
        <v>1</v>
      </c>
      <c r="C291" s="29" t="s">
        <v>24</v>
      </c>
      <c r="D291" s="28">
        <v>89.837999999999994</v>
      </c>
      <c r="E291" s="29" t="s">
        <v>25</v>
      </c>
    </row>
    <row r="292" spans="1:5" ht="12.75">
      <c r="A292" s="27">
        <v>45829</v>
      </c>
      <c r="B292" s="28">
        <v>1</v>
      </c>
      <c r="C292" s="29" t="s">
        <v>24</v>
      </c>
      <c r="D292" s="28">
        <v>90.135599999999997</v>
      </c>
      <c r="E292" s="29" t="s">
        <v>25</v>
      </c>
    </row>
    <row r="293" spans="1:5" ht="12.75">
      <c r="A293" s="27">
        <v>45830</v>
      </c>
      <c r="B293" s="28">
        <v>1</v>
      </c>
      <c r="C293" s="29" t="s">
        <v>24</v>
      </c>
      <c r="D293" s="28">
        <v>90.135599999999997</v>
      </c>
      <c r="E293" s="29" t="s">
        <v>25</v>
      </c>
    </row>
    <row r="294" spans="1:5" ht="12.75">
      <c r="A294" s="27">
        <v>45831</v>
      </c>
      <c r="B294" s="28">
        <v>1</v>
      </c>
      <c r="C294" s="29" t="s">
        <v>24</v>
      </c>
      <c r="D294" s="28">
        <v>90.135599999999997</v>
      </c>
      <c r="E294" s="29" t="s">
        <v>25</v>
      </c>
    </row>
    <row r="295" spans="1:5" ht="12.75">
      <c r="A295" s="27">
        <v>45832</v>
      </c>
      <c r="B295" s="28">
        <v>1</v>
      </c>
      <c r="C295" s="29" t="s">
        <v>24</v>
      </c>
      <c r="D295" s="28">
        <v>89.838800000000006</v>
      </c>
      <c r="E295" s="29" t="s">
        <v>25</v>
      </c>
    </row>
    <row r="296" spans="1:5" ht="12.75">
      <c r="A296" s="27">
        <v>45833</v>
      </c>
      <c r="B296" s="28">
        <v>1</v>
      </c>
      <c r="C296" s="29" t="s">
        <v>24</v>
      </c>
      <c r="D296" s="28">
        <v>91.736999999999995</v>
      </c>
      <c r="E296" s="29" t="s">
        <v>25</v>
      </c>
    </row>
    <row r="297" spans="1:5" ht="12.75">
      <c r="A297" s="27">
        <v>45834</v>
      </c>
      <c r="B297" s="28">
        <v>1</v>
      </c>
      <c r="C297" s="29" t="s">
        <v>24</v>
      </c>
      <c r="D297" s="28">
        <v>91.059899999999999</v>
      </c>
      <c r="E297" s="29" t="s">
        <v>25</v>
      </c>
    </row>
    <row r="298" spans="1:5" ht="12.75">
      <c r="A298" s="27">
        <v>45835</v>
      </c>
      <c r="B298" s="28">
        <v>1</v>
      </c>
      <c r="C298" s="29" t="s">
        <v>24</v>
      </c>
      <c r="D298" s="28">
        <v>91.6601</v>
      </c>
      <c r="E298" s="29" t="s">
        <v>25</v>
      </c>
    </row>
    <row r="299" spans="1:5" ht="12.75">
      <c r="A299" s="27">
        <v>45836</v>
      </c>
      <c r="B299" s="28">
        <v>1</v>
      </c>
      <c r="C299" s="29" t="s">
        <v>24</v>
      </c>
      <c r="D299" s="28">
        <v>92.278499999999994</v>
      </c>
      <c r="E299" s="29" t="s">
        <v>25</v>
      </c>
    </row>
    <row r="300" spans="1:5" ht="12.75">
      <c r="A300" s="27">
        <v>45837</v>
      </c>
      <c r="B300" s="28">
        <v>1</v>
      </c>
      <c r="C300" s="29" t="s">
        <v>24</v>
      </c>
      <c r="D300" s="28">
        <v>92.278499999999994</v>
      </c>
      <c r="E300" s="29" t="s">
        <v>25</v>
      </c>
    </row>
    <row r="301" spans="1:5" ht="12.75">
      <c r="A301" s="27">
        <v>45838</v>
      </c>
      <c r="B301" s="28">
        <v>1</v>
      </c>
      <c r="C301" s="29" t="s">
        <v>24</v>
      </c>
      <c r="D301" s="28">
        <v>92.278499999999994</v>
      </c>
      <c r="E301" s="29" t="s">
        <v>25</v>
      </c>
    </row>
    <row r="302" spans="1:5" ht="12.75">
      <c r="A302" s="27">
        <v>45839</v>
      </c>
      <c r="B302" s="28">
        <v>1</v>
      </c>
      <c r="C302" s="29" t="s">
        <v>24</v>
      </c>
      <c r="D302" s="28">
        <v>92.267200000000003</v>
      </c>
      <c r="E302" s="29" t="s">
        <v>25</v>
      </c>
    </row>
    <row r="303" spans="1:5" ht="12.75">
      <c r="A303" s="27">
        <v>45840</v>
      </c>
      <c r="B303" s="28">
        <v>1</v>
      </c>
      <c r="C303" s="29" t="s">
        <v>24</v>
      </c>
      <c r="D303" s="28">
        <v>92.744</v>
      </c>
      <c r="E303" s="29" t="s">
        <v>25</v>
      </c>
    </row>
    <row r="304" spans="1:5" ht="12.75">
      <c r="A304" s="27">
        <v>45841</v>
      </c>
      <c r="B304" s="28">
        <v>1</v>
      </c>
      <c r="C304" s="29" t="s">
        <v>24</v>
      </c>
      <c r="D304" s="28">
        <v>92.677400000000006</v>
      </c>
      <c r="E304" s="29" t="s">
        <v>25</v>
      </c>
    </row>
    <row r="305" spans="1:5" ht="12.75">
      <c r="A305" s="27">
        <v>45842</v>
      </c>
      <c r="B305" s="28">
        <v>1</v>
      </c>
      <c r="C305" s="29" t="s">
        <v>24</v>
      </c>
      <c r="D305" s="28">
        <v>93.127700000000004</v>
      </c>
      <c r="E305" s="29" t="s">
        <v>25</v>
      </c>
    </row>
    <row r="306" spans="1:5" ht="12.75">
      <c r="A306" s="27">
        <v>45843</v>
      </c>
      <c r="B306" s="28">
        <v>1</v>
      </c>
      <c r="C306" s="29" t="s">
        <v>24</v>
      </c>
      <c r="D306" s="28">
        <v>93.010300000000001</v>
      </c>
      <c r="E306" s="29" t="s">
        <v>25</v>
      </c>
    </row>
    <row r="307" spans="1:5" ht="12.75">
      <c r="A307" s="27">
        <v>45844</v>
      </c>
      <c r="B307" s="28">
        <v>1</v>
      </c>
      <c r="C307" s="29" t="s">
        <v>24</v>
      </c>
      <c r="D307" s="28">
        <v>93.010300000000001</v>
      </c>
      <c r="E307" s="29" t="s">
        <v>25</v>
      </c>
    </row>
    <row r="308" spans="1:5" ht="12.75">
      <c r="A308" s="27">
        <v>45845</v>
      </c>
      <c r="B308" s="28">
        <v>1</v>
      </c>
      <c r="C308" s="29" t="s">
        <v>24</v>
      </c>
      <c r="D308" s="28">
        <v>93.010300000000001</v>
      </c>
      <c r="E308" s="29" t="s">
        <v>25</v>
      </c>
    </row>
    <row r="309" spans="1:5" ht="12.75">
      <c r="A309" s="27">
        <v>45846</v>
      </c>
      <c r="B309" s="28">
        <v>1</v>
      </c>
      <c r="C309" s="29" t="s">
        <v>24</v>
      </c>
      <c r="D309" s="28">
        <v>92.413799999999995</v>
      </c>
      <c r="E309" s="29" t="s">
        <v>25</v>
      </c>
    </row>
    <row r="310" spans="1:5" ht="12.75">
      <c r="A310" s="27">
        <v>45847</v>
      </c>
      <c r="B310" s="28">
        <v>1</v>
      </c>
      <c r="C310" s="29" t="s">
        <v>24</v>
      </c>
      <c r="D310" s="28">
        <v>91.966700000000003</v>
      </c>
      <c r="E310" s="29" t="s">
        <v>25</v>
      </c>
    </row>
    <row r="311" spans="1:5" ht="12.75">
      <c r="A311" s="27">
        <v>45848</v>
      </c>
      <c r="B311" s="28">
        <v>1</v>
      </c>
      <c r="C311" s="29" t="s">
        <v>24</v>
      </c>
      <c r="D311" s="28">
        <v>91.417500000000004</v>
      </c>
      <c r="E311" s="29" t="s">
        <v>25</v>
      </c>
    </row>
    <row r="312" spans="1:5" ht="12.75">
      <c r="A312" s="27">
        <v>45849</v>
      </c>
      <c r="B312" s="28">
        <v>1</v>
      </c>
      <c r="C312" s="29" t="s">
        <v>24</v>
      </c>
      <c r="D312" s="28">
        <v>91.499200000000002</v>
      </c>
      <c r="E312" s="29" t="s">
        <v>25</v>
      </c>
    </row>
    <row r="313" spans="1:5" ht="12.75">
      <c r="A313" s="27">
        <v>45850</v>
      </c>
      <c r="B313" s="28">
        <v>1</v>
      </c>
      <c r="C313" s="29" t="s">
        <v>24</v>
      </c>
      <c r="D313" s="28">
        <v>91.120099999999994</v>
      </c>
      <c r="E313" s="29" t="s">
        <v>25</v>
      </c>
    </row>
    <row r="314" spans="1:5" ht="12.75">
      <c r="A314" s="27">
        <v>45851</v>
      </c>
      <c r="B314" s="28">
        <v>1</v>
      </c>
      <c r="C314" s="29" t="s">
        <v>24</v>
      </c>
      <c r="D314" s="28">
        <v>91.120099999999994</v>
      </c>
      <c r="E314" s="29" t="s">
        <v>25</v>
      </c>
    </row>
    <row r="315" spans="1:5" ht="12.75">
      <c r="A315" s="27">
        <v>45852</v>
      </c>
      <c r="B315" s="28">
        <v>1</v>
      </c>
      <c r="C315" s="29" t="s">
        <v>24</v>
      </c>
      <c r="D315" s="28">
        <v>91.120099999999994</v>
      </c>
      <c r="E315" s="29" t="s">
        <v>25</v>
      </c>
    </row>
    <row r="316" spans="1:5" ht="12.75">
      <c r="A316" s="27">
        <v>45853</v>
      </c>
      <c r="B316" s="28">
        <v>1</v>
      </c>
      <c r="C316" s="29" t="s">
        <v>24</v>
      </c>
      <c r="D316" s="28">
        <v>91.773799999999994</v>
      </c>
      <c r="E316" s="29" t="s">
        <v>25</v>
      </c>
    </row>
    <row r="317" spans="1:5" ht="12.75">
      <c r="A317" s="27">
        <v>45854</v>
      </c>
      <c r="B317" s="28">
        <v>1</v>
      </c>
      <c r="C317" s="29" t="s">
        <v>24</v>
      </c>
      <c r="D317" s="28">
        <v>91.153099999999995</v>
      </c>
      <c r="E317" s="29" t="s">
        <v>25</v>
      </c>
    </row>
    <row r="318" spans="1:5" ht="12.75">
      <c r="A318" s="27">
        <v>45855</v>
      </c>
      <c r="B318" s="28">
        <v>1</v>
      </c>
      <c r="C318" s="29" t="s">
        <v>24</v>
      </c>
      <c r="D318" s="28">
        <v>90.563500000000005</v>
      </c>
      <c r="E318" s="29" t="s">
        <v>25</v>
      </c>
    </row>
    <row r="319" spans="1:5" ht="12.75">
      <c r="A319" s="27">
        <v>45856</v>
      </c>
      <c r="B319" s="28">
        <v>1</v>
      </c>
      <c r="C319" s="29" t="s">
        <v>24</v>
      </c>
      <c r="D319" s="28">
        <v>90.971599999999995</v>
      </c>
      <c r="E319" s="29" t="s">
        <v>25</v>
      </c>
    </row>
    <row r="320" spans="1:5" ht="12.75">
      <c r="A320" s="27">
        <v>45857</v>
      </c>
      <c r="B320" s="28">
        <v>1</v>
      </c>
      <c r="C320" s="29" t="s">
        <v>24</v>
      </c>
      <c r="D320" s="28">
        <v>91.082099999999997</v>
      </c>
      <c r="E320" s="29" t="s">
        <v>25</v>
      </c>
    </row>
    <row r="321" spans="1:5" ht="12.75">
      <c r="A321" s="27">
        <v>45858</v>
      </c>
      <c r="B321" s="28">
        <v>1</v>
      </c>
      <c r="C321" s="29" t="s">
        <v>24</v>
      </c>
      <c r="D321" s="28">
        <v>91.082099999999997</v>
      </c>
      <c r="E321" s="29" t="s">
        <v>25</v>
      </c>
    </row>
    <row r="322" spans="1:5" ht="12.75">
      <c r="A322" s="27">
        <v>45859</v>
      </c>
      <c r="B322" s="28">
        <v>1</v>
      </c>
      <c r="C322" s="29" t="s">
        <v>24</v>
      </c>
      <c r="D322" s="28">
        <v>91.082099999999997</v>
      </c>
      <c r="E322" s="29" t="s">
        <v>25</v>
      </c>
    </row>
    <row r="323" spans="1:5" ht="12.75">
      <c r="A323" s="27">
        <v>45860</v>
      </c>
      <c r="B323" s="28">
        <v>1</v>
      </c>
      <c r="C323" s="29" t="s">
        <v>24</v>
      </c>
      <c r="D323" s="28">
        <v>91.513800000000003</v>
      </c>
      <c r="E323" s="29" t="s">
        <v>25</v>
      </c>
    </row>
    <row r="324" spans="1:5" ht="12.75">
      <c r="A324" s="27">
        <v>45861</v>
      </c>
      <c r="B324" s="28">
        <v>1</v>
      </c>
      <c r="C324" s="29" t="s">
        <v>24</v>
      </c>
      <c r="D324" s="28">
        <v>91.778199999999998</v>
      </c>
      <c r="E324" s="29" t="s">
        <v>25</v>
      </c>
    </row>
    <row r="325" spans="1:5" ht="12.75">
      <c r="A325" s="27">
        <v>45862</v>
      </c>
      <c r="B325" s="28">
        <v>1</v>
      </c>
      <c r="C325" s="29" t="s">
        <v>24</v>
      </c>
      <c r="D325" s="28">
        <v>91.789699999999996</v>
      </c>
      <c r="E325" s="29" t="s">
        <v>25</v>
      </c>
    </row>
    <row r="326" spans="1:5" ht="12.75">
      <c r="A326" s="27">
        <v>45863</v>
      </c>
      <c r="B326" s="28">
        <v>1</v>
      </c>
      <c r="C326" s="29" t="s">
        <v>24</v>
      </c>
      <c r="D326" s="28">
        <v>93.336200000000005</v>
      </c>
      <c r="E326" s="29" t="s">
        <v>25</v>
      </c>
    </row>
    <row r="327" spans="1:5" ht="12.75">
      <c r="A327" s="27">
        <v>45864</v>
      </c>
      <c r="B327" s="28">
        <v>1</v>
      </c>
      <c r="C327" s="29" t="s">
        <v>24</v>
      </c>
      <c r="D327" s="28">
        <v>93.350800000000007</v>
      </c>
      <c r="E327" s="29" t="s">
        <v>25</v>
      </c>
    </row>
    <row r="328" spans="1:5" ht="12.75">
      <c r="A328" s="27">
        <v>45865</v>
      </c>
      <c r="B328" s="28">
        <v>1</v>
      </c>
      <c r="C328" s="29" t="s">
        <v>24</v>
      </c>
      <c r="D328" s="28">
        <v>93.350800000000007</v>
      </c>
      <c r="E328" s="29" t="s">
        <v>25</v>
      </c>
    </row>
    <row r="329" spans="1:5" ht="12.75">
      <c r="A329" s="27">
        <v>45866</v>
      </c>
      <c r="B329" s="28">
        <v>1</v>
      </c>
      <c r="C329" s="29" t="s">
        <v>24</v>
      </c>
      <c r="D329" s="28">
        <v>93.350800000000007</v>
      </c>
      <c r="E329" s="29" t="s">
        <v>25</v>
      </c>
    </row>
    <row r="330" spans="1:5" ht="12.75">
      <c r="A330" s="27">
        <v>45867</v>
      </c>
      <c r="B330" s="28">
        <v>1</v>
      </c>
      <c r="C330" s="29" t="s">
        <v>24</v>
      </c>
      <c r="D330" s="28">
        <v>93.206000000000003</v>
      </c>
      <c r="E330" s="29" t="s">
        <v>25</v>
      </c>
    </row>
    <row r="331" spans="1:5" ht="12.75">
      <c r="A331" s="27">
        <v>45868</v>
      </c>
      <c r="B331" s="28">
        <v>1</v>
      </c>
      <c r="C331" s="29" t="s">
        <v>24</v>
      </c>
      <c r="D331" s="28">
        <v>94.997600000000006</v>
      </c>
      <c r="E331" s="29" t="s">
        <v>25</v>
      </c>
    </row>
    <row r="332" spans="1:5" ht="12.75">
      <c r="A332" s="27">
        <v>45869</v>
      </c>
      <c r="B332" s="28">
        <v>1</v>
      </c>
      <c r="C332" s="29" t="s">
        <v>24</v>
      </c>
      <c r="D332" s="28">
        <v>94.951400000000007</v>
      </c>
      <c r="E332" s="29" t="s">
        <v>25</v>
      </c>
    </row>
    <row r="333" spans="1:5" ht="12.75">
      <c r="A333" s="27">
        <v>45870</v>
      </c>
      <c r="B333" s="28">
        <v>1</v>
      </c>
      <c r="C333" s="29" t="s">
        <v>24</v>
      </c>
      <c r="D333" s="28">
        <v>91.875100000000003</v>
      </c>
      <c r="E333" s="29" t="s">
        <v>25</v>
      </c>
    </row>
    <row r="334" spans="1:5" ht="12.75">
      <c r="A334" s="27">
        <v>45871</v>
      </c>
      <c r="B334" s="28">
        <v>1</v>
      </c>
      <c r="C334" s="29" t="s">
        <v>24</v>
      </c>
      <c r="D334" s="28">
        <v>91.705600000000004</v>
      </c>
      <c r="E334" s="29" t="s">
        <v>25</v>
      </c>
    </row>
    <row r="335" spans="1:5" ht="12.75">
      <c r="A335" s="27">
        <v>45872</v>
      </c>
      <c r="B335" s="28">
        <v>1</v>
      </c>
      <c r="C335" s="29" t="s">
        <v>24</v>
      </c>
      <c r="D335" s="28">
        <v>91.705600000000004</v>
      </c>
      <c r="E335" s="29" t="s">
        <v>25</v>
      </c>
    </row>
    <row r="336" spans="1:5" ht="12.75">
      <c r="A336" s="27">
        <v>45873</v>
      </c>
      <c r="B336" s="28">
        <v>1</v>
      </c>
      <c r="C336" s="29" t="s">
        <v>24</v>
      </c>
      <c r="D336" s="28">
        <v>91.705600000000004</v>
      </c>
      <c r="E336" s="29" t="s">
        <v>25</v>
      </c>
    </row>
    <row r="337" spans="1:5" ht="12.75">
      <c r="A337" s="27">
        <v>45874</v>
      </c>
      <c r="B337" s="28">
        <v>1</v>
      </c>
      <c r="C337" s="29" t="s">
        <v>24</v>
      </c>
      <c r="D337" s="28">
        <v>92.325199999999995</v>
      </c>
      <c r="E337" s="29" t="s">
        <v>25</v>
      </c>
    </row>
    <row r="338" spans="1:5" ht="12.75">
      <c r="A338" s="27">
        <v>45875</v>
      </c>
      <c r="B338" s="28">
        <v>1</v>
      </c>
      <c r="C338" s="29" t="s">
        <v>24</v>
      </c>
      <c r="D338" s="28">
        <v>92.509399999999999</v>
      </c>
      <c r="E338" s="29" t="s">
        <v>25</v>
      </c>
    </row>
    <row r="339" spans="1:5" ht="12.75">
      <c r="A339" s="27">
        <v>45876</v>
      </c>
      <c r="B339" s="28">
        <v>1</v>
      </c>
      <c r="C339" s="29" t="s">
        <v>24</v>
      </c>
      <c r="D339" s="28">
        <v>93.007199999999997</v>
      </c>
      <c r="E339" s="29" t="s">
        <v>25</v>
      </c>
    </row>
    <row r="340" spans="1:5" ht="12.75">
      <c r="A340" s="27">
        <v>45877</v>
      </c>
      <c r="B340" s="28">
        <v>1</v>
      </c>
      <c r="C340" s="29" t="s">
        <v>24</v>
      </c>
      <c r="D340" s="28">
        <v>92.663600000000002</v>
      </c>
      <c r="E340" s="29" t="s">
        <v>25</v>
      </c>
    </row>
    <row r="341" spans="1:5" ht="12.75">
      <c r="A341" s="27">
        <v>45878</v>
      </c>
      <c r="B341" s="28">
        <v>1</v>
      </c>
      <c r="C341" s="29" t="s">
        <v>24</v>
      </c>
      <c r="D341" s="28">
        <v>92.88</v>
      </c>
      <c r="E341" s="29" t="s">
        <v>25</v>
      </c>
    </row>
    <row r="342" spans="1:5" ht="12.75">
      <c r="A342" s="27">
        <v>45879</v>
      </c>
      <c r="B342" s="28">
        <v>1</v>
      </c>
      <c r="C342" s="29" t="s">
        <v>24</v>
      </c>
      <c r="D342" s="28">
        <v>92.88</v>
      </c>
      <c r="E342" s="29" t="s">
        <v>25</v>
      </c>
    </row>
    <row r="343" spans="1:5" ht="12.75">
      <c r="A343" s="27">
        <v>45880</v>
      </c>
      <c r="B343" s="28">
        <v>1</v>
      </c>
      <c r="C343" s="29" t="s">
        <v>24</v>
      </c>
      <c r="D343" s="28">
        <v>92.88</v>
      </c>
      <c r="E343" s="29" t="s">
        <v>25</v>
      </c>
    </row>
    <row r="344" spans="1:5" ht="12.75">
      <c r="A344" s="27">
        <v>45881</v>
      </c>
      <c r="B344" s="28">
        <v>1</v>
      </c>
      <c r="C344" s="29" t="s">
        <v>24</v>
      </c>
      <c r="D344" s="28">
        <v>92.948499999999996</v>
      </c>
      <c r="E344" s="29" t="s">
        <v>25</v>
      </c>
    </row>
    <row r="345" spans="1:5" ht="12.75">
      <c r="A345" s="27">
        <v>45882</v>
      </c>
      <c r="B345" s="28">
        <v>1</v>
      </c>
      <c r="C345" s="29" t="s">
        <v>24</v>
      </c>
      <c r="D345" s="28">
        <v>92.8583</v>
      </c>
      <c r="E345" s="29" t="s">
        <v>25</v>
      </c>
    </row>
    <row r="346" spans="1:5" ht="12.75">
      <c r="A346" s="27">
        <v>45883</v>
      </c>
      <c r="B346" s="28">
        <v>1</v>
      </c>
      <c r="C346" s="29" t="s">
        <v>24</v>
      </c>
      <c r="D346" s="28">
        <v>93.387500000000003</v>
      </c>
      <c r="E346" s="29" t="s">
        <v>25</v>
      </c>
    </row>
    <row r="347" spans="1:5" ht="12.75">
      <c r="A347" s="27">
        <v>45884</v>
      </c>
      <c r="B347" s="28">
        <v>1</v>
      </c>
      <c r="C347" s="29" t="s">
        <v>24</v>
      </c>
      <c r="D347" s="28">
        <v>93.058800000000005</v>
      </c>
      <c r="E347" s="29" t="s">
        <v>25</v>
      </c>
    </row>
    <row r="348" spans="1:5" ht="12.75">
      <c r="A348" s="27">
        <v>45885</v>
      </c>
      <c r="B348" s="28">
        <v>1</v>
      </c>
      <c r="C348" s="29" t="s">
        <v>24</v>
      </c>
      <c r="D348" s="28">
        <v>93.709400000000002</v>
      </c>
      <c r="E348" s="29" t="s">
        <v>25</v>
      </c>
    </row>
    <row r="349" spans="1:5" ht="12.75">
      <c r="A349" s="27">
        <v>45886</v>
      </c>
      <c r="B349" s="28">
        <v>1</v>
      </c>
      <c r="C349" s="29" t="s">
        <v>24</v>
      </c>
      <c r="D349" s="28">
        <v>93.709400000000002</v>
      </c>
      <c r="E349" s="29" t="s">
        <v>25</v>
      </c>
    </row>
    <row r="350" spans="1:5" ht="12.75">
      <c r="A350" s="27">
        <v>45887</v>
      </c>
      <c r="B350" s="28">
        <v>1</v>
      </c>
      <c r="C350" s="29" t="s">
        <v>24</v>
      </c>
      <c r="D350" s="28">
        <v>93.709400000000002</v>
      </c>
      <c r="E350" s="29" t="s">
        <v>25</v>
      </c>
    </row>
    <row r="351" spans="1:5" ht="12.75">
      <c r="A351" s="27">
        <v>45888</v>
      </c>
      <c r="B351" s="28">
        <v>1</v>
      </c>
      <c r="C351" s="29" t="s">
        <v>24</v>
      </c>
      <c r="D351" s="28">
        <v>94.088399999999993</v>
      </c>
      <c r="E351" s="29" t="s">
        <v>25</v>
      </c>
    </row>
    <row r="352" spans="1:5" ht="12.75">
      <c r="A352" s="27">
        <v>45889</v>
      </c>
      <c r="B352" s="28">
        <v>1</v>
      </c>
      <c r="C352" s="29" t="s">
        <v>24</v>
      </c>
      <c r="D352" s="28">
        <v>93.560400000000001</v>
      </c>
      <c r="E352" s="29" t="s">
        <v>25</v>
      </c>
    </row>
    <row r="353" spans="1:5" ht="12.75">
      <c r="A353" s="27">
        <v>45890</v>
      </c>
      <c r="B353" s="28">
        <v>1</v>
      </c>
      <c r="C353" s="29" t="s">
        <v>24</v>
      </c>
      <c r="D353" s="28">
        <v>93.479100000000003</v>
      </c>
      <c r="E353" s="29" t="s">
        <v>25</v>
      </c>
    </row>
    <row r="354" spans="1:5" ht="12.75">
      <c r="A354" s="27">
        <v>45891</v>
      </c>
      <c r="B354" s="28">
        <v>1</v>
      </c>
      <c r="C354" s="29" t="s">
        <v>24</v>
      </c>
      <c r="D354" s="28">
        <v>93.504900000000006</v>
      </c>
      <c r="E354" s="29" t="s">
        <v>25</v>
      </c>
    </row>
    <row r="355" spans="1:5" ht="12.75">
      <c r="A355" s="27">
        <v>45892</v>
      </c>
      <c r="B355" s="28">
        <v>1</v>
      </c>
      <c r="C355" s="29" t="s">
        <v>24</v>
      </c>
      <c r="D355" s="28">
        <v>93.627399999999994</v>
      </c>
      <c r="E355" s="29" t="s">
        <v>25</v>
      </c>
    </row>
    <row r="356" spans="1:5" ht="12.75">
      <c r="A356" s="27">
        <v>45893</v>
      </c>
      <c r="B356" s="28">
        <v>1</v>
      </c>
      <c r="C356" s="29" t="s">
        <v>24</v>
      </c>
      <c r="D356" s="28">
        <v>93.627399999999994</v>
      </c>
      <c r="E356" s="29" t="s">
        <v>25</v>
      </c>
    </row>
    <row r="357" spans="1:5" ht="12.75">
      <c r="A357" s="27">
        <v>45894</v>
      </c>
      <c r="B357" s="28">
        <v>1</v>
      </c>
      <c r="C357" s="29" t="s">
        <v>24</v>
      </c>
      <c r="D357" s="28">
        <v>93.627399999999994</v>
      </c>
      <c r="E357" s="29" t="s">
        <v>25</v>
      </c>
    </row>
    <row r="358" spans="1:5" ht="12.75">
      <c r="A358" s="27">
        <v>45895</v>
      </c>
      <c r="B358" s="28">
        <v>1</v>
      </c>
      <c r="C358" s="29" t="s">
        <v>24</v>
      </c>
      <c r="D358" s="28">
        <v>94.462199999999996</v>
      </c>
      <c r="E358" s="29" t="s">
        <v>25</v>
      </c>
    </row>
    <row r="359" spans="1:5" ht="12.75">
      <c r="A359" s="27">
        <v>45896</v>
      </c>
      <c r="B359" s="28">
        <v>1</v>
      </c>
      <c r="C359" s="29" t="s">
        <v>24</v>
      </c>
      <c r="D359" s="28">
        <v>93.368399999999994</v>
      </c>
      <c r="E359" s="29" t="s">
        <v>25</v>
      </c>
    </row>
    <row r="360" spans="1:5" ht="12.75">
      <c r="A360" s="27">
        <v>45897</v>
      </c>
      <c r="B360" s="28">
        <v>1</v>
      </c>
      <c r="C360" s="29" t="s">
        <v>24</v>
      </c>
      <c r="D360" s="28">
        <v>93.342799999999997</v>
      </c>
      <c r="E360" s="29" t="s">
        <v>25</v>
      </c>
    </row>
    <row r="361" spans="1:5" ht="12.75">
      <c r="A361" s="27">
        <v>45898</v>
      </c>
      <c r="B361" s="28">
        <v>1</v>
      </c>
      <c r="C361" s="29" t="s">
        <v>24</v>
      </c>
      <c r="D361" s="28">
        <v>93.489099999999993</v>
      </c>
      <c r="E361" s="29" t="s">
        <v>25</v>
      </c>
    </row>
    <row r="362" spans="1:5" ht="12.75">
      <c r="A362" s="27">
        <v>45899</v>
      </c>
      <c r="B362" s="28">
        <v>1</v>
      </c>
      <c r="C362" s="29" t="s">
        <v>24</v>
      </c>
      <c r="D362" s="28">
        <v>94.047899999999998</v>
      </c>
      <c r="E362" s="29" t="s">
        <v>25</v>
      </c>
    </row>
    <row r="363" spans="1:5" ht="12.75">
      <c r="A363" s="27">
        <v>45900</v>
      </c>
      <c r="B363" s="28">
        <v>1</v>
      </c>
      <c r="C363" s="29" t="s">
        <v>24</v>
      </c>
      <c r="D363" s="28">
        <v>94.047899999999998</v>
      </c>
      <c r="E363" s="29" t="s">
        <v>25</v>
      </c>
    </row>
    <row r="364" spans="1:5" ht="12.75">
      <c r="A364" s="27">
        <v>45901</v>
      </c>
      <c r="B364" s="28">
        <v>1</v>
      </c>
      <c r="C364" s="29" t="s">
        <v>24</v>
      </c>
      <c r="D364" s="28">
        <v>94.047899999999998</v>
      </c>
      <c r="E364" s="29" t="s">
        <v>25</v>
      </c>
    </row>
    <row r="365" spans="1:5" ht="12.75">
      <c r="A365" s="27">
        <v>45902</v>
      </c>
      <c r="B365" s="28">
        <v>1</v>
      </c>
      <c r="C365" s="29" t="s">
        <v>24</v>
      </c>
      <c r="D365" s="28">
        <v>94.384100000000004</v>
      </c>
      <c r="E365" s="29" t="s">
        <v>25</v>
      </c>
    </row>
    <row r="366" spans="1:5" ht="12.75">
      <c r="A366" s="27">
        <v>45903</v>
      </c>
      <c r="B366" s="28">
        <v>1</v>
      </c>
      <c r="C366" s="29" t="s">
        <v>24</v>
      </c>
      <c r="D366" s="28">
        <v>93.837299999999999</v>
      </c>
      <c r="E366" s="29" t="s">
        <v>25</v>
      </c>
    </row>
    <row r="367" spans="1:5" ht="12.75">
      <c r="A367" s="27">
        <v>45904</v>
      </c>
      <c r="B367" s="28">
        <v>1</v>
      </c>
      <c r="C367" s="29" t="s">
        <v>24</v>
      </c>
      <c r="D367" s="28">
        <v>94.253900000000002</v>
      </c>
      <c r="E367" s="29" t="s">
        <v>25</v>
      </c>
    </row>
    <row r="368" spans="1:5" ht="12.75">
      <c r="A368" s="27">
        <v>45905</v>
      </c>
      <c r="B368" s="28">
        <v>1</v>
      </c>
      <c r="C368" s="29" t="s">
        <v>24</v>
      </c>
      <c r="D368" s="28">
        <v>94.775400000000005</v>
      </c>
      <c r="E368" s="29" t="s">
        <v>25</v>
      </c>
    </row>
    <row r="369" spans="1:5" ht="12.75">
      <c r="A369" s="27">
        <v>45906</v>
      </c>
      <c r="B369" s="28">
        <v>1</v>
      </c>
      <c r="C369" s="29" t="s">
        <v>24</v>
      </c>
      <c r="D369" s="28">
        <v>95.479200000000006</v>
      </c>
      <c r="E369" s="29" t="s">
        <v>25</v>
      </c>
    </row>
    <row r="370" spans="1:5" ht="12.75">
      <c r="A370" s="27">
        <v>45907</v>
      </c>
      <c r="B370" s="28">
        <v>1</v>
      </c>
      <c r="C370" s="29" t="s">
        <v>24</v>
      </c>
      <c r="D370" s="28">
        <v>95.479200000000006</v>
      </c>
      <c r="E370" s="29" t="s">
        <v>25</v>
      </c>
    </row>
    <row r="371" spans="1:5" ht="12.75">
      <c r="A371" s="27">
        <v>45908</v>
      </c>
      <c r="B371" s="28">
        <v>1</v>
      </c>
      <c r="C371" s="29" t="s">
        <v>24</v>
      </c>
      <c r="D371" s="28">
        <v>95.479200000000006</v>
      </c>
      <c r="E371" s="29" t="s">
        <v>25</v>
      </c>
    </row>
    <row r="372" spans="1:5" ht="12.75">
      <c r="A372" s="27">
        <v>45909</v>
      </c>
      <c r="B372" s="28">
        <v>1</v>
      </c>
      <c r="C372" s="29" t="s">
        <v>24</v>
      </c>
      <c r="D372" s="28">
        <v>96.569100000000006</v>
      </c>
      <c r="E372" s="29" t="s">
        <v>25</v>
      </c>
    </row>
    <row r="373" spans="1:5" ht="12.75">
      <c r="A373" s="27">
        <v>45910</v>
      </c>
      <c r="B373" s="28">
        <v>1</v>
      </c>
      <c r="C373" s="29" t="s">
        <v>24</v>
      </c>
      <c r="D373" s="28">
        <v>98.033600000000007</v>
      </c>
      <c r="E373" s="29" t="s">
        <v>25</v>
      </c>
    </row>
    <row r="374" spans="1:5" ht="12.75">
      <c r="A374" s="27">
        <v>45911</v>
      </c>
      <c r="B374" s="28">
        <v>1</v>
      </c>
      <c r="C374" s="29" t="s">
        <v>24</v>
      </c>
      <c r="D374" s="28">
        <v>99.824600000000004</v>
      </c>
      <c r="E374" s="29" t="s">
        <v>25</v>
      </c>
    </row>
    <row r="375" spans="1:5" ht="12.75">
      <c r="A375" s="27">
        <v>45912</v>
      </c>
      <c r="B375" s="28">
        <v>1</v>
      </c>
      <c r="C375" s="29" t="s">
        <v>24</v>
      </c>
      <c r="D375" s="28">
        <v>99.736699999999999</v>
      </c>
      <c r="E375" s="29" t="s">
        <v>25</v>
      </c>
    </row>
    <row r="376" spans="1:5" ht="12.75">
      <c r="A376" s="27">
        <v>45913</v>
      </c>
      <c r="B376" s="28">
        <v>1</v>
      </c>
      <c r="C376" s="29" t="s">
        <v>24</v>
      </c>
      <c r="D376" s="28">
        <v>99.330399999999997</v>
      </c>
      <c r="E376" s="29" t="s">
        <v>25</v>
      </c>
    </row>
    <row r="377" spans="1:5" ht="12.75">
      <c r="A377" s="27">
        <v>45914</v>
      </c>
      <c r="B377" s="28">
        <v>1</v>
      </c>
      <c r="C377" s="29" t="s">
        <v>24</v>
      </c>
      <c r="D377" s="28">
        <v>99.330399999999997</v>
      </c>
      <c r="E377" s="29" t="s">
        <v>25</v>
      </c>
    </row>
    <row r="378" spans="1:5" ht="12.75">
      <c r="A378" s="27">
        <v>45915</v>
      </c>
      <c r="B378" s="28">
        <v>1</v>
      </c>
      <c r="C378" s="29" t="s">
        <v>24</v>
      </c>
      <c r="D378" s="28">
        <v>99.330399999999997</v>
      </c>
      <c r="E378" s="29" t="s">
        <v>25</v>
      </c>
    </row>
    <row r="379" spans="1:5" ht="12.75">
      <c r="A379" s="27">
        <v>45916</v>
      </c>
      <c r="B379" s="28">
        <v>1</v>
      </c>
      <c r="C379" s="29" t="s">
        <v>24</v>
      </c>
      <c r="D379" s="28">
        <v>97.450199999999995</v>
      </c>
      <c r="E379" s="29" t="s">
        <v>25</v>
      </c>
    </row>
    <row r="380" spans="1:5" ht="12.75">
      <c r="A380" s="27">
        <v>45917</v>
      </c>
      <c r="B380" s="28">
        <v>1</v>
      </c>
      <c r="C380" s="29" t="s">
        <v>24</v>
      </c>
      <c r="D380" s="28">
        <v>97.890299999999996</v>
      </c>
      <c r="E380" s="29" t="s">
        <v>25</v>
      </c>
    </row>
    <row r="381" spans="1:5" ht="12.75">
      <c r="A381" s="27">
        <v>45918</v>
      </c>
      <c r="B381" s="28">
        <v>1</v>
      </c>
      <c r="C381" s="29" t="s">
        <v>24</v>
      </c>
      <c r="D381" s="28">
        <v>98.299400000000006</v>
      </c>
      <c r="E381" s="29" t="s">
        <v>25</v>
      </c>
    </row>
    <row r="382" spans="1:5" ht="12.75">
      <c r="A382" s="27">
        <v>45919</v>
      </c>
      <c r="B382" s="28">
        <v>1</v>
      </c>
      <c r="C382" s="29" t="s">
        <v>24</v>
      </c>
      <c r="D382" s="28">
        <v>98.9773</v>
      </c>
      <c r="E382" s="29" t="s">
        <v>25</v>
      </c>
    </row>
    <row r="383" spans="1:5" ht="12.75">
      <c r="A383" s="27">
        <v>45920</v>
      </c>
      <c r="B383" s="28">
        <v>1</v>
      </c>
      <c r="C383" s="29" t="s">
        <v>24</v>
      </c>
      <c r="D383" s="28">
        <v>98.884500000000003</v>
      </c>
      <c r="E383" s="29" t="s">
        <v>25</v>
      </c>
    </row>
    <row r="384" spans="1:5" ht="12.75">
      <c r="A384" s="27">
        <v>45921</v>
      </c>
      <c r="B384" s="28">
        <v>1</v>
      </c>
      <c r="C384" s="29" t="s">
        <v>24</v>
      </c>
      <c r="D384" s="28">
        <v>98.884500000000003</v>
      </c>
      <c r="E384" s="29" t="s">
        <v>25</v>
      </c>
    </row>
    <row r="385" spans="1:5" ht="12.75">
      <c r="A385" s="27">
        <v>45922</v>
      </c>
      <c r="B385" s="28">
        <v>1</v>
      </c>
      <c r="C385" s="29" t="s">
        <v>24</v>
      </c>
      <c r="D385" s="28">
        <v>98.884500000000003</v>
      </c>
      <c r="E385" s="29" t="s">
        <v>25</v>
      </c>
    </row>
    <row r="386" spans="1:5" ht="12.75">
      <c r="A386" s="27">
        <v>45923</v>
      </c>
      <c r="B386" s="28">
        <v>1</v>
      </c>
      <c r="C386" s="29" t="s">
        <v>24</v>
      </c>
      <c r="D386" s="28">
        <v>98.963800000000006</v>
      </c>
      <c r="E386" s="29" t="s">
        <v>25</v>
      </c>
    </row>
    <row r="387" spans="1:5" ht="12.75">
      <c r="A387" s="27">
        <v>45924</v>
      </c>
      <c r="B387" s="28">
        <v>1</v>
      </c>
      <c r="C387" s="29" t="s">
        <v>24</v>
      </c>
      <c r="D387" s="28">
        <v>99.036299999999997</v>
      </c>
      <c r="E387" s="29" t="s">
        <v>25</v>
      </c>
    </row>
    <row r="388" spans="1:5" ht="12.75">
      <c r="A388" s="27">
        <v>45925</v>
      </c>
      <c r="B388" s="28">
        <v>1</v>
      </c>
      <c r="C388" s="29" t="s">
        <v>24</v>
      </c>
      <c r="D388" s="28">
        <v>98.601500000000001</v>
      </c>
      <c r="E388" s="29" t="s">
        <v>25</v>
      </c>
    </row>
    <row r="389" spans="1:5" ht="12.75">
      <c r="A389" s="27">
        <v>45926</v>
      </c>
      <c r="B389" s="28">
        <v>1</v>
      </c>
      <c r="C389" s="29" t="s">
        <v>24</v>
      </c>
      <c r="D389" s="28">
        <v>98.154200000000003</v>
      </c>
      <c r="E389" s="29" t="s">
        <v>25</v>
      </c>
    </row>
    <row r="390" spans="1:5" ht="12.75">
      <c r="A390" s="27">
        <v>45927</v>
      </c>
      <c r="B390" s="28">
        <v>1</v>
      </c>
      <c r="C390" s="29" t="s">
        <v>24</v>
      </c>
      <c r="D390" s="28">
        <v>97.682299999999998</v>
      </c>
      <c r="E390" s="29" t="s">
        <v>25</v>
      </c>
    </row>
    <row r="391" spans="1:5" ht="12.75">
      <c r="A391" s="27">
        <v>45928</v>
      </c>
      <c r="B391" s="28">
        <v>1</v>
      </c>
      <c r="C391" s="29" t="s">
        <v>24</v>
      </c>
      <c r="D391" s="28">
        <v>97.682299999999998</v>
      </c>
      <c r="E391" s="29" t="s">
        <v>25</v>
      </c>
    </row>
    <row r="392" spans="1:5" ht="12.75">
      <c r="A392" s="27">
        <v>45929</v>
      </c>
      <c r="B392" s="28">
        <v>1</v>
      </c>
      <c r="C392" s="29" t="s">
        <v>24</v>
      </c>
      <c r="D392" s="28">
        <v>97.682299999999998</v>
      </c>
      <c r="E392" s="29" t="s">
        <v>25</v>
      </c>
    </row>
    <row r="393" spans="1:5" ht="12.75">
      <c r="A393" s="27">
        <v>45930</v>
      </c>
      <c r="B393" s="28">
        <v>1</v>
      </c>
      <c r="C393" s="29" t="s">
        <v>24</v>
      </c>
      <c r="D393" s="28">
        <v>97.141000000000005</v>
      </c>
      <c r="E393" s="29" t="s">
        <v>25</v>
      </c>
    </row>
    <row r="394" spans="1:5" ht="12.75">
      <c r="A394" s="27">
        <v>45931</v>
      </c>
      <c r="B394" s="28">
        <v>1</v>
      </c>
      <c r="C394" s="29" t="s">
        <v>24</v>
      </c>
      <c r="D394" s="28">
        <v>96.864400000000003</v>
      </c>
      <c r="E394" s="29" t="s">
        <v>25</v>
      </c>
    </row>
    <row r="395" spans="1:5" ht="12.75">
      <c r="A395" s="27">
        <v>45932</v>
      </c>
      <c r="B395" s="28">
        <v>1</v>
      </c>
      <c r="C395" s="29" t="s">
        <v>24</v>
      </c>
      <c r="D395" s="28">
        <v>95.638199999999998</v>
      </c>
      <c r="E395" s="29" t="s">
        <v>25</v>
      </c>
    </row>
    <row r="396" spans="1:5" ht="12.75">
      <c r="A396" s="27">
        <v>45933</v>
      </c>
      <c r="B396" s="28">
        <v>1</v>
      </c>
      <c r="C396" s="29" t="s">
        <v>24</v>
      </c>
      <c r="D396" s="28">
        <v>95.341099999999997</v>
      </c>
      <c r="E396" s="29" t="s">
        <v>25</v>
      </c>
    </row>
    <row r="397" spans="1:5" ht="12.75">
      <c r="A397" s="27">
        <v>45934</v>
      </c>
      <c r="B397" s="28">
        <v>1</v>
      </c>
      <c r="C397" s="29" t="s">
        <v>24</v>
      </c>
      <c r="D397" s="28">
        <v>96.052499999999995</v>
      </c>
      <c r="E397" s="29" t="s">
        <v>25</v>
      </c>
    </row>
    <row r="398" spans="1:5" ht="12.75">
      <c r="A398" s="27">
        <v>45935</v>
      </c>
      <c r="B398" s="28">
        <v>1</v>
      </c>
      <c r="C398" s="29" t="s">
        <v>24</v>
      </c>
      <c r="D398" s="28">
        <v>96.052499999999995</v>
      </c>
      <c r="E398" s="29" t="s">
        <v>25</v>
      </c>
    </row>
    <row r="399" spans="1:5" ht="12.75">
      <c r="A399" s="27">
        <v>45936</v>
      </c>
      <c r="B399" s="28">
        <v>1</v>
      </c>
      <c r="C399" s="29" t="s">
        <v>24</v>
      </c>
      <c r="D399" s="28">
        <v>96.052499999999995</v>
      </c>
      <c r="E399" s="29" t="s">
        <v>25</v>
      </c>
    </row>
    <row r="400" spans="1:5" ht="12.75">
      <c r="A400" s="27">
        <v>45937</v>
      </c>
      <c r="B400" s="28">
        <v>1</v>
      </c>
      <c r="C400" s="29" t="s">
        <v>24</v>
      </c>
      <c r="D400" s="28">
        <v>96.834500000000006</v>
      </c>
      <c r="E400" s="29" t="s">
        <v>25</v>
      </c>
    </row>
    <row r="401" spans="1:5" ht="12.75">
      <c r="A401" s="27">
        <v>45938</v>
      </c>
      <c r="B401" s="28">
        <v>1</v>
      </c>
      <c r="C401" s="29" t="s">
        <v>24</v>
      </c>
      <c r="D401" s="28">
        <v>95.672200000000004</v>
      </c>
      <c r="E401" s="29" t="s">
        <v>25</v>
      </c>
    </row>
    <row r="402" spans="1:5" ht="12.75">
      <c r="A402" s="27">
        <v>45939</v>
      </c>
      <c r="B402" s="28">
        <v>1</v>
      </c>
      <c r="C402" s="29" t="s">
        <v>24</v>
      </c>
      <c r="D402" s="28">
        <v>94.935100000000006</v>
      </c>
      <c r="E402" s="29" t="s">
        <v>25</v>
      </c>
    </row>
    <row r="403" spans="1:5" ht="12.75">
      <c r="A403" s="27">
        <v>45940</v>
      </c>
      <c r="B403" s="28">
        <v>1</v>
      </c>
      <c r="C403" s="29" t="s">
        <v>24</v>
      </c>
      <c r="D403" s="28">
        <v>94.703000000000003</v>
      </c>
      <c r="E403" s="29" t="s">
        <v>25</v>
      </c>
    </row>
    <row r="404" spans="1:5" ht="12.75">
      <c r="A404" s="27">
        <v>45941</v>
      </c>
      <c r="B404" s="28">
        <v>1</v>
      </c>
      <c r="C404" s="29" t="s">
        <v>24</v>
      </c>
      <c r="D404" s="28">
        <v>94.049099999999996</v>
      </c>
      <c r="E404" s="29" t="s">
        <v>25</v>
      </c>
    </row>
    <row r="405" spans="1:5" ht="12.75">
      <c r="A405" s="27">
        <v>45942</v>
      </c>
      <c r="B405" s="28">
        <v>1</v>
      </c>
      <c r="C405" s="29" t="s">
        <v>24</v>
      </c>
      <c r="D405" s="28">
        <v>94.049099999999996</v>
      </c>
      <c r="E405" s="29" t="s">
        <v>25</v>
      </c>
    </row>
    <row r="406" spans="1:5" ht="12.75">
      <c r="A406" s="27">
        <v>45943</v>
      </c>
      <c r="B406" s="28">
        <v>1</v>
      </c>
      <c r="C406" s="29" t="s">
        <v>24</v>
      </c>
      <c r="D406" s="28">
        <v>94.049099999999996</v>
      </c>
      <c r="E406" s="29" t="s">
        <v>25</v>
      </c>
    </row>
    <row r="407" spans="1:5" ht="12.75">
      <c r="A407" s="27">
        <v>45944</v>
      </c>
      <c r="B407" s="28">
        <v>1</v>
      </c>
      <c r="C407" s="29" t="s">
        <v>24</v>
      </c>
      <c r="D407" s="28">
        <v>93.918099999999995</v>
      </c>
      <c r="E407" s="29" t="s">
        <v>25</v>
      </c>
    </row>
    <row r="408" spans="1:5" ht="12.75">
      <c r="A408" s="27">
        <v>45945</v>
      </c>
      <c r="B408" s="28">
        <v>1</v>
      </c>
      <c r="C408" s="29" t="s">
        <v>24</v>
      </c>
      <c r="D408" s="28">
        <v>92.681600000000003</v>
      </c>
      <c r="E408" s="29" t="s">
        <v>25</v>
      </c>
    </row>
    <row r="409" spans="1:5" ht="12.75">
      <c r="A409" s="27">
        <v>45946</v>
      </c>
      <c r="B409" s="28">
        <v>1</v>
      </c>
      <c r="C409" s="29" t="s">
        <v>24</v>
      </c>
      <c r="D409" s="28">
        <v>91.725800000000007</v>
      </c>
      <c r="E409" s="29" t="s">
        <v>25</v>
      </c>
    </row>
    <row r="410" spans="1:5" ht="12.75">
      <c r="A410" s="27">
        <v>45947</v>
      </c>
      <c r="B410" s="28">
        <v>1</v>
      </c>
      <c r="C410" s="29" t="s">
        <v>24</v>
      </c>
      <c r="D410" s="28">
        <v>92.083399999999997</v>
      </c>
      <c r="E410" s="29" t="s">
        <v>25</v>
      </c>
    </row>
    <row r="411" spans="1:5" ht="12.75">
      <c r="A411" s="27">
        <v>45948</v>
      </c>
      <c r="B411" s="28">
        <v>1</v>
      </c>
      <c r="C411" s="29" t="s">
        <v>24</v>
      </c>
      <c r="D411" s="28">
        <v>94.583500000000001</v>
      </c>
      <c r="E411" s="29" t="s">
        <v>25</v>
      </c>
    </row>
    <row r="412" spans="1:5" ht="12.75">
      <c r="A412" s="27">
        <v>45949</v>
      </c>
      <c r="B412" s="28">
        <v>1</v>
      </c>
      <c r="C412" s="29" t="s">
        <v>24</v>
      </c>
      <c r="D412" s="28">
        <v>94.583500000000001</v>
      </c>
      <c r="E412" s="29" t="s">
        <v>25</v>
      </c>
    </row>
    <row r="413" spans="1:5" ht="12.75">
      <c r="A413" s="27">
        <v>45950</v>
      </c>
      <c r="B413" s="28">
        <v>1</v>
      </c>
      <c r="C413" s="29" t="s">
        <v>24</v>
      </c>
      <c r="D413" s="28">
        <v>94.583500000000001</v>
      </c>
      <c r="E413" s="29" t="s">
        <v>25</v>
      </c>
    </row>
    <row r="414" spans="1:5" ht="12.75">
      <c r="A414" s="27">
        <v>45951</v>
      </c>
      <c r="B414" s="28">
        <v>1</v>
      </c>
      <c r="C414" s="29" t="s">
        <v>24</v>
      </c>
      <c r="D414" s="28">
        <v>94.384500000000003</v>
      </c>
      <c r="E414" s="29" t="s">
        <v>25</v>
      </c>
    </row>
    <row r="415" spans="1:5" ht="12.75">
      <c r="A415" s="27">
        <v>45952</v>
      </c>
      <c r="B415" s="28">
        <v>1</v>
      </c>
      <c r="C415" s="29" t="s">
        <v>24</v>
      </c>
      <c r="D415" s="28">
        <v>94.665599999999998</v>
      </c>
      <c r="E415" s="29" t="s">
        <v>25</v>
      </c>
    </row>
    <row r="416" spans="1:5" ht="12.75">
      <c r="A416" s="27">
        <v>45953</v>
      </c>
      <c r="B416" s="28">
        <v>1</v>
      </c>
      <c r="C416" s="29" t="s">
        <v>24</v>
      </c>
      <c r="D416" s="28">
        <v>94.754300000000001</v>
      </c>
      <c r="E416" s="29" t="s">
        <v>25</v>
      </c>
    </row>
    <row r="417" spans="1:5" ht="12.75">
      <c r="A417" s="27">
        <v>45954</v>
      </c>
      <c r="B417" s="28">
        <v>1</v>
      </c>
      <c r="C417" s="29" t="s">
        <v>24</v>
      </c>
      <c r="D417" s="28">
        <v>94.388900000000007</v>
      </c>
      <c r="E417" s="29" t="s">
        <v>25</v>
      </c>
    </row>
    <row r="418" spans="1:5" ht="12.75">
      <c r="A418" s="27">
        <v>45955</v>
      </c>
      <c r="B418" s="28">
        <v>1</v>
      </c>
      <c r="C418" s="29" t="s">
        <v>24</v>
      </c>
      <c r="D418" s="28">
        <v>94.081999999999994</v>
      </c>
      <c r="E418" s="29" t="s">
        <v>25</v>
      </c>
    </row>
    <row r="419" spans="1:5" ht="12.75">
      <c r="A419" s="27">
        <v>45956</v>
      </c>
      <c r="B419" s="28">
        <v>1</v>
      </c>
      <c r="C419" s="29" t="s">
        <v>24</v>
      </c>
      <c r="D419" s="28">
        <v>94.081999999999994</v>
      </c>
      <c r="E419" s="29" t="s">
        <v>25</v>
      </c>
    </row>
    <row r="420" spans="1:5" ht="12.75">
      <c r="A420" s="27">
        <v>45957</v>
      </c>
      <c r="B420" s="28">
        <v>1</v>
      </c>
      <c r="C420" s="29" t="s">
        <v>24</v>
      </c>
      <c r="D420" s="28">
        <v>94.081999999999994</v>
      </c>
      <c r="E420" s="29" t="s">
        <v>25</v>
      </c>
    </row>
    <row r="421" spans="1:5" ht="12.75">
      <c r="A421" s="27">
        <v>45958</v>
      </c>
      <c r="B421" s="28">
        <v>1</v>
      </c>
      <c r="C421" s="29" t="s">
        <v>24</v>
      </c>
      <c r="D421" s="28">
        <v>92.023300000000006</v>
      </c>
      <c r="E421" s="29" t="s">
        <v>25</v>
      </c>
    </row>
    <row r="422" spans="1:5" ht="12.75">
      <c r="A422" s="27">
        <v>45959</v>
      </c>
      <c r="B422" s="28">
        <v>1</v>
      </c>
      <c r="C422" s="29" t="s">
        <v>24</v>
      </c>
      <c r="D422" s="28">
        <v>92.939499999999995</v>
      </c>
      <c r="E422" s="29" t="s">
        <v>25</v>
      </c>
    </row>
    <row r="423" spans="1:5" ht="12.75">
      <c r="A423" s="27">
        <v>45960</v>
      </c>
      <c r="B423" s="28">
        <v>1</v>
      </c>
      <c r="C423" s="29" t="s">
        <v>24</v>
      </c>
      <c r="D423" s="28">
        <v>92.246600000000001</v>
      </c>
      <c r="E423" s="29" t="s">
        <v>25</v>
      </c>
    </row>
    <row r="424" spans="1:5" ht="12.75">
      <c r="A424" s="27">
        <v>45961</v>
      </c>
      <c r="B424" s="28">
        <v>1</v>
      </c>
      <c r="C424" s="29" t="s">
        <v>24</v>
      </c>
      <c r="D424" s="28">
        <v>93.389399999999995</v>
      </c>
      <c r="E424" s="29" t="s">
        <v>25</v>
      </c>
    </row>
    <row r="425" spans="1:5" ht="12.75">
      <c r="A425" s="27">
        <v>45962</v>
      </c>
      <c r="B425" s="28">
        <v>1</v>
      </c>
      <c r="C425" s="29" t="s">
        <v>24</v>
      </c>
      <c r="D425" s="28">
        <v>93.389300000000006</v>
      </c>
      <c r="E425" s="29" t="s">
        <v>25</v>
      </c>
    </row>
    <row r="426" spans="1:5" ht="12.75">
      <c r="A426" s="27">
        <v>45963</v>
      </c>
      <c r="B426" s="28">
        <v>1</v>
      </c>
      <c r="C426" s="29" t="s">
        <v>24</v>
      </c>
      <c r="D426" s="28">
        <v>93.384799999999998</v>
      </c>
      <c r="E426" s="29" t="s">
        <v>25</v>
      </c>
    </row>
    <row r="427" spans="1:5" ht="12.75">
      <c r="A427" s="27">
        <v>45964</v>
      </c>
      <c r="B427" s="28">
        <v>1</v>
      </c>
      <c r="C427" s="29" t="s">
        <v>24</v>
      </c>
      <c r="D427" s="28">
        <v>93.384799999999998</v>
      </c>
      <c r="E427" s="29" t="s">
        <v>25</v>
      </c>
    </row>
    <row r="428" spans="1:5" ht="12.75">
      <c r="A428" s="27">
        <v>45965</v>
      </c>
      <c r="B428" s="28">
        <v>1</v>
      </c>
      <c r="C428" s="29" t="s">
        <v>24</v>
      </c>
      <c r="D428" s="28">
        <v>93.384799999999998</v>
      </c>
      <c r="E428" s="29" t="s">
        <v>25</v>
      </c>
    </row>
    <row r="429" spans="1:5" ht="12.75">
      <c r="A429" s="27">
        <v>45966</v>
      </c>
      <c r="B429" s="28">
        <v>1</v>
      </c>
      <c r="C429" s="29" t="s">
        <v>24</v>
      </c>
      <c r="D429" s="28">
        <v>93.384799999999998</v>
      </c>
      <c r="E429" s="29" t="s">
        <v>25</v>
      </c>
    </row>
    <row r="430" spans="1:5" ht="12.75">
      <c r="A430" s="27">
        <v>45967</v>
      </c>
      <c r="B430" s="28">
        <v>1</v>
      </c>
      <c r="C430" s="29" t="s">
        <v>24</v>
      </c>
      <c r="D430" s="28">
        <v>93.513099999999994</v>
      </c>
      <c r="E430" s="29" t="s">
        <v>25</v>
      </c>
    </row>
    <row r="431" spans="1:5" ht="12.75">
      <c r="A431" s="27">
        <v>45968</v>
      </c>
      <c r="B431" s="28">
        <v>1</v>
      </c>
      <c r="C431" s="29" t="s">
        <v>24</v>
      </c>
      <c r="D431" s="28">
        <v>93.764099999999999</v>
      </c>
      <c r="E431" s="29" t="s">
        <v>25</v>
      </c>
    </row>
    <row r="432" spans="1:5" ht="12.75">
      <c r="A432" s="27">
        <v>45969</v>
      </c>
      <c r="B432" s="28">
        <v>1</v>
      </c>
      <c r="C432" s="29" t="s">
        <v>24</v>
      </c>
      <c r="D432" s="28">
        <v>93.836500000000001</v>
      </c>
      <c r="E432" s="29" t="s">
        <v>25</v>
      </c>
    </row>
    <row r="433" spans="1:5" ht="12.75">
      <c r="A433" s="27">
        <v>45970</v>
      </c>
      <c r="B433" s="28">
        <v>1</v>
      </c>
      <c r="C433" s="29" t="s">
        <v>24</v>
      </c>
      <c r="D433" s="28">
        <v>93.836500000000001</v>
      </c>
      <c r="E433" s="29" t="s">
        <v>25</v>
      </c>
    </row>
    <row r="434" spans="1:5" ht="12.75">
      <c r="A434" s="27">
        <v>45971</v>
      </c>
      <c r="B434" s="28">
        <v>1</v>
      </c>
      <c r="C434" s="29" t="s">
        <v>24</v>
      </c>
      <c r="D434" s="28">
        <v>93.836500000000001</v>
      </c>
      <c r="E434" s="29" t="s">
        <v>25</v>
      </c>
    </row>
    <row r="435" spans="1:5" ht="12.75">
      <c r="A435" s="27">
        <v>45972</v>
      </c>
      <c r="B435" s="28">
        <v>1</v>
      </c>
      <c r="C435" s="29" t="s">
        <v>24</v>
      </c>
      <c r="D435" s="28">
        <v>93.928700000000006</v>
      </c>
      <c r="E435" s="29" t="s">
        <v>25</v>
      </c>
    </row>
    <row r="436" spans="1:5" ht="12.75">
      <c r="A436" s="27">
        <v>45973</v>
      </c>
      <c r="B436" s="28">
        <v>1</v>
      </c>
      <c r="C436" s="29" t="s">
        <v>24</v>
      </c>
      <c r="D436" s="28">
        <v>94.195400000000006</v>
      </c>
      <c r="E436" s="29" t="s">
        <v>25</v>
      </c>
    </row>
    <row r="437" spans="1:5" ht="12.75">
      <c r="A437" s="27">
        <v>45974</v>
      </c>
      <c r="B437" s="28">
        <v>1</v>
      </c>
      <c r="C437" s="29" t="s">
        <v>24</v>
      </c>
      <c r="D437" s="28">
        <v>94.189300000000003</v>
      </c>
      <c r="E437" s="29" t="s">
        <v>25</v>
      </c>
    </row>
    <row r="438" spans="1:5" ht="12.75">
      <c r="A438" s="27">
        <v>45975</v>
      </c>
      <c r="B438" s="28">
        <v>1</v>
      </c>
      <c r="C438" s="29" t="s">
        <v>24</v>
      </c>
      <c r="D438" s="28">
        <v>93.695300000000003</v>
      </c>
      <c r="E438" s="29" t="s">
        <v>25</v>
      </c>
    </row>
    <row r="439" spans="1:5" ht="12.75">
      <c r="A439" s="27">
        <v>45976</v>
      </c>
      <c r="B439" s="28">
        <v>1</v>
      </c>
      <c r="C439" s="29" t="s">
        <v>24</v>
      </c>
      <c r="D439" s="28">
        <v>95.098699999999994</v>
      </c>
      <c r="E439" s="29" t="s">
        <v>25</v>
      </c>
    </row>
    <row r="440" spans="1:5" ht="12.75">
      <c r="A440" s="27">
        <v>45977</v>
      </c>
      <c r="B440" s="28">
        <v>1</v>
      </c>
      <c r="C440" s="29" t="s">
        <v>24</v>
      </c>
      <c r="D440" s="28">
        <v>95.098699999999994</v>
      </c>
      <c r="E440" s="29" t="s">
        <v>25</v>
      </c>
    </row>
    <row r="441" spans="1:5" ht="12.75">
      <c r="A441" s="27">
        <v>45978</v>
      </c>
      <c r="B441" s="28">
        <v>1</v>
      </c>
      <c r="C441" s="29" t="s">
        <v>24</v>
      </c>
      <c r="D441" s="28">
        <v>95.098699999999994</v>
      </c>
      <c r="E441" s="29" t="s">
        <v>25</v>
      </c>
    </row>
    <row r="442" spans="1:5" ht="12.75">
      <c r="A442" s="27">
        <v>45979</v>
      </c>
      <c r="B442" s="28">
        <v>1</v>
      </c>
      <c r="C442" s="29" t="s">
        <v>24</v>
      </c>
      <c r="D442" s="28">
        <v>96.306299999999993</v>
      </c>
      <c r="E442" s="29" t="s">
        <v>25</v>
      </c>
    </row>
    <row r="443" spans="1:5" ht="12.75">
      <c r="A443" s="27">
        <v>45980</v>
      </c>
      <c r="B443" s="28">
        <v>1</v>
      </c>
      <c r="C443" s="29" t="s">
        <v>24</v>
      </c>
      <c r="D443" s="28">
        <v>93.929500000000004</v>
      </c>
      <c r="E443" s="29" t="s">
        <v>25</v>
      </c>
    </row>
    <row r="444" spans="1:5" ht="12.75">
      <c r="A444" s="27">
        <v>45981</v>
      </c>
      <c r="B444" s="28">
        <v>1</v>
      </c>
      <c r="C444" s="29" t="s">
        <v>24</v>
      </c>
      <c r="D444" s="28">
        <v>93.7804</v>
      </c>
      <c r="E444" s="29" t="s">
        <v>25</v>
      </c>
    </row>
    <row r="445" spans="1:5" ht="12.75">
      <c r="A445" s="27">
        <v>45982</v>
      </c>
      <c r="B445" s="28">
        <v>1</v>
      </c>
      <c r="C445" s="29" t="s">
        <v>24</v>
      </c>
      <c r="D445" s="28">
        <v>92.604699999999994</v>
      </c>
      <c r="E445" s="29" t="s">
        <v>25</v>
      </c>
    </row>
    <row r="446" spans="1:5" ht="12.75">
      <c r="A446" s="27">
        <v>45983</v>
      </c>
      <c r="B446" s="28">
        <v>1</v>
      </c>
      <c r="C446" s="29" t="s">
        <v>24</v>
      </c>
      <c r="D446" s="28">
        <v>90.5625</v>
      </c>
      <c r="E446" s="29" t="s">
        <v>25</v>
      </c>
    </row>
    <row r="447" spans="1:5" ht="12.75">
      <c r="A447" s="27">
        <v>45984</v>
      </c>
      <c r="B447" s="28">
        <v>1</v>
      </c>
      <c r="C447" s="29" t="s">
        <v>24</v>
      </c>
      <c r="D447" s="28">
        <v>90.5625</v>
      </c>
      <c r="E447" s="29" t="s">
        <v>25</v>
      </c>
    </row>
    <row r="448" spans="1:5" ht="12.75">
      <c r="A448" s="27">
        <v>45985</v>
      </c>
      <c r="B448" s="28">
        <v>1</v>
      </c>
      <c r="C448" s="29" t="s">
        <v>24</v>
      </c>
      <c r="D448" s="28">
        <v>90.5625</v>
      </c>
      <c r="E448" s="29" t="s">
        <v>25</v>
      </c>
    </row>
    <row r="449" spans="1:6" ht="12.75">
      <c r="A449" s="27">
        <v>45986</v>
      </c>
      <c r="B449" s="28">
        <v>1</v>
      </c>
      <c r="C449" s="29" t="s">
        <v>24</v>
      </c>
      <c r="D449" s="28">
        <v>91.367199999999997</v>
      </c>
      <c r="E449" s="29" t="s">
        <v>25</v>
      </c>
    </row>
    <row r="450" spans="1:6" ht="12.75">
      <c r="A450" s="27">
        <v>45987</v>
      </c>
      <c r="B450" s="28">
        <v>1</v>
      </c>
      <c r="C450" s="29" t="s">
        <v>24</v>
      </c>
      <c r="D450" s="28">
        <v>90.969800000000006</v>
      </c>
      <c r="E450" s="29" t="s">
        <v>25</v>
      </c>
    </row>
    <row r="451" spans="1:6" ht="12.75">
      <c r="A451" s="27">
        <v>45988</v>
      </c>
      <c r="B451" s="28">
        <v>1</v>
      </c>
      <c r="C451" s="29" t="s">
        <v>24</v>
      </c>
      <c r="D451" s="28">
        <v>91.5047</v>
      </c>
      <c r="E451" s="29" t="s">
        <v>25</v>
      </c>
    </row>
    <row r="452" spans="1:6" ht="12.75">
      <c r="A452" s="27">
        <v>45989</v>
      </c>
      <c r="B452" s="28">
        <v>1</v>
      </c>
      <c r="C452" s="29" t="s">
        <v>24</v>
      </c>
      <c r="D452" s="28">
        <v>90.787999999999997</v>
      </c>
      <c r="E452" s="29" t="s">
        <v>25</v>
      </c>
    </row>
    <row r="453" spans="1:6" ht="12.75">
      <c r="A453" s="27">
        <v>45990</v>
      </c>
      <c r="B453" s="28">
        <v>1</v>
      </c>
      <c r="C453" s="29" t="s">
        <v>24</v>
      </c>
      <c r="D453" s="28">
        <v>90.819000000000003</v>
      </c>
      <c r="E453" s="29" t="s">
        <v>25</v>
      </c>
    </row>
    <row r="454" spans="1:6" ht="12.75">
      <c r="A454" s="27">
        <v>45991</v>
      </c>
      <c r="B454" s="28">
        <v>1</v>
      </c>
      <c r="C454" s="29" t="s">
        <v>24</v>
      </c>
      <c r="D454" s="28">
        <v>90.819000000000003</v>
      </c>
      <c r="E454" s="29" t="s">
        <v>25</v>
      </c>
    </row>
    <row r="455" spans="1:6" ht="12.75">
      <c r="A455" s="27">
        <v>45992</v>
      </c>
      <c r="B455" s="28">
        <v>1</v>
      </c>
      <c r="C455" s="29" t="s">
        <v>24</v>
      </c>
      <c r="D455" s="28">
        <v>90.819000000000003</v>
      </c>
      <c r="E455" s="29" t="s">
        <v>25</v>
      </c>
    </row>
    <row r="456" spans="1:6" ht="12.75">
      <c r="A456" s="27">
        <v>45993</v>
      </c>
      <c r="B456" s="28">
        <v>1</v>
      </c>
      <c r="C456" s="29" t="s">
        <v>24</v>
      </c>
      <c r="D456" s="28">
        <v>90.343800000000002</v>
      </c>
      <c r="E456" s="29" t="s">
        <v>25</v>
      </c>
    </row>
    <row r="457" spans="1:6" ht="12.75">
      <c r="A457" s="27">
        <v>45994</v>
      </c>
      <c r="B457" s="28">
        <v>1</v>
      </c>
      <c r="C457" s="29" t="s">
        <v>24</v>
      </c>
      <c r="D457" s="28">
        <v>89.851399999999998</v>
      </c>
      <c r="E457" s="29" t="s">
        <v>25</v>
      </c>
    </row>
    <row r="458" spans="1:6" ht="12.75">
      <c r="A458" s="27">
        <v>45995</v>
      </c>
      <c r="B458" s="28">
        <v>1</v>
      </c>
      <c r="C458" s="29" t="s">
        <v>24</v>
      </c>
      <c r="D458" s="28">
        <v>90.590299999999999</v>
      </c>
      <c r="E458" s="29" t="s">
        <v>25</v>
      </c>
    </row>
    <row r="459" spans="1:6" ht="12.75">
      <c r="A459" s="27">
        <v>45996</v>
      </c>
      <c r="B459" s="28">
        <v>1</v>
      </c>
      <c r="C459" s="29" t="s">
        <v>24</v>
      </c>
      <c r="D459" s="28">
        <v>89.9011</v>
      </c>
      <c r="E459" s="29" t="s">
        <v>25</v>
      </c>
    </row>
    <row r="460" spans="1:6" ht="12.75">
      <c r="A460" s="27">
        <v>45997</v>
      </c>
      <c r="B460" s="28">
        <v>1</v>
      </c>
      <c r="C460" s="29" t="s">
        <v>24</v>
      </c>
      <c r="D460" s="28">
        <v>88.702799999999996</v>
      </c>
      <c r="E460" s="29" t="s">
        <v>25</v>
      </c>
    </row>
    <row r="461" spans="1:6" ht="12.75">
      <c r="A461" s="27">
        <v>45998</v>
      </c>
      <c r="B461" s="28">
        <v>1</v>
      </c>
      <c r="C461" s="29" t="s">
        <v>24</v>
      </c>
      <c r="D461" s="28">
        <v>88.702799999999996</v>
      </c>
      <c r="E461" s="29" t="s">
        <v>25</v>
      </c>
      <c r="F461" s="33">
        <v>93.562600000000003</v>
      </c>
    </row>
    <row r="462" spans="1:6" ht="12.75">
      <c r="A462" s="27">
        <v>45999</v>
      </c>
      <c r="B462" s="28">
        <v>1</v>
      </c>
      <c r="C462" s="29" t="s">
        <v>24</v>
      </c>
      <c r="D462" s="28">
        <v>88.702799999999996</v>
      </c>
      <c r="E462" s="29" t="s">
        <v>25</v>
      </c>
    </row>
    <row r="463" spans="1:6" ht="12.75">
      <c r="A463" s="27">
        <v>46000</v>
      </c>
      <c r="B463" s="28">
        <v>1</v>
      </c>
      <c r="C463" s="29" t="s">
        <v>24</v>
      </c>
      <c r="D463" s="28">
        <v>89.705399999999997</v>
      </c>
      <c r="E463" s="29" t="s">
        <v>25</v>
      </c>
    </row>
    <row r="464" spans="1:6" ht="12.75">
      <c r="A464" s="27">
        <v>46001</v>
      </c>
      <c r="B464" s="28">
        <v>1</v>
      </c>
      <c r="C464" s="29" t="s">
        <v>24</v>
      </c>
      <c r="D464" s="28">
        <v>89.426699999999997</v>
      </c>
      <c r="E464" s="29" t="s">
        <v>25</v>
      </c>
    </row>
    <row r="465" spans="1:5" ht="12.75">
      <c r="A465" s="27">
        <v>46002</v>
      </c>
      <c r="B465" s="28">
        <v>1</v>
      </c>
      <c r="C465" s="29" t="s">
        <v>24</v>
      </c>
      <c r="D465" s="28">
        <v>91.380600000000001</v>
      </c>
      <c r="E465" s="29" t="s">
        <v>25</v>
      </c>
    </row>
    <row r="466" spans="1:5" ht="12.75">
      <c r="A466" s="27">
        <v>46003</v>
      </c>
      <c r="B466" s="28">
        <v>1</v>
      </c>
      <c r="C466" s="29" t="s">
        <v>24</v>
      </c>
      <c r="D466" s="28">
        <v>92.938400000000001</v>
      </c>
      <c r="E466" s="29" t="s">
        <v>25</v>
      </c>
    </row>
    <row r="467" spans="1:5" ht="12.75">
      <c r="A467" s="27">
        <v>46004</v>
      </c>
      <c r="B467" s="28">
        <v>1</v>
      </c>
      <c r="C467" s="29" t="s">
        <v>24</v>
      </c>
      <c r="D467" s="28">
        <v>93.562600000000003</v>
      </c>
      <c r="E467" s="29" t="s">
        <v>25</v>
      </c>
    </row>
    <row r="468" spans="1:5" ht="12.75">
      <c r="A468" s="27">
        <v>46005</v>
      </c>
      <c r="B468" s="28">
        <v>1</v>
      </c>
      <c r="C468" s="29" t="s">
        <v>24</v>
      </c>
      <c r="D468" s="28">
        <v>93.562600000000003</v>
      </c>
      <c r="E468" s="29" t="s">
        <v>25</v>
      </c>
    </row>
    <row r="469" spans="1:5" ht="12.75">
      <c r="A469" s="27">
        <v>46006</v>
      </c>
      <c r="B469" s="28">
        <v>1</v>
      </c>
      <c r="C469" s="29" t="s">
        <v>24</v>
      </c>
      <c r="D469" s="28">
        <v>93.562600000000003</v>
      </c>
      <c r="E469" s="29" t="s">
        <v>25</v>
      </c>
    </row>
    <row r="470" spans="1:5" ht="12.75">
      <c r="A470" s="27">
        <v>46007</v>
      </c>
      <c r="B470" s="28">
        <v>1</v>
      </c>
      <c r="C470" s="29" t="s">
        <v>24</v>
      </c>
      <c r="D470" s="28">
        <v>93.227400000000003</v>
      </c>
      <c r="E470" s="29" t="s">
        <v>25</v>
      </c>
    </row>
    <row r="471" spans="1:5" ht="12.75">
      <c r="A471" s="27">
        <v>46008</v>
      </c>
      <c r="B471" s="28">
        <v>1</v>
      </c>
      <c r="C471" s="29" t="s">
        <v>24</v>
      </c>
      <c r="D471" s="28">
        <v>93.805400000000006</v>
      </c>
      <c r="E471" s="29" t="s">
        <v>25</v>
      </c>
    </row>
    <row r="472" spans="1:5" ht="12.75">
      <c r="A472" s="27">
        <v>46009</v>
      </c>
      <c r="B472" s="28">
        <v>1</v>
      </c>
      <c r="C472" s="29" t="s">
        <v>24</v>
      </c>
      <c r="D472" s="28">
        <v>94.147800000000004</v>
      </c>
      <c r="E472" s="29" t="s">
        <v>25</v>
      </c>
    </row>
    <row r="473" spans="1:5" ht="12.75">
      <c r="A473" s="27">
        <v>46010</v>
      </c>
      <c r="B473" s="28">
        <v>1</v>
      </c>
      <c r="C473" s="29" t="s">
        <v>24</v>
      </c>
      <c r="D473" s="28">
        <v>94.252399999999994</v>
      </c>
      <c r="E473" s="29" t="s">
        <v>25</v>
      </c>
    </row>
    <row r="474" spans="1:5" ht="12.75">
      <c r="A474" s="27">
        <v>46011</v>
      </c>
      <c r="B474" s="28">
        <v>1</v>
      </c>
      <c r="C474" s="29" t="s">
        <v>24</v>
      </c>
      <c r="D474" s="28">
        <v>94.512</v>
      </c>
      <c r="E474" s="29" t="s">
        <v>25</v>
      </c>
    </row>
    <row r="475" spans="1:5" ht="12.75">
      <c r="A475" s="27">
        <v>46012</v>
      </c>
      <c r="B475" s="28">
        <v>1</v>
      </c>
      <c r="C475" s="29" t="s">
        <v>24</v>
      </c>
      <c r="D475" s="28">
        <v>94.512</v>
      </c>
      <c r="E475" s="29" t="s">
        <v>25</v>
      </c>
    </row>
    <row r="476" spans="1:5" ht="12.75">
      <c r="A476" s="27">
        <v>46013</v>
      </c>
      <c r="B476" s="28">
        <v>1</v>
      </c>
      <c r="C476" s="29" t="s">
        <v>24</v>
      </c>
      <c r="D476" s="28">
        <v>94.512</v>
      </c>
      <c r="E476" s="29" t="s">
        <v>25</v>
      </c>
    </row>
    <row r="477" spans="1:5" ht="12.75">
      <c r="A477" s="27">
        <v>46014</v>
      </c>
      <c r="B477" s="28">
        <v>1</v>
      </c>
      <c r="C477" s="29" t="s">
        <v>24</v>
      </c>
      <c r="D477" s="28">
        <v>92.862099999999998</v>
      </c>
      <c r="E477" s="29" t="s">
        <v>25</v>
      </c>
    </row>
    <row r="478" spans="1:5" ht="12.75">
      <c r="A478" s="27">
        <v>46015</v>
      </c>
      <c r="B478" s="28">
        <v>1</v>
      </c>
      <c r="C478" s="29" t="s">
        <v>24</v>
      </c>
      <c r="D478" s="28">
        <v>92.813699999999997</v>
      </c>
      <c r="E478" s="29" t="s">
        <v>25</v>
      </c>
    </row>
    <row r="479" spans="1:5" ht="12.75">
      <c r="A479" s="27">
        <v>46016</v>
      </c>
      <c r="B479" s="28">
        <v>1</v>
      </c>
      <c r="C479" s="29" t="s">
        <v>24</v>
      </c>
      <c r="D479" s="28">
        <v>92.474199999999996</v>
      </c>
      <c r="E479" s="29" t="s">
        <v>25</v>
      </c>
    </row>
    <row r="480" spans="1:5" ht="12.75">
      <c r="A480" s="27">
        <v>46017</v>
      </c>
      <c r="B480" s="28">
        <v>1</v>
      </c>
      <c r="C480" s="29" t="s">
        <v>24</v>
      </c>
      <c r="D480" s="28">
        <v>91.890199999999993</v>
      </c>
      <c r="E480" s="29" t="s">
        <v>25</v>
      </c>
    </row>
    <row r="481" spans="1:5" ht="12.75">
      <c r="A481" s="27">
        <v>46018</v>
      </c>
      <c r="B481" s="28">
        <v>1</v>
      </c>
      <c r="C481" s="29" t="s">
        <v>24</v>
      </c>
      <c r="D481" s="28">
        <v>91.206599999999995</v>
      </c>
      <c r="E481" s="29" t="s">
        <v>25</v>
      </c>
    </row>
    <row r="482" spans="1:5" ht="12.75">
      <c r="A482" s="27">
        <v>46019</v>
      </c>
      <c r="B482" s="28">
        <v>1</v>
      </c>
      <c r="C482" s="29" t="s">
        <v>24</v>
      </c>
      <c r="D482" s="28">
        <v>91.206599999999995</v>
      </c>
      <c r="E482" s="29" t="s">
        <v>25</v>
      </c>
    </row>
    <row r="483" spans="1:5" ht="12.75">
      <c r="A483" s="27">
        <v>46020</v>
      </c>
      <c r="B483" s="28">
        <v>1</v>
      </c>
      <c r="C483" s="29" t="s">
        <v>24</v>
      </c>
      <c r="D483" s="28">
        <v>91.206599999999995</v>
      </c>
      <c r="E483" s="29" t="s">
        <v>25</v>
      </c>
    </row>
    <row r="484" spans="1:5" ht="12.75">
      <c r="A484" s="27">
        <v>46021</v>
      </c>
      <c r="B484" s="28">
        <v>1</v>
      </c>
      <c r="C484" s="29" t="s">
        <v>24</v>
      </c>
      <c r="D484" s="28">
        <v>91.477500000000006</v>
      </c>
      <c r="E484" s="29" t="s">
        <v>25</v>
      </c>
    </row>
    <row r="485" spans="1:5" ht="12.75">
      <c r="A485" s="27">
        <v>46022</v>
      </c>
      <c r="B485" s="28">
        <v>1</v>
      </c>
      <c r="C485" s="29" t="s">
        <v>24</v>
      </c>
      <c r="D485" s="28">
        <v>92.093800000000002</v>
      </c>
      <c r="E485" s="29" t="s">
        <v>25</v>
      </c>
    </row>
    <row r="486" spans="1:5" ht="12.75">
      <c r="A486" s="27">
        <v>46023</v>
      </c>
      <c r="B486" s="28">
        <v>1</v>
      </c>
      <c r="C486" s="29" t="s">
        <v>24</v>
      </c>
      <c r="D486" s="28">
        <v>92.093800000000002</v>
      </c>
      <c r="E486" s="29" t="s">
        <v>25</v>
      </c>
    </row>
    <row r="487" spans="1:5" ht="12.75">
      <c r="A487" s="27">
        <v>46024</v>
      </c>
      <c r="B487" s="28">
        <v>1</v>
      </c>
      <c r="C487" s="29" t="s">
        <v>24</v>
      </c>
      <c r="D487" s="28">
        <v>92.093800000000002</v>
      </c>
      <c r="E487" s="29" t="s">
        <v>25</v>
      </c>
    </row>
    <row r="488" spans="1:5" ht="12.75">
      <c r="A488" s="27">
        <v>46025</v>
      </c>
      <c r="B488" s="28">
        <v>1</v>
      </c>
      <c r="C488" s="29" t="s">
        <v>24</v>
      </c>
      <c r="D488" s="28">
        <v>92.093800000000002</v>
      </c>
      <c r="E488" s="29" t="s">
        <v>25</v>
      </c>
    </row>
    <row r="489" spans="1:5" ht="12.75">
      <c r="A489" s="27">
        <v>46026</v>
      </c>
      <c r="B489" s="28">
        <v>1</v>
      </c>
      <c r="C489" s="29" t="s">
        <v>24</v>
      </c>
      <c r="D489" s="28">
        <v>92.093800000000002</v>
      </c>
      <c r="E489" s="29" t="s">
        <v>25</v>
      </c>
    </row>
    <row r="490" spans="1:5" ht="12.75">
      <c r="A490" s="27">
        <v>46027</v>
      </c>
      <c r="B490" s="28">
        <v>1</v>
      </c>
      <c r="C490" s="29" t="s">
        <v>24</v>
      </c>
      <c r="D490" s="28">
        <v>92.093800000000002</v>
      </c>
      <c r="E490" s="29" t="s">
        <v>25</v>
      </c>
    </row>
    <row r="491" spans="1:5" ht="12.75">
      <c r="A491" s="27">
        <v>46028</v>
      </c>
      <c r="B491" s="28">
        <v>1</v>
      </c>
      <c r="C491" s="29" t="s">
        <v>24</v>
      </c>
      <c r="D491" s="28">
        <v>92.093800000000002</v>
      </c>
      <c r="E491" s="29" t="s">
        <v>25</v>
      </c>
    </row>
    <row r="492" spans="1:5" ht="12.75">
      <c r="A492" s="27">
        <v>46029</v>
      </c>
      <c r="B492" s="28">
        <v>1</v>
      </c>
      <c r="C492" s="29" t="s">
        <v>24</v>
      </c>
      <c r="D492" s="28">
        <v>92.093800000000002</v>
      </c>
      <c r="E492" s="29" t="s">
        <v>25</v>
      </c>
    </row>
    <row r="493" spans="1:5" ht="12.75">
      <c r="A493" s="27">
        <v>46030</v>
      </c>
      <c r="B493" s="28">
        <v>1</v>
      </c>
      <c r="C493" s="29" t="s">
        <v>24</v>
      </c>
      <c r="D493" s="28">
        <v>92.093800000000002</v>
      </c>
      <c r="E493" s="29" t="s">
        <v>25</v>
      </c>
    </row>
    <row r="494" spans="1:5" ht="12.75">
      <c r="A494" s="27">
        <v>46031</v>
      </c>
      <c r="B494" s="28">
        <v>1</v>
      </c>
      <c r="C494" s="29" t="s">
        <v>24</v>
      </c>
      <c r="D494" s="28">
        <v>92.093800000000002</v>
      </c>
      <c r="E494" s="29" t="s">
        <v>25</v>
      </c>
    </row>
    <row r="495" spans="1:5" ht="12.75">
      <c r="A495" s="27">
        <v>46032</v>
      </c>
      <c r="B495" s="28">
        <v>1</v>
      </c>
      <c r="C495" s="29" t="s">
        <v>24</v>
      </c>
      <c r="D495" s="28">
        <v>92.093800000000002</v>
      </c>
      <c r="E495" s="29" t="s">
        <v>25</v>
      </c>
    </row>
    <row r="496" spans="1:5" ht="12.75">
      <c r="A496" s="27">
        <v>46033</v>
      </c>
      <c r="B496" s="28">
        <v>1</v>
      </c>
      <c r="C496" s="29" t="s">
        <v>24</v>
      </c>
      <c r="D496" s="28">
        <v>92.093800000000002</v>
      </c>
      <c r="E496" s="29" t="s">
        <v>25</v>
      </c>
    </row>
    <row r="497" spans="1:5" ht="12.75">
      <c r="A497" s="27">
        <v>46034</v>
      </c>
      <c r="B497" s="28">
        <v>1</v>
      </c>
      <c r="C497" s="29" t="s">
        <v>24</v>
      </c>
      <c r="D497" s="28">
        <v>92.093800000000002</v>
      </c>
      <c r="E497" s="29" t="s">
        <v>25</v>
      </c>
    </row>
    <row r="498" spans="1:5" ht="12.75">
      <c r="A498" s="27">
        <v>46035</v>
      </c>
      <c r="B498" s="28">
        <v>1</v>
      </c>
      <c r="C498" s="29" t="s">
        <v>24</v>
      </c>
      <c r="D498" s="28">
        <v>91.966800000000006</v>
      </c>
      <c r="E498" s="29" t="s">
        <v>25</v>
      </c>
    </row>
    <row r="499" spans="1:5" ht="12.75">
      <c r="A499" s="27">
        <v>46036</v>
      </c>
      <c r="B499" s="28">
        <v>1</v>
      </c>
      <c r="C499" s="29" t="s">
        <v>24</v>
      </c>
      <c r="D499" s="28">
        <v>92.397300000000001</v>
      </c>
      <c r="E499" s="29" t="s">
        <v>25</v>
      </c>
    </row>
    <row r="500" spans="1:5" ht="12.75">
      <c r="A500" s="27">
        <v>46037</v>
      </c>
      <c r="B500" s="28">
        <v>1</v>
      </c>
      <c r="C500" s="29" t="s">
        <v>24</v>
      </c>
      <c r="D500" s="28">
        <v>92.196399999999997</v>
      </c>
      <c r="E500" s="29" t="s">
        <v>25</v>
      </c>
    </row>
    <row r="501" spans="1:5" ht="12.75">
      <c r="A501" s="27">
        <v>46038</v>
      </c>
      <c r="B501" s="28">
        <v>1</v>
      </c>
      <c r="C501" s="29" t="s">
        <v>24</v>
      </c>
      <c r="D501" s="28">
        <v>91.812299999999993</v>
      </c>
      <c r="E501" s="29" t="s">
        <v>25</v>
      </c>
    </row>
    <row r="502" spans="1:5" ht="12.75">
      <c r="A502" s="27">
        <v>46039</v>
      </c>
      <c r="B502" s="28">
        <v>1</v>
      </c>
      <c r="C502" s="29" t="s">
        <v>24</v>
      </c>
      <c r="D502" s="28">
        <v>90.536600000000007</v>
      </c>
      <c r="E502" s="29" t="s">
        <v>25</v>
      </c>
    </row>
    <row r="503" spans="1:5" ht="12.75">
      <c r="A503" s="27">
        <v>46040</v>
      </c>
      <c r="B503" s="28">
        <v>1</v>
      </c>
      <c r="C503" s="29" t="s">
        <v>24</v>
      </c>
      <c r="D503" s="28">
        <v>90.536600000000007</v>
      </c>
      <c r="E503" s="29" t="s">
        <v>25</v>
      </c>
    </row>
    <row r="504" spans="1:5" ht="12.75">
      <c r="A504" s="27">
        <v>46041</v>
      </c>
      <c r="B504" s="28">
        <v>1</v>
      </c>
      <c r="C504" s="29" t="s">
        <v>24</v>
      </c>
      <c r="D504" s="28">
        <v>90.536600000000007</v>
      </c>
      <c r="E504" s="29" t="s">
        <v>25</v>
      </c>
    </row>
    <row r="505" spans="1:5" ht="12.75">
      <c r="A505" s="27">
        <v>46042</v>
      </c>
      <c r="B505" s="28">
        <v>1</v>
      </c>
      <c r="C505" s="29" t="s">
        <v>24</v>
      </c>
      <c r="D505" s="28">
        <v>90.161100000000005</v>
      </c>
      <c r="E505" s="29" t="s">
        <v>25</v>
      </c>
    </row>
    <row r="506" spans="1:5" ht="12.75">
      <c r="A506" s="27">
        <v>46043</v>
      </c>
      <c r="B506" s="28">
        <v>1</v>
      </c>
      <c r="C506" s="29" t="s">
        <v>24</v>
      </c>
      <c r="D506" s="28">
        <v>91.195400000000006</v>
      </c>
      <c r="E506" s="29" t="s">
        <v>25</v>
      </c>
    </row>
    <row r="507" spans="1:5" ht="12.75">
      <c r="A507" s="27">
        <v>46044</v>
      </c>
      <c r="B507" s="28">
        <v>1</v>
      </c>
      <c r="C507" s="29" t="s">
        <v>24</v>
      </c>
      <c r="D507" s="28">
        <v>90.721100000000007</v>
      </c>
      <c r="E507" s="29" t="s">
        <v>25</v>
      </c>
    </row>
    <row r="508" spans="1:5" ht="12.75">
      <c r="A508" s="27">
        <v>46045</v>
      </c>
      <c r="B508" s="28">
        <v>1</v>
      </c>
      <c r="C508" s="29" t="s">
        <v>24</v>
      </c>
      <c r="D508" s="28">
        <v>88.7898</v>
      </c>
      <c r="E508" s="29" t="s">
        <v>25</v>
      </c>
    </row>
    <row r="509" spans="1:5" ht="12.75">
      <c r="A509" s="27">
        <v>46046</v>
      </c>
      <c r="B509" s="28">
        <v>1</v>
      </c>
      <c r="C509" s="29" t="s">
        <v>24</v>
      </c>
      <c r="D509" s="28">
        <v>89.058899999999994</v>
      </c>
      <c r="E509" s="29" t="s">
        <v>25</v>
      </c>
    </row>
    <row r="510" spans="1:5" ht="12.75">
      <c r="A510" s="27">
        <v>46047</v>
      </c>
      <c r="B510" s="28">
        <v>1</v>
      </c>
      <c r="C510" s="29" t="s">
        <v>24</v>
      </c>
      <c r="D510" s="28">
        <v>89.058899999999994</v>
      </c>
      <c r="E510" s="29" t="s">
        <v>25</v>
      </c>
    </row>
    <row r="511" spans="1:5" ht="12.75">
      <c r="A511" s="27">
        <v>46048</v>
      </c>
      <c r="B511" s="28">
        <v>1</v>
      </c>
      <c r="C511" s="29" t="s">
        <v>24</v>
      </c>
      <c r="D511" s="28">
        <v>89.058899999999994</v>
      </c>
      <c r="E511" s="29" t="s">
        <v>25</v>
      </c>
    </row>
    <row r="512" spans="1:5" ht="12.75">
      <c r="A512" s="27">
        <v>46049</v>
      </c>
      <c r="B512" s="28">
        <v>1</v>
      </c>
      <c r="C512" s="29" t="s">
        <v>24</v>
      </c>
      <c r="D512" s="28">
        <v>90.287700000000001</v>
      </c>
      <c r="E512" s="29" t="s">
        <v>25</v>
      </c>
    </row>
    <row r="513" spans="1:5" ht="12.75">
      <c r="A513" s="27">
        <v>46050</v>
      </c>
      <c r="B513" s="28">
        <v>1</v>
      </c>
      <c r="C513" s="29" t="s">
        <v>24</v>
      </c>
      <c r="D513" s="28">
        <v>90.932900000000004</v>
      </c>
      <c r="E513" s="29" t="s">
        <v>25</v>
      </c>
    </row>
    <row r="514" spans="1:5" ht="12.75">
      <c r="A514" s="27">
        <v>46051</v>
      </c>
      <c r="B514" s="28">
        <v>1</v>
      </c>
      <c r="C514" s="29" t="s">
        <v>24</v>
      </c>
      <c r="D514" s="28">
        <v>91.2988</v>
      </c>
      <c r="E514" s="29" t="s">
        <v>25</v>
      </c>
    </row>
    <row r="515" spans="1:5" ht="12.75">
      <c r="A515" s="27">
        <v>46052</v>
      </c>
      <c r="B515" s="28">
        <v>1</v>
      </c>
      <c r="C515" s="29" t="s">
        <v>24</v>
      </c>
      <c r="D515" s="28">
        <v>90.975099999999998</v>
      </c>
      <c r="E515" s="29" t="s">
        <v>25</v>
      </c>
    </row>
    <row r="516" spans="1:5" ht="12.75">
      <c r="A516" s="27">
        <v>46053</v>
      </c>
      <c r="B516" s="28">
        <v>1</v>
      </c>
      <c r="C516" s="29" t="s">
        <v>24</v>
      </c>
      <c r="D516" s="28">
        <v>90.468000000000004</v>
      </c>
      <c r="E516" s="29" t="s">
        <v>25</v>
      </c>
    </row>
    <row r="517" spans="1:5" ht="12.75">
      <c r="A517" s="27">
        <v>46054</v>
      </c>
      <c r="B517" s="28">
        <v>1</v>
      </c>
      <c r="C517" s="29" t="s">
        <v>24</v>
      </c>
      <c r="D517" s="28">
        <v>90.468000000000004</v>
      </c>
      <c r="E517" s="29" t="s">
        <v>25</v>
      </c>
    </row>
    <row r="518" spans="1:5" ht="12.75">
      <c r="A518" s="27">
        <v>46055</v>
      </c>
      <c r="B518" s="28">
        <v>1</v>
      </c>
      <c r="C518" s="29" t="s">
        <v>24</v>
      </c>
      <c r="D518" s="28">
        <v>90.468000000000004</v>
      </c>
      <c r="E518" s="29" t="s">
        <v>25</v>
      </c>
    </row>
    <row r="519" spans="1:5" ht="12.75">
      <c r="A519" s="27">
        <v>46056</v>
      </c>
      <c r="B519" s="28">
        <v>1</v>
      </c>
      <c r="C519" s="29" t="s">
        <v>24</v>
      </c>
      <c r="D519" s="28">
        <v>91.247</v>
      </c>
      <c r="E519" s="29" t="s">
        <v>25</v>
      </c>
    </row>
    <row r="520" spans="1:5" ht="12.75">
      <c r="A520" s="27">
        <v>46057</v>
      </c>
      <c r="B520" s="28">
        <v>1</v>
      </c>
      <c r="C520" s="29" t="s">
        <v>24</v>
      </c>
      <c r="D520" s="28">
        <v>90.717799999999997</v>
      </c>
      <c r="E520" s="29" t="s">
        <v>25</v>
      </c>
    </row>
    <row r="521" spans="1:5" ht="12.75">
      <c r="A521" s="27">
        <v>46058</v>
      </c>
      <c r="B521" s="28">
        <v>1</v>
      </c>
      <c r="C521" s="29" t="s">
        <v>24</v>
      </c>
      <c r="D521" s="28">
        <v>91.113799999999998</v>
      </c>
      <c r="E521" s="29" t="s">
        <v>25</v>
      </c>
    </row>
    <row r="522" spans="1:5" ht="12.75">
      <c r="A522" s="27">
        <v>46059</v>
      </c>
      <c r="B522" s="28">
        <v>1</v>
      </c>
      <c r="C522" s="29" t="s">
        <v>24</v>
      </c>
      <c r="D522" s="28">
        <v>90.2881</v>
      </c>
      <c r="E522" s="29" t="s">
        <v>25</v>
      </c>
    </row>
    <row r="523" spans="1:5" ht="12.75">
      <c r="A523" s="27">
        <v>46060</v>
      </c>
      <c r="B523" s="28">
        <v>1</v>
      </c>
      <c r="C523" s="29" t="s">
        <v>24</v>
      </c>
      <c r="D523" s="28">
        <v>91.045100000000005</v>
      </c>
      <c r="E523" s="29" t="s">
        <v>25</v>
      </c>
    </row>
    <row r="524" spans="1:5" ht="12.75">
      <c r="A524" s="27">
        <v>46061</v>
      </c>
      <c r="B524" s="28">
        <v>1</v>
      </c>
      <c r="C524" s="29" t="s">
        <v>24</v>
      </c>
      <c r="D524" s="28">
        <v>91.045100000000005</v>
      </c>
      <c r="E524" s="29" t="s">
        <v>25</v>
      </c>
    </row>
    <row r="525" spans="1:5" ht="12.75">
      <c r="A525" s="27">
        <v>46062</v>
      </c>
      <c r="B525" s="28">
        <v>1</v>
      </c>
      <c r="C525" s="29" t="s">
        <v>24</v>
      </c>
      <c r="D525" s="28">
        <v>91.045100000000005</v>
      </c>
      <c r="E525" s="29" t="s">
        <v>25</v>
      </c>
    </row>
    <row r="526" spans="1:5" ht="12.75">
      <c r="A526" s="27">
        <v>46063</v>
      </c>
      <c r="B526" s="28">
        <v>1</v>
      </c>
      <c r="C526" s="29" t="s">
        <v>24</v>
      </c>
      <c r="D526" s="28">
        <v>92.013599999999997</v>
      </c>
      <c r="E526" s="29" t="s">
        <v>25</v>
      </c>
    </row>
    <row r="527" spans="1:5" ht="12.75">
      <c r="A527" s="27">
        <v>46064</v>
      </c>
      <c r="B527" s="28">
        <v>1</v>
      </c>
      <c r="C527" s="29" t="s">
        <v>24</v>
      </c>
      <c r="D527" s="28">
        <v>91.942899999999995</v>
      </c>
      <c r="E527" s="29" t="s">
        <v>25</v>
      </c>
    </row>
    <row r="528" spans="1:5" ht="12.75">
      <c r="A528" s="27">
        <v>46065</v>
      </c>
      <c r="B528" s="28">
        <v>1</v>
      </c>
      <c r="C528" s="29" t="s">
        <v>24</v>
      </c>
      <c r="D528" s="28">
        <v>92.474999999999994</v>
      </c>
      <c r="E528" s="29" t="s">
        <v>25</v>
      </c>
    </row>
    <row r="529" spans="1:5" ht="12.75">
      <c r="A529" s="27">
        <v>46066</v>
      </c>
      <c r="B529" s="28">
        <v>1</v>
      </c>
      <c r="C529" s="29" t="s">
        <v>24</v>
      </c>
      <c r="D529" s="28">
        <v>91.711299999999994</v>
      </c>
      <c r="E529" s="29" t="s">
        <v>25</v>
      </c>
    </row>
    <row r="530" spans="1:5" ht="12.75">
      <c r="A530" s="27">
        <v>46067</v>
      </c>
      <c r="B530" s="28">
        <v>1</v>
      </c>
      <c r="C530" s="29" t="s">
        <v>24</v>
      </c>
      <c r="D530" s="28">
        <v>91.557500000000005</v>
      </c>
      <c r="E530" s="29" t="s">
        <v>25</v>
      </c>
    </row>
    <row r="531" spans="1:5" ht="12.75">
      <c r="A531" s="27">
        <v>46068</v>
      </c>
      <c r="B531" s="28">
        <v>1</v>
      </c>
      <c r="C531" s="29" t="s">
        <v>24</v>
      </c>
      <c r="D531" s="28">
        <v>91.557500000000005</v>
      </c>
      <c r="E531" s="29" t="s">
        <v>25</v>
      </c>
    </row>
    <row r="532" spans="1:5" ht="12.75">
      <c r="A532" s="27">
        <v>46069</v>
      </c>
      <c r="B532" s="28">
        <v>1</v>
      </c>
      <c r="C532" s="29" t="s">
        <v>24</v>
      </c>
      <c r="D532" s="28">
        <v>91.557500000000005</v>
      </c>
      <c r="E532" s="29" t="s">
        <v>25</v>
      </c>
    </row>
    <row r="533" spans="1:5" ht="12.75">
      <c r="A533" s="27">
        <v>46070</v>
      </c>
      <c r="B533" s="28">
        <v>1</v>
      </c>
      <c r="C533" s="29" t="s">
        <v>24</v>
      </c>
      <c r="D533" s="28">
        <v>91.036799999999999</v>
      </c>
      <c r="E533" s="29" t="s">
        <v>25</v>
      </c>
    </row>
    <row r="534" spans="1:5" ht="12.75">
      <c r="A534" s="27">
        <v>46071</v>
      </c>
      <c r="B534" s="28">
        <v>1</v>
      </c>
      <c r="C534" s="29" t="s">
        <v>24</v>
      </c>
      <c r="D534" s="28">
        <v>90.865799999999993</v>
      </c>
      <c r="E534" s="29" t="s">
        <v>25</v>
      </c>
    </row>
    <row r="535" spans="1:5" ht="12.75">
      <c r="A535" s="27">
        <v>46072</v>
      </c>
      <c r="B535" s="28">
        <v>1</v>
      </c>
      <c r="C535" s="29" t="s">
        <v>24</v>
      </c>
      <c r="D535" s="28">
        <v>90.268299999999996</v>
      </c>
      <c r="E535" s="29" t="s">
        <v>25</v>
      </c>
    </row>
    <row r="536" spans="1:5" ht="12.75">
      <c r="A536" s="27">
        <v>46073</v>
      </c>
      <c r="B536" s="28">
        <v>1</v>
      </c>
      <c r="C536" s="29" t="s">
        <v>24</v>
      </c>
      <c r="D536" s="28">
        <v>90.166899999999998</v>
      </c>
      <c r="E536" s="29" t="s">
        <v>25</v>
      </c>
    </row>
    <row r="537" spans="1:5" ht="12.75">
      <c r="A537" s="27">
        <v>46074</v>
      </c>
      <c r="B537" s="28">
        <v>1</v>
      </c>
      <c r="C537" s="29" t="s">
        <v>24</v>
      </c>
      <c r="D537" s="28">
        <v>90.283299999999997</v>
      </c>
      <c r="E537" s="29" t="s">
        <v>25</v>
      </c>
    </row>
    <row r="538" spans="1:5" ht="12.75">
      <c r="A538" s="27">
        <v>46075</v>
      </c>
      <c r="B538" s="28">
        <v>1</v>
      </c>
      <c r="C538" s="29" t="s">
        <v>24</v>
      </c>
      <c r="D538" s="28">
        <v>90.283299999999997</v>
      </c>
      <c r="E538" s="29" t="s">
        <v>25</v>
      </c>
    </row>
    <row r="539" spans="1:5" ht="12.75">
      <c r="A539" s="27">
        <v>46076</v>
      </c>
      <c r="B539" s="28">
        <v>1</v>
      </c>
      <c r="C539" s="29" t="s">
        <v>24</v>
      </c>
      <c r="D539" s="28">
        <v>90.283299999999997</v>
      </c>
      <c r="E539" s="29" t="s">
        <v>25</v>
      </c>
    </row>
    <row r="540" spans="1:5" ht="12.75">
      <c r="A540" s="27">
        <v>46077</v>
      </c>
      <c r="B540" s="28">
        <v>1</v>
      </c>
      <c r="C540" s="29" t="s">
        <v>24</v>
      </c>
      <c r="D540" s="28">
        <v>90.283299999999997</v>
      </c>
      <c r="E540" s="29" t="s">
        <v>25</v>
      </c>
    </row>
    <row r="541" spans="1:5" ht="12.75">
      <c r="A541" s="27">
        <v>46078</v>
      </c>
      <c r="B541" s="28">
        <v>1</v>
      </c>
      <c r="C541" s="29" t="s">
        <v>24</v>
      </c>
      <c r="D541" s="28">
        <v>90.582099999999997</v>
      </c>
      <c r="E541" s="29" t="s">
        <v>25</v>
      </c>
    </row>
    <row r="542" spans="1:5" ht="12.75">
      <c r="A542" s="27">
        <v>46079</v>
      </c>
      <c r="B542" s="28">
        <v>1</v>
      </c>
      <c r="C542" s="29" t="s">
        <v>24</v>
      </c>
      <c r="D542" s="28">
        <v>90.321100000000001</v>
      </c>
      <c r="E542" s="29" t="s">
        <v>25</v>
      </c>
    </row>
    <row r="543" spans="1:5" ht="12.75">
      <c r="A543" s="27">
        <v>46080</v>
      </c>
      <c r="B543" s="28">
        <v>1</v>
      </c>
      <c r="C543" s="29" t="s">
        <v>24</v>
      </c>
      <c r="D543" s="28">
        <v>91.028099999999995</v>
      </c>
      <c r="E543" s="29" t="s">
        <v>25</v>
      </c>
    </row>
    <row r="544" spans="1:5" ht="12.75">
      <c r="A544" s="27">
        <v>46081</v>
      </c>
      <c r="B544" s="28">
        <v>1</v>
      </c>
      <c r="C544" s="29" t="s">
        <v>24</v>
      </c>
      <c r="D544" s="28">
        <v>91.296499999999995</v>
      </c>
      <c r="E544" s="29" t="s">
        <v>25</v>
      </c>
    </row>
    <row r="545" spans="1:5" ht="12.75">
      <c r="A545" s="27">
        <v>46082</v>
      </c>
      <c r="B545" s="28">
        <v>1</v>
      </c>
      <c r="C545" s="29" t="s">
        <v>24</v>
      </c>
      <c r="D545" s="28">
        <v>91.296499999999995</v>
      </c>
      <c r="E545" s="29" t="s">
        <v>25</v>
      </c>
    </row>
    <row r="546" spans="1:5" ht="12.75">
      <c r="A546" s="27">
        <v>46083</v>
      </c>
      <c r="B546" s="28">
        <v>1</v>
      </c>
      <c r="C546" s="29" t="s">
        <v>24</v>
      </c>
      <c r="D546" s="28">
        <v>91.296499999999995</v>
      </c>
      <c r="E546" s="29" t="s">
        <v>25</v>
      </c>
    </row>
    <row r="547" spans="1:5" ht="12.75">
      <c r="A547" s="27">
        <v>46084</v>
      </c>
      <c r="B547" s="28">
        <v>1</v>
      </c>
      <c r="C547" s="29" t="s">
        <v>24</v>
      </c>
      <c r="D547" s="28">
        <v>90.730699999999999</v>
      </c>
      <c r="E547" s="29" t="s">
        <v>25</v>
      </c>
    </row>
    <row r="548" spans="1:5" ht="12.75">
      <c r="A548" s="27">
        <v>46085</v>
      </c>
      <c r="B548" s="28">
        <v>1</v>
      </c>
      <c r="C548" s="29" t="s">
        <v>24</v>
      </c>
      <c r="D548" s="28">
        <v>90.309799999999996</v>
      </c>
      <c r="E548" s="29" t="s">
        <v>25</v>
      </c>
    </row>
    <row r="549" spans="1:5" ht="12.75">
      <c r="A549" s="27">
        <v>46086</v>
      </c>
      <c r="B549" s="28">
        <v>1</v>
      </c>
      <c r="C549" s="29" t="s">
        <v>24</v>
      </c>
      <c r="D549" s="28">
        <v>90.745800000000003</v>
      </c>
      <c r="E549" s="29" t="s">
        <v>25</v>
      </c>
    </row>
    <row r="550" spans="1:5" ht="12.75">
      <c r="A550" s="27">
        <v>46087</v>
      </c>
      <c r="B550" s="28">
        <v>1</v>
      </c>
      <c r="C550" s="29" t="s">
        <v>24</v>
      </c>
      <c r="D550" s="28">
        <v>90.792599999999993</v>
      </c>
      <c r="E550" s="29" t="s">
        <v>25</v>
      </c>
    </row>
    <row r="551" spans="1:5" ht="12.75">
      <c r="A551" s="27">
        <v>46088</v>
      </c>
      <c r="B551" s="28">
        <v>1</v>
      </c>
      <c r="C551" s="29" t="s">
        <v>24</v>
      </c>
      <c r="D551" s="28">
        <v>91.839100000000002</v>
      </c>
      <c r="E551" s="29" t="s">
        <v>25</v>
      </c>
    </row>
    <row r="552" spans="1:5" ht="12.75">
      <c r="A552" s="27">
        <v>46089</v>
      </c>
      <c r="B552" s="28">
        <v>1</v>
      </c>
      <c r="C552" s="29" t="s">
        <v>24</v>
      </c>
      <c r="D552" s="28">
        <v>91.839100000000002</v>
      </c>
      <c r="E552" s="29" t="s">
        <v>25</v>
      </c>
    </row>
    <row r="553" spans="1:5" ht="12.75">
      <c r="A553" s="27">
        <v>46090</v>
      </c>
      <c r="B553" s="28">
        <v>1</v>
      </c>
      <c r="C553" s="29" t="s">
        <v>24</v>
      </c>
      <c r="D553" s="28">
        <v>91.839100000000002</v>
      </c>
      <c r="E553" s="29" t="s">
        <v>25</v>
      </c>
    </row>
    <row r="554" spans="1:5" ht="12.75">
      <c r="A554" s="27">
        <v>46091</v>
      </c>
      <c r="B554" s="28">
        <v>1</v>
      </c>
      <c r="C554" s="29" t="s">
        <v>24</v>
      </c>
      <c r="D554" s="28">
        <v>91.839100000000002</v>
      </c>
      <c r="E554" s="29" t="s">
        <v>25</v>
      </c>
    </row>
    <row r="555" spans="1:5" ht="12.75">
      <c r="A555" s="27">
        <v>46092</v>
      </c>
      <c r="B555" s="28">
        <v>1</v>
      </c>
      <c r="C555" s="29" t="s">
        <v>24</v>
      </c>
      <c r="D555" s="28">
        <v>91.897900000000007</v>
      </c>
      <c r="E555" s="29" t="s">
        <v>25</v>
      </c>
    </row>
    <row r="556" spans="1:5" ht="12.75">
      <c r="A556" s="27">
        <v>46093</v>
      </c>
      <c r="B556" s="28">
        <v>1</v>
      </c>
      <c r="C556" s="29" t="s">
        <v>24</v>
      </c>
      <c r="D556" s="28">
        <v>91.937799999999996</v>
      </c>
      <c r="E556" s="29" t="s">
        <v>25</v>
      </c>
    </row>
    <row r="557" spans="1:5" ht="12.75">
      <c r="A557" s="27">
        <v>46094</v>
      </c>
      <c r="B557" s="28">
        <v>1</v>
      </c>
      <c r="C557" s="29" t="s">
        <v>24</v>
      </c>
      <c r="D557" s="28">
        <v>91.389300000000006</v>
      </c>
      <c r="E557" s="29" t="s">
        <v>25</v>
      </c>
    </row>
    <row r="558" spans="1:5" ht="12.75">
      <c r="A558" s="27">
        <v>46095</v>
      </c>
      <c r="B558" s="28">
        <v>1</v>
      </c>
      <c r="C558" s="29" t="s">
        <v>24</v>
      </c>
      <c r="D558" s="28">
        <v>91.984700000000004</v>
      </c>
      <c r="E558" s="29" t="s">
        <v>25</v>
      </c>
    </row>
    <row r="559" spans="1:5" ht="12.75">
      <c r="A559" s="27">
        <v>46096</v>
      </c>
      <c r="B559" s="28">
        <v>1</v>
      </c>
      <c r="C559" s="29" t="s">
        <v>24</v>
      </c>
      <c r="D559" s="28">
        <v>91.984700000000004</v>
      </c>
      <c r="E559" s="29" t="s">
        <v>25</v>
      </c>
    </row>
    <row r="560" spans="1:5" ht="12.75">
      <c r="A560" s="27">
        <v>46097</v>
      </c>
      <c r="B560" s="28">
        <v>1</v>
      </c>
      <c r="C560" s="29" t="s">
        <v>24</v>
      </c>
      <c r="D560" s="28">
        <v>91.984700000000004</v>
      </c>
      <c r="E560" s="29" t="s">
        <v>25</v>
      </c>
    </row>
    <row r="561" spans="1:5" ht="12.75">
      <c r="A561" s="27">
        <v>46098</v>
      </c>
      <c r="B561" s="28">
        <v>1</v>
      </c>
      <c r="C561" s="29" t="s">
        <v>24</v>
      </c>
      <c r="D561" s="28">
        <v>92.655500000000004</v>
      </c>
      <c r="E561" s="29" t="s">
        <v>25</v>
      </c>
    </row>
    <row r="562" spans="1:5" ht="12.75">
      <c r="A562" s="27">
        <v>46099</v>
      </c>
      <c r="B562" s="28">
        <v>1</v>
      </c>
      <c r="C562" s="29" t="s">
        <v>24</v>
      </c>
      <c r="D562" s="28">
        <v>93.155699999999996</v>
      </c>
      <c r="E562" s="29" t="s">
        <v>25</v>
      </c>
    </row>
    <row r="563" spans="1:5" ht="12.75">
      <c r="A563" s="27">
        <v>46100</v>
      </c>
      <c r="B563" s="28">
        <v>1</v>
      </c>
      <c r="C563" s="29" t="s">
        <v>24</v>
      </c>
      <c r="D563" s="28">
        <v>94.666300000000007</v>
      </c>
      <c r="E563" s="29" t="s">
        <v>25</v>
      </c>
    </row>
    <row r="564" spans="1:5" ht="12.75">
      <c r="A564" s="27">
        <v>46101</v>
      </c>
      <c r="B564" s="28">
        <v>1</v>
      </c>
      <c r="C564" s="29" t="s">
        <v>24</v>
      </c>
      <c r="D564" s="28">
        <v>96.915499999999994</v>
      </c>
      <c r="E564" s="29" t="s">
        <v>25</v>
      </c>
    </row>
    <row r="565" spans="1:5" ht="12.75">
      <c r="A565" s="27">
        <v>46102</v>
      </c>
      <c r="B565" s="28">
        <v>1</v>
      </c>
      <c r="C565" s="29" t="s">
        <v>24</v>
      </c>
      <c r="D565" s="28">
        <v>97.288600000000002</v>
      </c>
      <c r="E565" s="29" t="s">
        <v>25</v>
      </c>
    </row>
    <row r="566" spans="1:5" ht="12.75">
      <c r="A566" s="27">
        <v>46103</v>
      </c>
      <c r="B566" s="28">
        <v>1</v>
      </c>
      <c r="C566" s="29" t="s">
        <v>24</v>
      </c>
      <c r="D566" s="28">
        <v>97.288600000000002</v>
      </c>
      <c r="E566" s="29" t="s">
        <v>25</v>
      </c>
    </row>
    <row r="567" spans="1:5" ht="12.75">
      <c r="A567" s="27">
        <v>46104</v>
      </c>
      <c r="B567" s="28">
        <v>1</v>
      </c>
      <c r="C567" s="29" t="s">
        <v>24</v>
      </c>
      <c r="D567" s="28">
        <v>97.288600000000002</v>
      </c>
      <c r="E567" s="29" t="s">
        <v>25</v>
      </c>
    </row>
    <row r="568" spans="1:5" ht="12.75">
      <c r="A568" s="27">
        <v>46105</v>
      </c>
      <c r="B568" s="28">
        <v>1</v>
      </c>
      <c r="C568" s="29" t="s">
        <v>24</v>
      </c>
      <c r="D568" s="28">
        <v>94.726399999999998</v>
      </c>
      <c r="E568" s="29" t="s">
        <v>25</v>
      </c>
    </row>
    <row r="569" spans="1:5" ht="12.75">
      <c r="A569" s="27">
        <v>46106</v>
      </c>
      <c r="B569" s="28">
        <v>1</v>
      </c>
      <c r="C569" s="29" t="s">
        <v>24</v>
      </c>
      <c r="D569" s="28">
        <v>93.924700000000001</v>
      </c>
      <c r="E569" s="29" t="s">
        <v>25</v>
      </c>
    </row>
    <row r="570" spans="1:5" ht="12.75">
      <c r="A570" s="27">
        <v>46107</v>
      </c>
      <c r="B570" s="28">
        <v>1</v>
      </c>
      <c r="C570" s="29" t="s">
        <v>24</v>
      </c>
      <c r="D570" s="28">
        <v>93.809700000000007</v>
      </c>
      <c r="E570" s="29" t="s">
        <v>25</v>
      </c>
    </row>
    <row r="571" spans="1:5" ht="12.75">
      <c r="A571" s="27">
        <v>46108</v>
      </c>
      <c r="B571" s="28">
        <v>1</v>
      </c>
      <c r="C571" s="29" t="s">
        <v>24</v>
      </c>
      <c r="D571" s="28">
        <v>95.003799999999998</v>
      </c>
      <c r="E571" s="29" t="s">
        <v>25</v>
      </c>
    </row>
    <row r="572" spans="1:5" ht="12.75">
      <c r="A572" s="27">
        <v>46109</v>
      </c>
      <c r="B572" s="28">
        <v>1</v>
      </c>
      <c r="C572" s="29" t="s">
        <v>24</v>
      </c>
      <c r="D572" s="28">
        <v>93.424700000000001</v>
      </c>
      <c r="E572" s="29" t="s">
        <v>25</v>
      </c>
    </row>
    <row r="573" spans="1:5" ht="12.75">
      <c r="A573" s="27">
        <v>46110</v>
      </c>
      <c r="B573" s="28">
        <v>1</v>
      </c>
      <c r="C573" s="29" t="s">
        <v>24</v>
      </c>
      <c r="D573" s="28">
        <v>93.424700000000001</v>
      </c>
      <c r="E573" s="29" t="s">
        <v>25</v>
      </c>
    </row>
    <row r="574" spans="1:5" ht="12.75">
      <c r="A574" s="27">
        <v>46111</v>
      </c>
      <c r="B574" s="28">
        <v>1</v>
      </c>
      <c r="C574" s="29" t="s">
        <v>24</v>
      </c>
      <c r="D574" s="28">
        <v>93.424700000000001</v>
      </c>
      <c r="E574" s="29" t="s">
        <v>25</v>
      </c>
    </row>
    <row r="575" spans="1:5" ht="12.75">
      <c r="A575" s="27">
        <v>46112</v>
      </c>
      <c r="B575" s="28">
        <v>1</v>
      </c>
      <c r="C575" s="29" t="s">
        <v>24</v>
      </c>
      <c r="D575" s="28">
        <v>93.436899999999994</v>
      </c>
      <c r="E575" s="29" t="s">
        <v>25</v>
      </c>
    </row>
    <row r="576" spans="1:5" ht="12.75">
      <c r="A576" s="27">
        <v>46113</v>
      </c>
      <c r="B576" s="28">
        <v>1</v>
      </c>
      <c r="C576" s="29" t="s">
        <v>24</v>
      </c>
      <c r="D576" s="28">
        <v>93.273899999999998</v>
      </c>
      <c r="E576" s="29" t="s">
        <v>25</v>
      </c>
    </row>
    <row r="577" spans="1:5" ht="12.75">
      <c r="A577" s="27">
        <v>46114</v>
      </c>
      <c r="B577" s="28">
        <v>1</v>
      </c>
      <c r="C577" s="29" t="s">
        <v>24</v>
      </c>
      <c r="D577" s="28">
        <v>93.444299999999998</v>
      </c>
      <c r="E577" s="29" t="s">
        <v>25</v>
      </c>
    </row>
    <row r="578" spans="1:5" ht="12.75">
      <c r="A578" s="27">
        <v>46115</v>
      </c>
      <c r="B578" s="28">
        <v>1</v>
      </c>
      <c r="C578" s="29" t="s">
        <v>24</v>
      </c>
      <c r="D578" s="28">
        <v>92.732600000000005</v>
      </c>
      <c r="E578" s="29" t="s">
        <v>25</v>
      </c>
    </row>
    <row r="579" spans="1:5" ht="12.75">
      <c r="A579" s="27">
        <v>46116</v>
      </c>
      <c r="B579" s="28">
        <v>1</v>
      </c>
      <c r="C579" s="29" t="s">
        <v>24</v>
      </c>
      <c r="D579" s="28">
        <v>92.191500000000005</v>
      </c>
      <c r="E579" s="29" t="s">
        <v>25</v>
      </c>
    </row>
    <row r="580" spans="1:5" ht="12.75">
      <c r="A580" s="27">
        <v>46117</v>
      </c>
      <c r="B580" s="28">
        <v>1</v>
      </c>
      <c r="C580" s="29" t="s">
        <v>24</v>
      </c>
      <c r="D580" s="28">
        <v>92.191500000000005</v>
      </c>
      <c r="E580" s="29" t="s">
        <v>25</v>
      </c>
    </row>
    <row r="581" spans="1:5" ht="12.75">
      <c r="A581" s="27">
        <v>46118</v>
      </c>
      <c r="B581" s="28">
        <v>1</v>
      </c>
      <c r="C581" s="29" t="s">
        <v>24</v>
      </c>
      <c r="D581" s="28">
        <v>92.191500000000005</v>
      </c>
      <c r="E581" s="29" t="s">
        <v>25</v>
      </c>
    </row>
    <row r="582" spans="1:5" ht="12.75">
      <c r="A582" s="27">
        <v>46119</v>
      </c>
      <c r="B582" s="28">
        <v>1</v>
      </c>
      <c r="C582" s="29" t="s">
        <v>24</v>
      </c>
      <c r="D582" s="28">
        <v>91.003399999999999</v>
      </c>
      <c r="E582" s="29" t="s">
        <v>25</v>
      </c>
    </row>
    <row r="583" spans="1:5" ht="12.75">
      <c r="A583" s="27">
        <v>46120</v>
      </c>
      <c r="B583" s="28">
        <v>1</v>
      </c>
      <c r="C583" s="29" t="s">
        <v>24</v>
      </c>
      <c r="D583" s="28">
        <v>91.027900000000002</v>
      </c>
      <c r="E583" s="29" t="s">
        <v>25</v>
      </c>
    </row>
    <row r="584" spans="1:5" ht="12.75">
      <c r="A584" s="27">
        <v>46121</v>
      </c>
      <c r="B584" s="28">
        <v>1</v>
      </c>
      <c r="C584" s="29" t="s">
        <v>24</v>
      </c>
      <c r="D584" s="28">
        <v>91.564099999999996</v>
      </c>
      <c r="E584" s="29" t="s">
        <v>25</v>
      </c>
    </row>
    <row r="585" spans="1:5" ht="12.75">
      <c r="A585" s="27">
        <v>46122</v>
      </c>
      <c r="B585" s="28">
        <v>1</v>
      </c>
      <c r="C585" s="29" t="s">
        <v>24</v>
      </c>
      <c r="D585" s="28">
        <v>90.881299999999996</v>
      </c>
      <c r="E585" s="29" t="s">
        <v>25</v>
      </c>
    </row>
    <row r="586" spans="1:5" ht="12.75">
      <c r="A586" s="27">
        <v>46123</v>
      </c>
      <c r="B586" s="28">
        <v>1</v>
      </c>
      <c r="C586" s="29" t="s">
        <v>24</v>
      </c>
      <c r="D586" s="28">
        <v>90.012</v>
      </c>
      <c r="E586" s="29" t="s">
        <v>25</v>
      </c>
    </row>
    <row r="587" spans="1:5" ht="12.75">
      <c r="A587" s="27">
        <v>46124</v>
      </c>
      <c r="B587" s="28">
        <v>1</v>
      </c>
      <c r="C587" s="29" t="s">
        <v>24</v>
      </c>
      <c r="D587" s="28">
        <v>90.012</v>
      </c>
      <c r="E587" s="29" t="s">
        <v>25</v>
      </c>
    </row>
    <row r="588" spans="1:5" ht="12.75">
      <c r="A588" s="27">
        <v>46125</v>
      </c>
      <c r="B588" s="28">
        <v>1</v>
      </c>
      <c r="C588" s="29" t="s">
        <v>24</v>
      </c>
      <c r="D588" s="28">
        <v>90.012</v>
      </c>
      <c r="E588" s="29" t="s">
        <v>25</v>
      </c>
    </row>
    <row r="589" spans="1:5" ht="12.75">
      <c r="A589" s="27">
        <v>46126</v>
      </c>
      <c r="B589" s="28">
        <v>1</v>
      </c>
      <c r="C589" s="29" t="s">
        <v>24</v>
      </c>
      <c r="D589" s="28">
        <v>89.137299999999996</v>
      </c>
      <c r="E589" s="29" t="s">
        <v>25</v>
      </c>
    </row>
    <row r="590" spans="1:5" ht="12.75">
      <c r="A590" s="27">
        <v>46127</v>
      </c>
      <c r="B590" s="28">
        <v>1</v>
      </c>
      <c r="C590" s="29" t="s">
        <v>24</v>
      </c>
      <c r="D590" s="28">
        <v>89.255600000000001</v>
      </c>
      <c r="E590" s="29" t="s">
        <v>25</v>
      </c>
    </row>
    <row r="591" spans="1:5" ht="12.75">
      <c r="A591" s="27">
        <v>46128</v>
      </c>
      <c r="B591" s="28">
        <v>1</v>
      </c>
      <c r="C591" s="29" t="s">
        <v>24</v>
      </c>
      <c r="D591" s="28">
        <v>88.7303</v>
      </c>
      <c r="E591" s="29" t="s">
        <v>25</v>
      </c>
    </row>
    <row r="592" spans="1:5" ht="12.75">
      <c r="A592" s="27">
        <v>46129</v>
      </c>
      <c r="B592" s="28">
        <v>1</v>
      </c>
      <c r="C592" s="29" t="s">
        <v>24</v>
      </c>
      <c r="D592" s="28">
        <v>89.411299999999997</v>
      </c>
      <c r="E592" s="29" t="s">
        <v>25</v>
      </c>
    </row>
    <row r="593" spans="1:5" ht="12.75">
      <c r="A593" s="27">
        <v>46130</v>
      </c>
      <c r="B593" s="28">
        <v>1</v>
      </c>
      <c r="C593" s="29" t="s">
        <v>24</v>
      </c>
      <c r="D593" s="28">
        <v>89.625600000000006</v>
      </c>
      <c r="E593" s="29" t="s">
        <v>25</v>
      </c>
    </row>
    <row r="594" spans="1:5" ht="12.75">
      <c r="A594" s="27">
        <v>46131</v>
      </c>
      <c r="B594" s="28">
        <v>1</v>
      </c>
      <c r="C594" s="29" t="s">
        <v>24</v>
      </c>
      <c r="D594" s="28">
        <v>89.625600000000006</v>
      </c>
      <c r="E594" s="29" t="s">
        <v>25</v>
      </c>
    </row>
    <row r="595" spans="1:5" ht="12.75">
      <c r="A595" s="27">
        <v>46132</v>
      </c>
      <c r="B595" s="28">
        <v>1</v>
      </c>
      <c r="C595" s="29" t="s">
        <v>24</v>
      </c>
      <c r="D595" s="28">
        <v>89.625600000000006</v>
      </c>
      <c r="E595" s="29" t="s">
        <v>25</v>
      </c>
    </row>
    <row r="596" spans="1:5" ht="12.75">
      <c r="A596" s="27">
        <v>46133</v>
      </c>
      <c r="B596" s="28">
        <v>1</v>
      </c>
      <c r="C596" s="29" t="s">
        <v>24</v>
      </c>
      <c r="D596" s="28">
        <v>88.376900000000006</v>
      </c>
      <c r="E596" s="29" t="s">
        <v>25</v>
      </c>
    </row>
    <row r="597" spans="1:5" ht="12.75">
      <c r="A597" s="27">
        <v>46134</v>
      </c>
      <c r="B597" s="28">
        <v>1</v>
      </c>
      <c r="C597" s="29" t="s">
        <v>24</v>
      </c>
      <c r="D597" s="28">
        <v>87.765900000000002</v>
      </c>
      <c r="E597" s="29" t="s">
        <v>25</v>
      </c>
    </row>
    <row r="598" spans="1:5" ht="12.75">
      <c r="A598" s="27">
        <v>46135</v>
      </c>
      <c r="B598" s="28">
        <v>1</v>
      </c>
      <c r="C598" s="29" t="s">
        <v>24</v>
      </c>
      <c r="D598" s="28">
        <v>87.973299999999995</v>
      </c>
      <c r="E598" s="29" t="s">
        <v>25</v>
      </c>
    </row>
    <row r="599" spans="1:5" ht="12.75">
      <c r="A599" s="27">
        <v>46136</v>
      </c>
      <c r="B599" s="28">
        <v>1</v>
      </c>
      <c r="C599" s="29" t="s">
        <v>24</v>
      </c>
      <c r="D599" s="28">
        <v>87.5261</v>
      </c>
      <c r="E599" s="29" t="s">
        <v>25</v>
      </c>
    </row>
    <row r="600" spans="1:5" ht="12.75">
      <c r="A600" s="27">
        <v>46137</v>
      </c>
      <c r="B600" s="28">
        <v>1</v>
      </c>
      <c r="C600" s="29" t="s">
        <v>24</v>
      </c>
      <c r="D600" s="28">
        <v>88.282600000000002</v>
      </c>
      <c r="E600" s="29" t="s">
        <v>25</v>
      </c>
    </row>
    <row r="601" spans="1:5" ht="12.75">
      <c r="A601" s="27">
        <v>46138</v>
      </c>
      <c r="B601" s="28">
        <v>1</v>
      </c>
      <c r="C601" s="29" t="s">
        <v>24</v>
      </c>
      <c r="D601" s="28">
        <v>88.282600000000002</v>
      </c>
      <c r="E601" s="29" t="s">
        <v>25</v>
      </c>
    </row>
    <row r="602" spans="1:5" ht="12.75">
      <c r="A602" s="27">
        <v>46139</v>
      </c>
      <c r="B602" s="28">
        <v>1</v>
      </c>
      <c r="C602" s="29" t="s">
        <v>24</v>
      </c>
      <c r="D602" s="28">
        <v>88.282600000000002</v>
      </c>
      <c r="E602" s="29" t="s">
        <v>25</v>
      </c>
    </row>
    <row r="603" spans="1:5" ht="12.75">
      <c r="A603" s="27">
        <v>46140</v>
      </c>
      <c r="B603" s="28">
        <v>1</v>
      </c>
      <c r="C603" s="29" t="s">
        <v>24</v>
      </c>
      <c r="D603" s="28">
        <v>87.882599999999996</v>
      </c>
      <c r="E603" s="29" t="s">
        <v>25</v>
      </c>
    </row>
    <row r="604" spans="1:5" ht="12.75">
      <c r="A604" s="27">
        <v>46141</v>
      </c>
      <c r="B604" s="28">
        <v>1</v>
      </c>
      <c r="C604" s="29" t="s">
        <v>24</v>
      </c>
      <c r="D604" s="28">
        <v>87.592799999999997</v>
      </c>
      <c r="E604" s="29" t="s">
        <v>25</v>
      </c>
    </row>
    <row r="605" spans="1:5" ht="12.75">
      <c r="A605" s="27">
        <v>46142</v>
      </c>
      <c r="B605" s="28">
        <v>1</v>
      </c>
      <c r="C605" s="29" t="s">
        <v>24</v>
      </c>
      <c r="D605" s="28">
        <v>87.777100000000004</v>
      </c>
      <c r="E605" s="29" t="s">
        <v>25</v>
      </c>
    </row>
    <row r="606" spans="1:5" ht="12.75">
      <c r="A606" s="27">
        <v>46143</v>
      </c>
      <c r="B606" s="28">
        <v>1</v>
      </c>
      <c r="C606" s="29" t="s">
        <v>24</v>
      </c>
      <c r="D606" s="28">
        <v>88.642899999999997</v>
      </c>
      <c r="E606" s="29" t="s">
        <v>25</v>
      </c>
    </row>
    <row r="607" spans="1:5" ht="12.75">
      <c r="A607" s="27">
        <v>46144</v>
      </c>
      <c r="B607" s="28">
        <v>1</v>
      </c>
      <c r="C607" s="29" t="s">
        <v>24</v>
      </c>
      <c r="D607" s="28">
        <v>88.642899999999997</v>
      </c>
      <c r="E607" s="29" t="s">
        <v>25</v>
      </c>
    </row>
    <row r="608" spans="1:5" ht="12.75">
      <c r="A608" s="27">
        <v>46145</v>
      </c>
      <c r="B608" s="28">
        <v>1</v>
      </c>
      <c r="C608" s="29" t="s">
        <v>24</v>
      </c>
      <c r="D608" s="28">
        <v>88.642899999999997</v>
      </c>
      <c r="E608" s="29" t="s">
        <v>25</v>
      </c>
    </row>
    <row r="609" spans="1:5" ht="12.75">
      <c r="A609" s="27">
        <v>46146</v>
      </c>
      <c r="B609" s="28">
        <v>1</v>
      </c>
      <c r="C609" s="29" t="s">
        <v>24</v>
      </c>
      <c r="D609" s="28">
        <v>88.642899999999997</v>
      </c>
      <c r="E609" s="29" t="s">
        <v>25</v>
      </c>
    </row>
    <row r="610" spans="1:5" ht="12.75">
      <c r="A610" s="27">
        <v>46147</v>
      </c>
      <c r="B610" s="28">
        <v>1</v>
      </c>
      <c r="C610" s="29" t="s">
        <v>24</v>
      </c>
      <c r="D610" s="28">
        <v>88.265100000000004</v>
      </c>
      <c r="E610" s="29" t="s">
        <v>25</v>
      </c>
    </row>
    <row r="611" spans="1:5" ht="12.75">
      <c r="A611" s="27">
        <v>46148</v>
      </c>
      <c r="B611" s="28">
        <v>1</v>
      </c>
      <c r="C611" s="29" t="s">
        <v>24</v>
      </c>
      <c r="D611" s="28">
        <v>88.346299999999999</v>
      </c>
      <c r="E611" s="29" t="s">
        <v>25</v>
      </c>
    </row>
    <row r="612" spans="1:5" ht="12.75">
      <c r="A612" s="27">
        <v>46149</v>
      </c>
      <c r="B612" s="28">
        <v>1</v>
      </c>
      <c r="C612" s="29" t="s">
        <v>24</v>
      </c>
      <c r="D612" s="28">
        <v>88.06</v>
      </c>
      <c r="E612" s="29" t="s">
        <v>25</v>
      </c>
    </row>
    <row r="613" spans="1:5" ht="12.75">
      <c r="A613" s="27">
        <v>46150</v>
      </c>
      <c r="B613" s="28">
        <v>1</v>
      </c>
      <c r="C613" s="29" t="s">
        <v>24</v>
      </c>
      <c r="D613" s="28">
        <v>87.889700000000005</v>
      </c>
      <c r="E613" s="29" t="s">
        <v>25</v>
      </c>
    </row>
    <row r="614" spans="1:5" ht="12.75">
      <c r="A614" s="27">
        <v>46151</v>
      </c>
      <c r="B614" s="28">
        <v>1</v>
      </c>
      <c r="C614" s="29" t="s">
        <v>24</v>
      </c>
      <c r="D614" s="28">
        <v>88.549000000000007</v>
      </c>
      <c r="E614" s="29" t="s">
        <v>25</v>
      </c>
    </row>
    <row r="615" spans="1:5" ht="12.75">
      <c r="A615" s="27">
        <v>46152</v>
      </c>
      <c r="B615" s="28">
        <v>1</v>
      </c>
      <c r="C615" s="29" t="s">
        <v>24</v>
      </c>
      <c r="D615" s="28">
        <v>88.549000000000007</v>
      </c>
      <c r="E615" s="29" t="s">
        <v>25</v>
      </c>
    </row>
    <row r="616" spans="1:5" ht="12.75">
      <c r="A616" s="27">
        <v>46153</v>
      </c>
      <c r="B616" s="28">
        <v>1</v>
      </c>
      <c r="C616" s="29" t="s">
        <v>24</v>
      </c>
      <c r="D616" s="28">
        <v>88.549000000000007</v>
      </c>
      <c r="E616" s="29" t="s">
        <v>25</v>
      </c>
    </row>
    <row r="617" spans="1:5" ht="12.75">
      <c r="A617" s="27">
        <v>46154</v>
      </c>
      <c r="B617" s="28">
        <v>1</v>
      </c>
      <c r="C617" s="29" t="s">
        <v>24</v>
      </c>
      <c r="D617" s="28">
        <v>88.549000000000007</v>
      </c>
      <c r="E617" s="29" t="s">
        <v>25</v>
      </c>
    </row>
    <row r="618" spans="1:5" ht="12.75">
      <c r="A618" s="27">
        <v>46155</v>
      </c>
      <c r="B618" s="28">
        <v>1</v>
      </c>
      <c r="C618" s="29" t="s">
        <v>24</v>
      </c>
      <c r="D618" s="28">
        <v>87.379099999999994</v>
      </c>
      <c r="E618" s="29" t="s">
        <v>25</v>
      </c>
    </row>
    <row r="619" spans="1:5" ht="12.75">
      <c r="A619" s="27">
        <v>46156</v>
      </c>
      <c r="B619" s="28">
        <v>1</v>
      </c>
      <c r="C619" s="29" t="s">
        <v>24</v>
      </c>
      <c r="D619" s="28">
        <v>85.901700000000005</v>
      </c>
      <c r="E619" s="29" t="s">
        <v>25</v>
      </c>
    </row>
    <row r="620" spans="1:5" ht="12.75">
      <c r="A620" s="27">
        <v>46157</v>
      </c>
      <c r="B620" s="28">
        <v>1</v>
      </c>
      <c r="C620" s="29" t="s">
        <v>24</v>
      </c>
      <c r="D620" s="28">
        <v>86.289900000000003</v>
      </c>
      <c r="E620" s="29" t="s">
        <v>25</v>
      </c>
    </row>
    <row r="621" spans="1:5" ht="12.75">
      <c r="A621" s="27">
        <v>46158</v>
      </c>
      <c r="B621" s="28">
        <v>1</v>
      </c>
      <c r="C621" s="29" t="s">
        <v>24</v>
      </c>
      <c r="D621" s="28">
        <v>85.183000000000007</v>
      </c>
      <c r="E621" s="29" t="s">
        <v>25</v>
      </c>
    </row>
    <row r="622" spans="1:5" ht="12.75">
      <c r="A622" s="27">
        <v>46159</v>
      </c>
      <c r="B622" s="28">
        <v>1</v>
      </c>
      <c r="C622" s="29" t="s">
        <v>24</v>
      </c>
      <c r="D622" s="28">
        <v>85.183000000000007</v>
      </c>
      <c r="E622" s="29" t="s">
        <v>25</v>
      </c>
    </row>
    <row r="623" spans="1:5" ht="12.75">
      <c r="A623" s="27">
        <v>46160</v>
      </c>
      <c r="B623" s="28">
        <v>1</v>
      </c>
      <c r="C623" s="29" t="s">
        <v>24</v>
      </c>
      <c r="D623" s="28">
        <v>85.183000000000007</v>
      </c>
      <c r="E623" s="29" t="s">
        <v>25</v>
      </c>
    </row>
    <row r="624" spans="1:5" ht="12.75">
      <c r="A624" s="27">
        <v>46161</v>
      </c>
      <c r="B624" s="28">
        <v>1</v>
      </c>
      <c r="C624" s="29" t="s">
        <v>24</v>
      </c>
      <c r="D624" s="28">
        <v>84.074200000000005</v>
      </c>
      <c r="E624" s="29" t="s">
        <v>25</v>
      </c>
    </row>
    <row r="625" spans="1:5" ht="12.75">
      <c r="A625" s="27">
        <v>46162</v>
      </c>
      <c r="B625" s="28">
        <v>1</v>
      </c>
      <c r="C625" s="29" t="s">
        <v>24</v>
      </c>
      <c r="D625" s="28">
        <v>82.787099999999995</v>
      </c>
      <c r="E625" s="29" t="s">
        <v>25</v>
      </c>
    </row>
    <row r="626" spans="1:5" ht="12.75">
      <c r="A626" s="27">
        <v>46163</v>
      </c>
      <c r="B626" s="28">
        <v>1</v>
      </c>
      <c r="C626" s="29" t="s">
        <v>24</v>
      </c>
      <c r="D626" s="28">
        <v>81.982299999999995</v>
      </c>
      <c r="E626" s="29" t="s">
        <v>25</v>
      </c>
    </row>
    <row r="627" spans="1:5" ht="12.75">
      <c r="A627" s="27">
        <v>46164</v>
      </c>
      <c r="B627" s="28">
        <v>1</v>
      </c>
      <c r="C627" s="29" t="s">
        <v>24</v>
      </c>
      <c r="D627" s="28">
        <v>83.274600000000007</v>
      </c>
      <c r="E627" s="29" t="s">
        <v>25</v>
      </c>
    </row>
    <row r="628" spans="1:5" ht="12.75">
      <c r="A628" s="27">
        <v>46165</v>
      </c>
      <c r="B628" s="28">
        <v>1</v>
      </c>
      <c r="C628" s="29" t="s">
        <v>24</v>
      </c>
      <c r="D628" s="28">
        <v>82.544499999999999</v>
      </c>
      <c r="E628" s="29" t="s">
        <v>25</v>
      </c>
    </row>
    <row r="629" spans="1:5" ht="12.75">
      <c r="A629" s="27">
        <v>46166</v>
      </c>
      <c r="B629" s="28">
        <v>1</v>
      </c>
      <c r="C629" s="29" t="s">
        <v>24</v>
      </c>
      <c r="D629" s="28">
        <v>82.544499999999999</v>
      </c>
      <c r="E629" s="29" t="s">
        <v>25</v>
      </c>
    </row>
    <row r="630" spans="1:5" ht="12.75">
      <c r="A630" s="27">
        <v>46167</v>
      </c>
      <c r="B630" s="28">
        <v>1</v>
      </c>
      <c r="C630" s="29" t="s">
        <v>24</v>
      </c>
      <c r="D630" s="28">
        <v>82.544499999999999</v>
      </c>
      <c r="E630" s="29" t="s">
        <v>25</v>
      </c>
    </row>
    <row r="631" spans="1:5" ht="12.75">
      <c r="A631" s="27">
        <v>46168</v>
      </c>
      <c r="B631" s="28">
        <v>1</v>
      </c>
      <c r="C631" s="29" t="s">
        <v>24</v>
      </c>
      <c r="D631" s="28">
        <v>85.449299999999994</v>
      </c>
      <c r="E631" s="29" t="s">
        <v>25</v>
      </c>
    </row>
    <row r="632" spans="1:5" ht="12.75">
      <c r="A632" s="27">
        <v>46169</v>
      </c>
      <c r="B632" s="28">
        <v>1</v>
      </c>
      <c r="C632" s="29" t="s">
        <v>24</v>
      </c>
      <c r="D632" s="28">
        <v>83.297499999999999</v>
      </c>
      <c r="E632" s="29" t="s">
        <v>25</v>
      </c>
    </row>
    <row r="633" spans="1:5" ht="12.75">
      <c r="A633" s="27">
        <v>46170</v>
      </c>
      <c r="B633" s="28">
        <v>1</v>
      </c>
      <c r="C633" s="29" t="s">
        <v>24</v>
      </c>
      <c r="D633" s="28">
        <v>82.722399999999993</v>
      </c>
      <c r="E633" s="29" t="s">
        <v>25</v>
      </c>
    </row>
    <row r="634" spans="1:5" ht="12.75">
      <c r="A634" s="27">
        <v>46171</v>
      </c>
      <c r="B634" s="28">
        <v>1</v>
      </c>
      <c r="C634" s="29" t="s">
        <v>24</v>
      </c>
      <c r="D634" s="28">
        <v>83.6892</v>
      </c>
      <c r="E634" s="29" t="s">
        <v>25</v>
      </c>
    </row>
    <row r="635" spans="1:5" ht="12.75">
      <c r="A635" s="27">
        <v>46172</v>
      </c>
      <c r="B635" s="28">
        <v>1</v>
      </c>
      <c r="C635" s="29" t="s">
        <v>24</v>
      </c>
      <c r="D635" s="28">
        <v>82.636899999999997</v>
      </c>
      <c r="E635" s="29" t="s">
        <v>25</v>
      </c>
    </row>
    <row r="636" spans="1:5" ht="12.75">
      <c r="A636" s="27">
        <v>46173</v>
      </c>
      <c r="B636" s="28">
        <v>1</v>
      </c>
      <c r="C636" s="29" t="s">
        <v>24</v>
      </c>
      <c r="D636" s="28">
        <v>82.636899999999997</v>
      </c>
      <c r="E636" s="29" t="s">
        <v>25</v>
      </c>
    </row>
    <row r="637" spans="1:5" ht="12.75">
      <c r="A637" s="27">
        <v>46174</v>
      </c>
      <c r="B637" s="28">
        <v>1</v>
      </c>
      <c r="C637" s="29" t="s">
        <v>24</v>
      </c>
      <c r="D637" s="28">
        <v>82.636899999999997</v>
      </c>
      <c r="E637" s="29" t="s">
        <v>25</v>
      </c>
    </row>
    <row r="638" spans="1:5" ht="12.75">
      <c r="A638" s="27">
        <v>46175</v>
      </c>
      <c r="B638" s="28">
        <v>1</v>
      </c>
      <c r="C638" s="29" t="s">
        <v>24</v>
      </c>
      <c r="D638" s="28">
        <v>86.249899999999997</v>
      </c>
      <c r="E638" s="29" t="s">
        <v>25</v>
      </c>
    </row>
    <row r="639" spans="1:5" ht="12.75">
      <c r="A639" s="27">
        <v>46176</v>
      </c>
      <c r="B639" s="28">
        <v>1</v>
      </c>
      <c r="C639" s="29" t="s">
        <v>24</v>
      </c>
      <c r="D639" s="28">
        <v>84.6096</v>
      </c>
      <c r="E639" s="29" t="s">
        <v>25</v>
      </c>
    </row>
    <row r="640" spans="1:5" ht="12.75">
      <c r="A640" s="27">
        <v>46177</v>
      </c>
      <c r="B640" s="28">
        <v>1</v>
      </c>
      <c r="C640" s="29" t="s">
        <v>24</v>
      </c>
      <c r="D640" s="28">
        <v>85.124300000000005</v>
      </c>
      <c r="E640" s="29" t="s">
        <v>25</v>
      </c>
    </row>
    <row r="641" spans="1:5" ht="12.75">
      <c r="A641" s="27">
        <v>46178</v>
      </c>
      <c r="B641" s="28">
        <v>1</v>
      </c>
      <c r="C641" s="29" t="s">
        <v>24</v>
      </c>
      <c r="D641" s="28">
        <v>86.271199999999993</v>
      </c>
      <c r="E641" s="29" t="s">
        <v>25</v>
      </c>
    </row>
    <row r="642" spans="1:5" ht="12.75">
      <c r="A642" s="27">
        <v>46179</v>
      </c>
      <c r="B642" s="28">
        <v>1</v>
      </c>
      <c r="C642" s="29" t="s">
        <v>24</v>
      </c>
      <c r="D642" s="28">
        <v>85.558199999999999</v>
      </c>
      <c r="E642" s="29" t="s">
        <v>25</v>
      </c>
    </row>
    <row r="643" spans="1:5" ht="12.75">
      <c r="A643" s="27">
        <v>46180</v>
      </c>
      <c r="B643" s="28">
        <v>1</v>
      </c>
      <c r="C643" s="29" t="s">
        <v>24</v>
      </c>
      <c r="D643" s="28">
        <v>85.558199999999999</v>
      </c>
      <c r="E643" s="29" t="s">
        <v>25</v>
      </c>
    </row>
    <row r="644" spans="1:5" ht="12.75">
      <c r="A644" s="27">
        <v>46181</v>
      </c>
      <c r="B644" s="28">
        <v>1</v>
      </c>
      <c r="C644" s="29" t="s">
        <v>24</v>
      </c>
      <c r="D644" s="28">
        <v>85.558199999999999</v>
      </c>
      <c r="E644" s="29" t="s">
        <v>25</v>
      </c>
    </row>
    <row r="645" spans="1:5" ht="12.75">
      <c r="A645" s="27">
        <v>46182</v>
      </c>
      <c r="B645" s="28">
        <v>1</v>
      </c>
      <c r="C645" s="29" t="s">
        <v>24</v>
      </c>
      <c r="D645" s="28">
        <v>85.279799999999994</v>
      </c>
      <c r="E645" s="29" t="s">
        <v>25</v>
      </c>
    </row>
    <row r="646" spans="1:5" ht="12.75">
      <c r="A646" s="27">
        <v>46183</v>
      </c>
      <c r="B646" s="28">
        <v>1</v>
      </c>
      <c r="C646" s="29" t="s">
        <v>24</v>
      </c>
      <c r="D646" s="28">
        <v>82.778499999999994</v>
      </c>
      <c r="E646" s="29" t="s">
        <v>25</v>
      </c>
    </row>
    <row r="647" spans="1:5" ht="12.75">
      <c r="A647" s="27">
        <v>46184</v>
      </c>
      <c r="B647" s="28">
        <v>1</v>
      </c>
      <c r="C647" s="29" t="s">
        <v>24</v>
      </c>
      <c r="D647" s="28">
        <v>83.081599999999995</v>
      </c>
      <c r="E647" s="29" t="s">
        <v>25</v>
      </c>
    </row>
    <row r="648" spans="1:5" ht="12.75">
      <c r="A648" s="27">
        <v>46185</v>
      </c>
      <c r="B648" s="28">
        <v>1</v>
      </c>
      <c r="C648" s="29" t="s">
        <v>24</v>
      </c>
      <c r="D648" s="28">
        <v>82.974299999999999</v>
      </c>
      <c r="E648" s="29" t="s">
        <v>25</v>
      </c>
    </row>
    <row r="649" spans="1:5" ht="12.75">
      <c r="A649" s="27">
        <v>46186</v>
      </c>
      <c r="B649" s="28">
        <v>1</v>
      </c>
      <c r="C649" s="29" t="s">
        <v>24</v>
      </c>
      <c r="D649" s="28">
        <v>82.974299999999999</v>
      </c>
      <c r="E649" s="29" t="s">
        <v>25</v>
      </c>
    </row>
    <row r="650" spans="1:5" ht="12.75">
      <c r="A650" s="27">
        <v>46187</v>
      </c>
      <c r="B650" s="28">
        <v>1</v>
      </c>
      <c r="C650" s="29" t="s">
        <v>24</v>
      </c>
      <c r="D650" s="28">
        <v>82.974299999999999</v>
      </c>
      <c r="E650" s="29" t="s">
        <v>25</v>
      </c>
    </row>
    <row r="651" spans="1:5" ht="12.75">
      <c r="A651" s="27">
        <v>46188</v>
      </c>
      <c r="B651" s="28">
        <v>1</v>
      </c>
      <c r="C651" s="29" t="s">
        <v>24</v>
      </c>
      <c r="D651" s="28">
        <v>82.974299999999999</v>
      </c>
      <c r="E651" s="29" t="s">
        <v>25</v>
      </c>
    </row>
    <row r="652" spans="1:5" ht="12.75">
      <c r="A652" s="27">
        <v>46189</v>
      </c>
      <c r="B652" s="28">
        <v>1</v>
      </c>
      <c r="C652" s="29" t="s">
        <v>24</v>
      </c>
      <c r="D652" s="28">
        <v>83.804400000000001</v>
      </c>
      <c r="E652" s="29" t="s">
        <v>25</v>
      </c>
    </row>
    <row r="653" spans="1:5" ht="12.75">
      <c r="A653" s="27">
        <v>46190</v>
      </c>
      <c r="B653" s="28">
        <v>1</v>
      </c>
      <c r="C653" s="29" t="s">
        <v>24</v>
      </c>
      <c r="D653" s="28">
        <v>83.731499999999997</v>
      </c>
      <c r="E653" s="29" t="s">
        <v>25</v>
      </c>
    </row>
    <row r="654" spans="1:5" ht="12.75">
      <c r="A654" s="27">
        <v>46191</v>
      </c>
      <c r="B654" s="28">
        <v>1</v>
      </c>
      <c r="C654" s="29" t="s">
        <v>24</v>
      </c>
      <c r="D654" s="28">
        <v>84.343900000000005</v>
      </c>
      <c r="E654" s="29" t="s">
        <v>25</v>
      </c>
    </row>
    <row r="655" spans="1:5" ht="12.75">
      <c r="A655" s="27">
        <v>46192</v>
      </c>
      <c r="B655" s="28">
        <v>1</v>
      </c>
      <c r="C655" s="29" t="s">
        <v>24</v>
      </c>
      <c r="D655" s="28">
        <v>85.030500000000004</v>
      </c>
      <c r="E655" s="29" t="s">
        <v>25</v>
      </c>
    </row>
    <row r="656" spans="1:5" ht="12.75">
      <c r="A656" s="27">
        <v>46193</v>
      </c>
      <c r="B656" s="28">
        <v>1</v>
      </c>
      <c r="C656" s="29" t="s">
        <v>24</v>
      </c>
      <c r="D656" s="28">
        <v>84.168400000000005</v>
      </c>
      <c r="E656" s="29" t="s">
        <v>25</v>
      </c>
    </row>
    <row r="657" spans="1:5" ht="12.75">
      <c r="A657" s="27">
        <v>46194</v>
      </c>
      <c r="B657" s="28">
        <v>1</v>
      </c>
      <c r="C657" s="29" t="s">
        <v>24</v>
      </c>
      <c r="D657" s="28">
        <v>84.168400000000005</v>
      </c>
      <c r="E657" s="29" t="s">
        <v>25</v>
      </c>
    </row>
    <row r="658" spans="1:5" ht="12.75">
      <c r="A658" s="27">
        <v>46195</v>
      </c>
      <c r="B658" s="28">
        <v>1</v>
      </c>
      <c r="C658" s="29" t="s">
        <v>24</v>
      </c>
      <c r="D658" s="28">
        <v>84.168400000000005</v>
      </c>
      <c r="E658" s="29" t="s">
        <v>25</v>
      </c>
    </row>
    <row r="659" spans="1:5" ht="12.75">
      <c r="A659" s="27">
        <v>46196</v>
      </c>
      <c r="B659" s="28">
        <v>1</v>
      </c>
      <c r="C659" s="29" t="s">
        <v>24</v>
      </c>
      <c r="D659" s="28">
        <v>84.586299999999994</v>
      </c>
      <c r="E659" s="29" t="s">
        <v>25</v>
      </c>
    </row>
    <row r="660" spans="1:5" ht="12.75">
      <c r="A660" s="27">
        <v>46197</v>
      </c>
      <c r="B660" s="28">
        <v>1</v>
      </c>
      <c r="C660" s="29" t="s">
        <v>24</v>
      </c>
      <c r="D660" s="28">
        <v>85.484700000000004</v>
      </c>
      <c r="E660" s="29" t="s">
        <v>25</v>
      </c>
    </row>
    <row r="661" spans="1:5" ht="12.75">
      <c r="A661" s="27">
        <v>46198</v>
      </c>
      <c r="B661" s="28">
        <v>1</v>
      </c>
      <c r="C661" s="29" t="s">
        <v>24</v>
      </c>
      <c r="D661" s="28">
        <v>85.182299999999998</v>
      </c>
      <c r="E661" s="29" t="s">
        <v>25</v>
      </c>
    </row>
    <row r="662" spans="1:5" ht="12.75">
      <c r="A662" s="27">
        <v>46199</v>
      </c>
      <c r="B662" s="28">
        <v>1</v>
      </c>
      <c r="C662" s="29" t="s">
        <v>24</v>
      </c>
      <c r="D662" s="28">
        <v>85.7697</v>
      </c>
      <c r="E662" s="29" t="s">
        <v>25</v>
      </c>
    </row>
    <row r="663" spans="1:5" ht="12.75">
      <c r="A663" s="27">
        <v>46200</v>
      </c>
      <c r="B663" s="28">
        <v>1</v>
      </c>
      <c r="C663" s="29" t="s">
        <v>24</v>
      </c>
      <c r="D663" s="33">
        <v>87.402699999999996</v>
      </c>
      <c r="E663" s="29" t="s">
        <v>25</v>
      </c>
    </row>
    <row r="664" spans="1:5" ht="12.75">
      <c r="A664" s="27">
        <v>46201</v>
      </c>
      <c r="B664" s="28">
        <v>1</v>
      </c>
      <c r="C664" s="29" t="s">
        <v>24</v>
      </c>
      <c r="D664" s="33">
        <v>87.402699999999996</v>
      </c>
      <c r="E664" s="29" t="s">
        <v>25</v>
      </c>
    </row>
    <row r="665" spans="1:5" ht="12.75">
      <c r="A665" s="27">
        <v>46202</v>
      </c>
      <c r="B665" s="28">
        <v>1</v>
      </c>
      <c r="C665" s="29" t="s">
        <v>24</v>
      </c>
      <c r="D665" s="33">
        <v>87.402699999999996</v>
      </c>
      <c r="E665" s="29" t="s">
        <v>25</v>
      </c>
    </row>
    <row r="666" spans="1:5" ht="12.75">
      <c r="A666" s="27">
        <v>46203</v>
      </c>
      <c r="B666" s="28">
        <v>1</v>
      </c>
      <c r="C666" s="29" t="s">
        <v>24</v>
      </c>
    </row>
    <row r="667" spans="1:5" ht="12.75">
      <c r="A667" s="27">
        <v>46204</v>
      </c>
      <c r="B667" s="28">
        <v>1</v>
      </c>
      <c r="C667" s="29" t="s">
        <v>24</v>
      </c>
    </row>
    <row r="668" spans="1:5" ht="12.75">
      <c r="A668" s="27">
        <v>46205</v>
      </c>
      <c r="B668" s="28">
        <v>1</v>
      </c>
      <c r="C668" s="29" t="s">
        <v>24</v>
      </c>
    </row>
    <row r="669" spans="1:5" ht="12.75">
      <c r="A669" s="27">
        <v>46206</v>
      </c>
      <c r="B669" s="28">
        <v>1</v>
      </c>
      <c r="C669" s="29" t="s">
        <v>24</v>
      </c>
    </row>
    <row r="670" spans="1:5" ht="12.75">
      <c r="A670" s="27">
        <v>46207</v>
      </c>
      <c r="B670" s="28">
        <v>1</v>
      </c>
      <c r="C670" s="29" t="s">
        <v>24</v>
      </c>
    </row>
    <row r="671" spans="1:5" ht="12.75">
      <c r="A671" s="27">
        <v>46208</v>
      </c>
      <c r="B671" s="28">
        <v>1</v>
      </c>
      <c r="C671" s="29" t="s">
        <v>24</v>
      </c>
    </row>
    <row r="672" spans="1:5" ht="12.75">
      <c r="A672" s="27">
        <v>46209</v>
      </c>
      <c r="B672" s="28">
        <v>1</v>
      </c>
      <c r="C672" s="29" t="s">
        <v>24</v>
      </c>
    </row>
    <row r="673" spans="1:3" ht="12.75">
      <c r="A673" s="27">
        <v>46210</v>
      </c>
      <c r="B673" s="28">
        <v>1</v>
      </c>
      <c r="C673" s="29" t="s">
        <v>24</v>
      </c>
    </row>
    <row r="674" spans="1:3" ht="12.75">
      <c r="A674" s="27">
        <v>46211</v>
      </c>
      <c r="B674" s="28">
        <v>1</v>
      </c>
      <c r="C674" s="29" t="s">
        <v>24</v>
      </c>
    </row>
    <row r="675" spans="1:3" ht="12.75">
      <c r="A675" s="27">
        <v>46212</v>
      </c>
    </row>
    <row r="676" spans="1:3" ht="12.75">
      <c r="A676" s="27">
        <v>46213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0"/>
  <sheetViews>
    <sheetView workbookViewId="0">
      <pane xSplit="1" topLeftCell="C1" activePane="topRight" state="frozen"/>
      <selection pane="topRight" activeCell="C2" sqref="C2"/>
    </sheetView>
  </sheetViews>
  <sheetFormatPr defaultColWidth="12.5703125" defaultRowHeight="15.75" customHeight="1"/>
  <cols>
    <col min="1" max="1" width="38.7109375" customWidth="1"/>
    <col min="2" max="2" width="15.5703125" customWidth="1"/>
  </cols>
  <sheetData>
    <row r="1" spans="1:34" ht="12.75">
      <c r="A1" s="34" t="s">
        <v>26</v>
      </c>
      <c r="B1" s="35" t="s">
        <v>27</v>
      </c>
      <c r="C1" s="35" t="s">
        <v>28</v>
      </c>
      <c r="D1" s="36" t="s">
        <v>29</v>
      </c>
      <c r="E1" s="35" t="s">
        <v>30</v>
      </c>
      <c r="F1" s="36" t="s">
        <v>31</v>
      </c>
      <c r="G1" s="36" t="s">
        <v>32</v>
      </c>
      <c r="H1" s="36" t="s">
        <v>33</v>
      </c>
      <c r="I1" s="35" t="s">
        <v>34</v>
      </c>
      <c r="J1" s="35" t="s">
        <v>35</v>
      </c>
      <c r="K1" s="35" t="s">
        <v>36</v>
      </c>
      <c r="L1" s="35" t="s">
        <v>37</v>
      </c>
      <c r="M1" s="35" t="s">
        <v>38</v>
      </c>
      <c r="N1" s="35" t="s">
        <v>39</v>
      </c>
      <c r="O1" s="35" t="s">
        <v>40</v>
      </c>
      <c r="P1" s="35" t="s">
        <v>41</v>
      </c>
      <c r="Q1" s="35" t="s">
        <v>42</v>
      </c>
      <c r="R1" s="35" t="s">
        <v>43</v>
      </c>
      <c r="S1" s="35" t="s">
        <v>44</v>
      </c>
      <c r="T1" s="35" t="s">
        <v>45</v>
      </c>
      <c r="U1" s="37" t="s">
        <v>46</v>
      </c>
      <c r="V1" s="37" t="s">
        <v>47</v>
      </c>
      <c r="W1" s="37" t="s">
        <v>48</v>
      </c>
      <c r="X1" s="37" t="s">
        <v>49</v>
      </c>
      <c r="Y1" s="38"/>
      <c r="Z1" s="38"/>
      <c r="AA1" s="38"/>
      <c r="AB1" s="38"/>
      <c r="AC1" s="38"/>
      <c r="AD1" s="38"/>
      <c r="AE1" s="38"/>
      <c r="AF1" s="38"/>
      <c r="AG1" s="38"/>
      <c r="AH1" s="38"/>
    </row>
    <row r="2" spans="1:34" ht="12.75">
      <c r="A2" s="39" t="s">
        <v>50</v>
      </c>
      <c r="B2" s="40">
        <f>IFERROR(AVERAGEIFS('сентябрь 2024- июнь 2026'!$K:$K,'сентябрь 2024- июнь 2026'!$E:$E,$A:$A),"-")</f>
        <v>1.9593442622950794</v>
      </c>
      <c r="C2" s="40" t="str">
        <f>IFERROR(AVERAGEIFS(#REF!,#REF!,$A:$A),"-")</f>
        <v>-</v>
      </c>
      <c r="D2" s="40" t="str">
        <f>IFERROR(AVERAGEIFS(#REF!,#REF!,$A:$A),"-")</f>
        <v>-</v>
      </c>
      <c r="E2" s="40" t="str">
        <f>IFERROR(AVERAGEIFS(#REF!,#REF!,$A:$A),"-")</f>
        <v>-</v>
      </c>
      <c r="F2" s="40" t="str">
        <f>IFERROR(AVERAGEIFS(#REF!,#REF!,$A:$A),"-")</f>
        <v>-</v>
      </c>
      <c r="G2" s="40" t="str">
        <f>IFERROR(AVERAGEIFS(#REF!,#REF!,A:A),"-")</f>
        <v>-</v>
      </c>
      <c r="H2" s="40" t="str">
        <f>IFERROR(AVERAGEIFS(#REF!,#REF!,$A:$A),"-")</f>
        <v>-</v>
      </c>
      <c r="I2" s="40" t="str">
        <f>IFERROR(AVERAGEIFS(#REF!,#REF!,$A:$A),"-")</f>
        <v>-</v>
      </c>
      <c r="J2" s="40" t="str">
        <f>IFERROR(AVERAGEIFS(#REF!,#REF!,$A:$A),"-")</f>
        <v>-</v>
      </c>
      <c r="K2" s="40" t="str">
        <f>IFERROR(AVERAGEIFS(#REF!,#REF!,$A:$A),"-")</f>
        <v>-</v>
      </c>
      <c r="L2" s="40" t="str">
        <f>IFERROR(AVERAGEIFS(#REF!,#REF!,$A:$A),"-")</f>
        <v>-</v>
      </c>
      <c r="M2" s="40" t="str">
        <f>IFERROR(AVERAGEIFS(#REF!,#REF!,$A:$A),"-")</f>
        <v>-</v>
      </c>
      <c r="N2" s="40" t="str">
        <f>IFERROR(AVERAGEIFS(#REF!,#REF!,$A:$A),"-")</f>
        <v>-</v>
      </c>
      <c r="O2" s="40" t="str">
        <f>IFERROR(AVERAGEIFS(#REF!,#REF!,$A:$A),"-")</f>
        <v>-</v>
      </c>
      <c r="P2" s="40" t="str">
        <f>IFERROR(AVERAGEIFS(#REF!,#REF!,$A:$A),"-")</f>
        <v>-</v>
      </c>
      <c r="Q2" s="40" t="str">
        <f>IFERROR(AVERAGEIFS(#REF!,#REF!,$A:$A),"-")</f>
        <v>-</v>
      </c>
      <c r="R2" s="40" t="str">
        <f>IFERROR(AVERAGEIFS(#REF!,#REF!,$A:$A),"-")</f>
        <v>-</v>
      </c>
      <c r="S2" s="40" t="str">
        <f>IFERROR(AVERAGEIFS(#REF!,#REF!,$A:$A),"-")</f>
        <v>-</v>
      </c>
      <c r="T2" s="40" t="str">
        <f>IFERROR(AVERAGEIFS(#REF!,#REF!,$A:$A),"-")</f>
        <v>-</v>
      </c>
      <c r="U2" s="40" t="str">
        <f>IFERROR(AVERAGEIFS(#REF!,#REF!,$A:$A),"-")</f>
        <v>-</v>
      </c>
      <c r="V2" s="40" t="str">
        <f>IFERROR(AVERAGEIFS(#REF!,#REF!,$A:$A),"-")</f>
        <v>-</v>
      </c>
      <c r="W2" s="40" t="str">
        <f t="shared" ref="W2:W109" si="0">IFERROR(AVERAGEIFS(#REF!,#REF!,$A:$A),"-")</f>
        <v>-</v>
      </c>
      <c r="X2" s="40" t="str">
        <f t="shared" ref="X2:X109" si="1">IFERROR(AVERAGEIFS('[1]Июль 2026'!$K:$K,'[1]Июль 2026'!$E:$E,$A:$A),"-")</f>
        <v>-</v>
      </c>
      <c r="Y2" s="39"/>
      <c r="Z2" s="39"/>
      <c r="AA2" s="39"/>
      <c r="AB2" s="39"/>
      <c r="AC2" s="39"/>
      <c r="AD2" s="39"/>
      <c r="AE2" s="39"/>
      <c r="AF2" s="39"/>
      <c r="AG2" s="39"/>
      <c r="AH2" s="39"/>
    </row>
    <row r="3" spans="1:34" ht="12.75">
      <c r="A3" s="39" t="s">
        <v>15</v>
      </c>
      <c r="B3" s="40">
        <f>IFERROR(AVERAGEIFS('сентябрь 2024- июнь 2026'!$K:$K,'сентябрь 2024- июнь 2026'!$E:$E,$A:$A),"-")</f>
        <v>3.5854980079681313</v>
      </c>
      <c r="C3" s="40" t="str">
        <f>IFERROR(AVERAGEIFS(#REF!,#REF!,$A:$A),"-")</f>
        <v>-</v>
      </c>
      <c r="D3" s="40" t="str">
        <f>IFERROR(AVERAGEIFS(#REF!,#REF!,$A:$A),"-")</f>
        <v>-</v>
      </c>
      <c r="E3" s="40" t="str">
        <f>IFERROR(AVERAGEIFS(#REF!,#REF!,$A:$A),"-")</f>
        <v>-</v>
      </c>
      <c r="F3" s="40" t="str">
        <f>IFERROR(AVERAGEIFS(#REF!,#REF!,$A:$A),"-")</f>
        <v>-</v>
      </c>
      <c r="G3" s="40" t="str">
        <f>IFERROR(AVERAGEIFS(#REF!,#REF!,A:A),"-")</f>
        <v>-</v>
      </c>
      <c r="H3" s="40" t="str">
        <f>IFERROR(AVERAGEIFS(#REF!,#REF!,$A:$A),"-")</f>
        <v>-</v>
      </c>
      <c r="I3" s="40" t="str">
        <f>IFERROR(AVERAGEIFS(#REF!,#REF!,$A:$A),"-")</f>
        <v>-</v>
      </c>
      <c r="J3" s="40" t="str">
        <f>IFERROR(AVERAGEIFS(#REF!,#REF!,$A:$A),"-")</f>
        <v>-</v>
      </c>
      <c r="K3" s="40" t="str">
        <f>IFERROR(AVERAGEIFS(#REF!,#REF!,$A:$A),"-")</f>
        <v>-</v>
      </c>
      <c r="L3" s="40" t="str">
        <f>IFERROR(AVERAGEIFS(#REF!,#REF!,$A:$A),"-")</f>
        <v>-</v>
      </c>
      <c r="M3" s="40" t="str">
        <f>IFERROR(AVERAGEIFS(#REF!,#REF!,$A:$A),"-")</f>
        <v>-</v>
      </c>
      <c r="N3" s="40" t="str">
        <f>IFERROR(AVERAGEIFS(#REF!,#REF!,$A:$A),"-")</f>
        <v>-</v>
      </c>
      <c r="O3" s="40" t="str">
        <f>IFERROR(AVERAGEIFS(#REF!,#REF!,$A:$A),"-")</f>
        <v>-</v>
      </c>
      <c r="P3" s="40" t="str">
        <f>IFERROR(AVERAGEIFS(#REF!,#REF!,$A:$A),"-")</f>
        <v>-</v>
      </c>
      <c r="Q3" s="40" t="str">
        <f>IFERROR(AVERAGEIFS(#REF!,#REF!,$A:$A),"-")</f>
        <v>-</v>
      </c>
      <c r="R3" s="40" t="str">
        <f>IFERROR(AVERAGEIFS(#REF!,#REF!,$A:$A),"-")</f>
        <v>-</v>
      </c>
      <c r="S3" s="40" t="str">
        <f>IFERROR(AVERAGEIFS(#REF!,#REF!,$A:$A),"-")</f>
        <v>-</v>
      </c>
      <c r="T3" s="40" t="str">
        <f>IFERROR(AVERAGEIFS(#REF!,#REF!,$A:$A),"-")</f>
        <v>-</v>
      </c>
      <c r="U3" s="40" t="str">
        <f>IFERROR(AVERAGEIFS(#REF!,#REF!,$A:$A),"-")</f>
        <v>-</v>
      </c>
      <c r="V3" s="40" t="str">
        <f>IFERROR(AVERAGEIFS(#REF!,#REF!,$A:$A),"-")</f>
        <v>-</v>
      </c>
      <c r="W3" s="40" t="str">
        <f t="shared" si="0"/>
        <v>-</v>
      </c>
      <c r="X3" s="40" t="str">
        <f t="shared" si="1"/>
        <v>-</v>
      </c>
      <c r="Y3" s="39"/>
      <c r="Z3" s="39"/>
      <c r="AA3" s="39"/>
      <c r="AB3" s="39"/>
      <c r="AC3" s="39"/>
      <c r="AD3" s="39"/>
      <c r="AE3" s="39"/>
      <c r="AF3" s="39"/>
      <c r="AG3" s="39"/>
      <c r="AH3" s="39"/>
    </row>
    <row r="4" spans="1:34" ht="15" customHeight="1">
      <c r="A4" s="39" t="s">
        <v>51</v>
      </c>
      <c r="B4" s="40">
        <f>IFERROR(AVERAGEIFS('сентябрь 2024- июнь 2026'!$K:$K,'сентябрь 2024- июнь 2026'!$E:$E,$A:$A),"-")</f>
        <v>1.9477290836653438</v>
      </c>
      <c r="C4" s="40" t="str">
        <f>IFERROR(AVERAGEIFS(#REF!,#REF!,$A:$A),"-")</f>
        <v>-</v>
      </c>
      <c r="D4" s="40" t="str">
        <f>IFERROR(AVERAGEIFS(#REF!,#REF!,$A:$A),"-")</f>
        <v>-</v>
      </c>
      <c r="E4" s="40" t="str">
        <f>IFERROR(AVERAGEIFS(#REF!,#REF!,$A:$A),"-")</f>
        <v>-</v>
      </c>
      <c r="F4" s="40" t="str">
        <f>IFERROR(AVERAGEIFS(#REF!,#REF!,$A:$A),"-")</f>
        <v>-</v>
      </c>
      <c r="G4" s="40" t="str">
        <f>IFERROR(AVERAGEIFS(#REF!,#REF!,A:A),"-")</f>
        <v>-</v>
      </c>
      <c r="H4" s="40" t="str">
        <f>IFERROR(AVERAGEIFS(#REF!,#REF!,$A:$A),"-")</f>
        <v>-</v>
      </c>
      <c r="I4" s="40" t="str">
        <f>IFERROR(AVERAGEIFS(#REF!,#REF!,$A:$A),"-")</f>
        <v>-</v>
      </c>
      <c r="J4" s="40" t="str">
        <f>IFERROR(AVERAGEIFS(#REF!,#REF!,$A:$A),"-")</f>
        <v>-</v>
      </c>
      <c r="K4" s="40" t="str">
        <f>IFERROR(AVERAGEIFS(#REF!,#REF!,$A:$A),"-")</f>
        <v>-</v>
      </c>
      <c r="L4" s="40" t="str">
        <f>IFERROR(AVERAGEIFS(#REF!,#REF!,$A:$A),"-")</f>
        <v>-</v>
      </c>
      <c r="M4" s="40" t="str">
        <f>IFERROR(AVERAGEIFS(#REF!,#REF!,$A:$A),"-")</f>
        <v>-</v>
      </c>
      <c r="N4" s="40" t="str">
        <f>IFERROR(AVERAGEIFS(#REF!,#REF!,$A:$A),"-")</f>
        <v>-</v>
      </c>
      <c r="O4" s="40" t="str">
        <f>IFERROR(AVERAGEIFS(#REF!,#REF!,$A:$A),"-")</f>
        <v>-</v>
      </c>
      <c r="P4" s="40" t="str">
        <f>IFERROR(AVERAGEIFS(#REF!,#REF!,$A:$A),"-")</f>
        <v>-</v>
      </c>
      <c r="Q4" s="40" t="str">
        <f>IFERROR(AVERAGEIFS(#REF!,#REF!,$A:$A),"-")</f>
        <v>-</v>
      </c>
      <c r="R4" s="40" t="str">
        <f>IFERROR(AVERAGEIFS(#REF!,#REF!,$A:$A),"-")</f>
        <v>-</v>
      </c>
      <c r="S4" s="40" t="str">
        <f>IFERROR(AVERAGEIFS(#REF!,#REF!,$A:$A),"-")</f>
        <v>-</v>
      </c>
      <c r="T4" s="40" t="str">
        <f>IFERROR(AVERAGEIFS(#REF!,#REF!,$A:$A),"-")</f>
        <v>-</v>
      </c>
      <c r="U4" s="40" t="str">
        <f>IFERROR(AVERAGEIFS(#REF!,#REF!,$A:$A),"-")</f>
        <v>-</v>
      </c>
      <c r="V4" s="40" t="str">
        <f>IFERROR(AVERAGEIFS(#REF!,#REF!,$A:$A),"-")</f>
        <v>-</v>
      </c>
      <c r="W4" s="40" t="str">
        <f t="shared" si="0"/>
        <v>-</v>
      </c>
      <c r="X4" s="40" t="str">
        <f t="shared" si="1"/>
        <v>-</v>
      </c>
      <c r="Y4" s="39"/>
      <c r="Z4" s="39"/>
      <c r="AA4" s="39"/>
      <c r="AB4" s="39"/>
      <c r="AC4" s="39"/>
      <c r="AD4" s="39"/>
      <c r="AE4" s="39"/>
      <c r="AF4" s="39"/>
      <c r="AG4" s="39"/>
      <c r="AH4" s="39"/>
    </row>
    <row r="5" spans="1:34" ht="12.75">
      <c r="A5" s="39" t="s">
        <v>52</v>
      </c>
      <c r="B5" s="40">
        <f>IFERROR(AVERAGEIFS('сентябрь 2024- июнь 2026'!$K:$K,'сентябрь 2024- июнь 2026'!$E:$E,$A:$A),"-")</f>
        <v>2.7052941176470595</v>
      </c>
      <c r="C5" s="40" t="str">
        <f>IFERROR(AVERAGEIFS(#REF!,#REF!,$A:$A),"-")</f>
        <v>-</v>
      </c>
      <c r="D5" s="40" t="str">
        <f>IFERROR(AVERAGEIFS(#REF!,#REF!,$A:$A),"-")</f>
        <v>-</v>
      </c>
      <c r="E5" s="40" t="str">
        <f>IFERROR(AVERAGEIFS(#REF!,#REF!,$A:$A),"-")</f>
        <v>-</v>
      </c>
      <c r="F5" s="40" t="str">
        <f>IFERROR(AVERAGEIFS(#REF!,#REF!,$A:$A),"-")</f>
        <v>-</v>
      </c>
      <c r="G5" s="40" t="str">
        <f>IFERROR(AVERAGEIFS(#REF!,#REF!,A:A),"-")</f>
        <v>-</v>
      </c>
      <c r="H5" s="40" t="str">
        <f>IFERROR(AVERAGEIFS(#REF!,#REF!,$A:$A),"-")</f>
        <v>-</v>
      </c>
      <c r="I5" s="40" t="str">
        <f>IFERROR(AVERAGEIFS(#REF!,#REF!,$A:$A),"-")</f>
        <v>-</v>
      </c>
      <c r="J5" s="40" t="str">
        <f>IFERROR(AVERAGEIFS(#REF!,#REF!,$A:$A),"-")</f>
        <v>-</v>
      </c>
      <c r="K5" s="40" t="str">
        <f>IFERROR(AVERAGEIFS(#REF!,#REF!,$A:$A),"-")</f>
        <v>-</v>
      </c>
      <c r="L5" s="40" t="str">
        <f>IFERROR(AVERAGEIFS(#REF!,#REF!,$A:$A),"-")</f>
        <v>-</v>
      </c>
      <c r="M5" s="40" t="str">
        <f>IFERROR(AVERAGEIFS(#REF!,#REF!,$A:$A),"-")</f>
        <v>-</v>
      </c>
      <c r="N5" s="40" t="str">
        <f>IFERROR(AVERAGEIFS(#REF!,#REF!,$A:$A),"-")</f>
        <v>-</v>
      </c>
      <c r="O5" s="40" t="str">
        <f>IFERROR(AVERAGEIFS(#REF!,#REF!,$A:$A),"-")</f>
        <v>-</v>
      </c>
      <c r="P5" s="40" t="str">
        <f>IFERROR(AVERAGEIFS(#REF!,#REF!,$A:$A),"-")</f>
        <v>-</v>
      </c>
      <c r="Q5" s="40" t="str">
        <f>IFERROR(AVERAGEIFS(#REF!,#REF!,$A:$A),"-")</f>
        <v>-</v>
      </c>
      <c r="R5" s="40" t="str">
        <f>IFERROR(AVERAGEIFS(#REF!,#REF!,$A:$A),"-")</f>
        <v>-</v>
      </c>
      <c r="S5" s="40" t="str">
        <f>IFERROR(AVERAGEIFS(#REF!,#REF!,$A:$A),"-")</f>
        <v>-</v>
      </c>
      <c r="T5" s="40" t="str">
        <f>IFERROR(AVERAGEIFS(#REF!,#REF!,$A:$A),"-")</f>
        <v>-</v>
      </c>
      <c r="U5" s="40" t="str">
        <f>IFERROR(AVERAGEIFS(#REF!,#REF!,$A:$A),"-")</f>
        <v>-</v>
      </c>
      <c r="V5" s="40" t="str">
        <f>IFERROR(AVERAGEIFS(#REF!,#REF!,$A:$A),"-")</f>
        <v>-</v>
      </c>
      <c r="W5" s="40" t="str">
        <f t="shared" si="0"/>
        <v>-</v>
      </c>
      <c r="X5" s="40" t="str">
        <f t="shared" si="1"/>
        <v>-</v>
      </c>
      <c r="Y5" s="39"/>
      <c r="Z5" s="39"/>
      <c r="AA5" s="39"/>
      <c r="AB5" s="39"/>
      <c r="AC5" s="39"/>
      <c r="AD5" s="39"/>
      <c r="AE5" s="39"/>
      <c r="AF5" s="39"/>
      <c r="AG5" s="39"/>
      <c r="AH5" s="39"/>
    </row>
    <row r="6" spans="1:34" ht="12.75">
      <c r="A6" s="39" t="s">
        <v>53</v>
      </c>
      <c r="B6" s="40">
        <f>IFERROR(AVERAGEIFS('сентябрь 2024- июнь 2026'!$K:$K,'сентябрь 2024- июнь 2026'!$E:$E,$A:$A),"-")</f>
        <v>3.2712500000000002</v>
      </c>
      <c r="C6" s="40" t="str">
        <f>IFERROR(AVERAGEIFS(#REF!,#REF!,$A:$A),"-")</f>
        <v>-</v>
      </c>
      <c r="D6" s="40" t="str">
        <f>IFERROR(AVERAGEIFS(#REF!,#REF!,$A:$A),"-")</f>
        <v>-</v>
      </c>
      <c r="E6" s="40" t="str">
        <f>IFERROR(AVERAGEIFS(#REF!,#REF!,$A:$A),"-")</f>
        <v>-</v>
      </c>
      <c r="F6" s="40" t="str">
        <f>IFERROR(AVERAGEIFS(#REF!,#REF!,$A:$A),"-")</f>
        <v>-</v>
      </c>
      <c r="G6" s="40" t="str">
        <f>IFERROR(AVERAGEIFS(#REF!,#REF!,A:A),"-")</f>
        <v>-</v>
      </c>
      <c r="H6" s="40" t="str">
        <f>IFERROR(AVERAGEIFS(#REF!,#REF!,$A:$A),"-")</f>
        <v>-</v>
      </c>
      <c r="I6" s="40" t="str">
        <f>IFERROR(AVERAGEIFS(#REF!,#REF!,$A:$A),"-")</f>
        <v>-</v>
      </c>
      <c r="J6" s="40" t="str">
        <f>IFERROR(AVERAGEIFS(#REF!,#REF!,$A:$A),"-")</f>
        <v>-</v>
      </c>
      <c r="K6" s="40" t="str">
        <f>IFERROR(AVERAGEIFS(#REF!,#REF!,$A:$A),"-")</f>
        <v>-</v>
      </c>
      <c r="L6" s="40" t="str">
        <f>IFERROR(AVERAGEIFS(#REF!,#REF!,$A:$A),"-")</f>
        <v>-</v>
      </c>
      <c r="M6" s="40" t="str">
        <f>IFERROR(AVERAGEIFS(#REF!,#REF!,$A:$A),"-")</f>
        <v>-</v>
      </c>
      <c r="N6" s="40" t="str">
        <f>IFERROR(AVERAGEIFS(#REF!,#REF!,$A:$A),"-")</f>
        <v>-</v>
      </c>
      <c r="O6" s="40" t="str">
        <f>IFERROR(AVERAGEIFS(#REF!,#REF!,$A:$A),"-")</f>
        <v>-</v>
      </c>
      <c r="P6" s="40" t="str">
        <f>IFERROR(AVERAGEIFS(#REF!,#REF!,$A:$A),"-")</f>
        <v>-</v>
      </c>
      <c r="Q6" s="40" t="str">
        <f>IFERROR(AVERAGEIFS(#REF!,#REF!,$A:$A),"-")</f>
        <v>-</v>
      </c>
      <c r="R6" s="40" t="str">
        <f>IFERROR(AVERAGEIFS(#REF!,#REF!,$A:$A),"-")</f>
        <v>-</v>
      </c>
      <c r="S6" s="40" t="str">
        <f>IFERROR(AVERAGEIFS(#REF!,#REF!,$A:$A),"-")</f>
        <v>-</v>
      </c>
      <c r="T6" s="40" t="str">
        <f>IFERROR(AVERAGEIFS(#REF!,#REF!,$A:$A),"-")</f>
        <v>-</v>
      </c>
      <c r="U6" s="40" t="str">
        <f>IFERROR(AVERAGEIFS(#REF!,#REF!,$A:$A),"-")</f>
        <v>-</v>
      </c>
      <c r="V6" s="40" t="str">
        <f>IFERROR(AVERAGEIFS(#REF!,#REF!,$A:$A),"-")</f>
        <v>-</v>
      </c>
      <c r="W6" s="40" t="str">
        <f t="shared" si="0"/>
        <v>-</v>
      </c>
      <c r="X6" s="40" t="str">
        <f t="shared" si="1"/>
        <v>-</v>
      </c>
      <c r="Y6" s="39"/>
      <c r="Z6" s="39"/>
      <c r="AA6" s="39"/>
      <c r="AB6" s="39"/>
      <c r="AC6" s="39"/>
      <c r="AD6" s="39"/>
      <c r="AE6" s="39"/>
      <c r="AF6" s="39"/>
      <c r="AG6" s="39"/>
      <c r="AH6" s="39"/>
    </row>
    <row r="7" spans="1:34" ht="12.75">
      <c r="A7" s="39" t="s">
        <v>54</v>
      </c>
      <c r="B7" s="40">
        <f>IFERROR(AVERAGEIFS('сентябрь 2024- июнь 2026'!$K:$K,'сентябрь 2024- июнь 2026'!$E:$E,$A:$A),"-")</f>
        <v>2.7321739130434781</v>
      </c>
      <c r="C7" s="40" t="str">
        <f>IFERROR(AVERAGEIFS(#REF!,#REF!,$A:$A),"-")</f>
        <v>-</v>
      </c>
      <c r="D7" s="40" t="str">
        <f>IFERROR(AVERAGEIFS(#REF!,#REF!,$A:$A),"-")</f>
        <v>-</v>
      </c>
      <c r="E7" s="40" t="str">
        <f>IFERROR(AVERAGEIFS(#REF!,#REF!,$A:$A),"-")</f>
        <v>-</v>
      </c>
      <c r="F7" s="40" t="str">
        <f>IFERROR(AVERAGEIFS(#REF!,#REF!,$A:$A),"-")</f>
        <v>-</v>
      </c>
      <c r="G7" s="40" t="str">
        <f>IFERROR(AVERAGEIFS(#REF!,#REF!,A:A),"-")</f>
        <v>-</v>
      </c>
      <c r="H7" s="40" t="str">
        <f>IFERROR(AVERAGEIFS(#REF!,#REF!,$A:$A),"-")</f>
        <v>-</v>
      </c>
      <c r="I7" s="40" t="str">
        <f>IFERROR(AVERAGEIFS(#REF!,#REF!,$A:$A),"-")</f>
        <v>-</v>
      </c>
      <c r="J7" s="40" t="str">
        <f>IFERROR(AVERAGEIFS(#REF!,#REF!,$A:$A),"-")</f>
        <v>-</v>
      </c>
      <c r="K7" s="40" t="str">
        <f>IFERROR(AVERAGEIFS(#REF!,#REF!,$A:$A),"-")</f>
        <v>-</v>
      </c>
      <c r="L7" s="40" t="str">
        <f>IFERROR(AVERAGEIFS(#REF!,#REF!,$A:$A),"-")</f>
        <v>-</v>
      </c>
      <c r="M7" s="40" t="str">
        <f>IFERROR(AVERAGEIFS(#REF!,#REF!,$A:$A),"-")</f>
        <v>-</v>
      </c>
      <c r="N7" s="40" t="str">
        <f>IFERROR(AVERAGEIFS(#REF!,#REF!,$A:$A),"-")</f>
        <v>-</v>
      </c>
      <c r="O7" s="40" t="str">
        <f>IFERROR(AVERAGEIFS(#REF!,#REF!,$A:$A),"-")</f>
        <v>-</v>
      </c>
      <c r="P7" s="40" t="str">
        <f>IFERROR(AVERAGEIFS(#REF!,#REF!,$A:$A),"-")</f>
        <v>-</v>
      </c>
      <c r="Q7" s="40" t="str">
        <f>IFERROR(AVERAGEIFS(#REF!,#REF!,$A:$A),"-")</f>
        <v>-</v>
      </c>
      <c r="R7" s="40" t="str">
        <f>IFERROR(AVERAGEIFS(#REF!,#REF!,$A:$A),"-")</f>
        <v>-</v>
      </c>
      <c r="S7" s="40" t="str">
        <f>IFERROR(AVERAGEIFS(#REF!,#REF!,$A:$A),"-")</f>
        <v>-</v>
      </c>
      <c r="T7" s="40" t="str">
        <f>IFERROR(AVERAGEIFS(#REF!,#REF!,$A:$A),"-")</f>
        <v>-</v>
      </c>
      <c r="U7" s="40" t="str">
        <f>IFERROR(AVERAGEIFS(#REF!,#REF!,$A:$A),"-")</f>
        <v>-</v>
      </c>
      <c r="V7" s="40" t="str">
        <f>IFERROR(AVERAGEIFS(#REF!,#REF!,$A:$A),"-")</f>
        <v>-</v>
      </c>
      <c r="W7" s="40" t="str">
        <f t="shared" si="0"/>
        <v>-</v>
      </c>
      <c r="X7" s="40" t="str">
        <f t="shared" si="1"/>
        <v>-</v>
      </c>
      <c r="Y7" s="39"/>
      <c r="Z7" s="39"/>
      <c r="AA7" s="39"/>
      <c r="AB7" s="39"/>
      <c r="AC7" s="39"/>
      <c r="AD7" s="39"/>
      <c r="AE7" s="39"/>
      <c r="AF7" s="39"/>
      <c r="AG7" s="39"/>
      <c r="AH7" s="39"/>
    </row>
    <row r="8" spans="1:34" ht="12.75">
      <c r="A8" s="39" t="s">
        <v>55</v>
      </c>
      <c r="B8" s="40">
        <f>IFERROR(AVERAGEIFS('сентябрь 2024- июнь 2026'!$K:$K,'сентябрь 2024- июнь 2026'!$E:$E,$A:$A),"-")</f>
        <v>2.86</v>
      </c>
      <c r="C8" s="40" t="str">
        <f>IFERROR(AVERAGEIFS(#REF!,#REF!,$A:$A),"-")</f>
        <v>-</v>
      </c>
      <c r="D8" s="40" t="str">
        <f>IFERROR(AVERAGEIFS(#REF!,#REF!,$A:$A),"-")</f>
        <v>-</v>
      </c>
      <c r="E8" s="40" t="str">
        <f>IFERROR(AVERAGEIFS(#REF!,#REF!,$A:$A),"-")</f>
        <v>-</v>
      </c>
      <c r="F8" s="40" t="str">
        <f>IFERROR(AVERAGEIFS(#REF!,#REF!,$A:$A),"-")</f>
        <v>-</v>
      </c>
      <c r="G8" s="40" t="str">
        <f>IFERROR(AVERAGEIFS(#REF!,#REF!,A:A),"-")</f>
        <v>-</v>
      </c>
      <c r="H8" s="40" t="str">
        <f>IFERROR(AVERAGEIFS(#REF!,#REF!,$A:$A),"-")</f>
        <v>-</v>
      </c>
      <c r="I8" s="40" t="str">
        <f>IFERROR(AVERAGEIFS(#REF!,#REF!,$A:$A),"-")</f>
        <v>-</v>
      </c>
      <c r="J8" s="40" t="str">
        <f>IFERROR(AVERAGEIFS(#REF!,#REF!,$A:$A),"-")</f>
        <v>-</v>
      </c>
      <c r="K8" s="40" t="str">
        <f>IFERROR(AVERAGEIFS(#REF!,#REF!,$A:$A),"-")</f>
        <v>-</v>
      </c>
      <c r="L8" s="40" t="str">
        <f>IFERROR(AVERAGEIFS(#REF!,#REF!,$A:$A),"-")</f>
        <v>-</v>
      </c>
      <c r="M8" s="40" t="str">
        <f>IFERROR(AVERAGEIFS(#REF!,#REF!,$A:$A),"-")</f>
        <v>-</v>
      </c>
      <c r="N8" s="40" t="str">
        <f>IFERROR(AVERAGEIFS(#REF!,#REF!,$A:$A),"-")</f>
        <v>-</v>
      </c>
      <c r="O8" s="40" t="str">
        <f>IFERROR(AVERAGEIFS(#REF!,#REF!,$A:$A),"-")</f>
        <v>-</v>
      </c>
      <c r="P8" s="40" t="str">
        <f>IFERROR(AVERAGEIFS(#REF!,#REF!,$A:$A),"-")</f>
        <v>-</v>
      </c>
      <c r="Q8" s="40" t="str">
        <f>IFERROR(AVERAGEIFS(#REF!,#REF!,$A:$A),"-")</f>
        <v>-</v>
      </c>
      <c r="R8" s="40" t="str">
        <f>IFERROR(AVERAGEIFS(#REF!,#REF!,$A:$A),"-")</f>
        <v>-</v>
      </c>
      <c r="S8" s="40" t="str">
        <f>IFERROR(AVERAGEIFS(#REF!,#REF!,$A:$A),"-")</f>
        <v>-</v>
      </c>
      <c r="T8" s="40" t="str">
        <f>IFERROR(AVERAGEIFS(#REF!,#REF!,$A:$A),"-")</f>
        <v>-</v>
      </c>
      <c r="U8" s="40" t="str">
        <f>IFERROR(AVERAGEIFS(#REF!,#REF!,$A:$A),"-")</f>
        <v>-</v>
      </c>
      <c r="V8" s="40" t="str">
        <f>IFERROR(AVERAGEIFS(#REF!,#REF!,$A:$A),"-")</f>
        <v>-</v>
      </c>
      <c r="W8" s="40" t="str">
        <f t="shared" si="0"/>
        <v>-</v>
      </c>
      <c r="X8" s="40" t="str">
        <f t="shared" si="1"/>
        <v>-</v>
      </c>
      <c r="Y8" s="39"/>
      <c r="Z8" s="39"/>
      <c r="AA8" s="39"/>
      <c r="AB8" s="39"/>
      <c r="AC8" s="39"/>
      <c r="AD8" s="39"/>
      <c r="AE8" s="39"/>
      <c r="AF8" s="39"/>
      <c r="AG8" s="39"/>
      <c r="AH8" s="39"/>
    </row>
    <row r="9" spans="1:34" ht="12.75">
      <c r="A9" s="39" t="s">
        <v>56</v>
      </c>
      <c r="B9" s="40">
        <f>IFERROR(AVERAGEIFS('сентябрь 2024- июнь 2026'!$K:$K,'сентябрь 2024- июнь 2026'!$E:$E,$A:$A),"-")</f>
        <v>2.7238333333333338</v>
      </c>
      <c r="C9" s="40" t="str">
        <f>IFERROR(AVERAGEIFS(#REF!,#REF!,$A:$A),"-")</f>
        <v>-</v>
      </c>
      <c r="D9" s="40" t="str">
        <f>IFERROR(AVERAGEIFS(#REF!,#REF!,$A:$A),"-")</f>
        <v>-</v>
      </c>
      <c r="E9" s="40" t="str">
        <f>IFERROR(AVERAGEIFS(#REF!,#REF!,$A:$A),"-")</f>
        <v>-</v>
      </c>
      <c r="F9" s="40" t="str">
        <f>IFERROR(AVERAGEIFS(#REF!,#REF!,$A:$A),"-")</f>
        <v>-</v>
      </c>
      <c r="G9" s="40" t="str">
        <f>IFERROR(AVERAGEIFS(#REF!,#REF!,A:A),"-")</f>
        <v>-</v>
      </c>
      <c r="H9" s="40" t="str">
        <f>IFERROR(AVERAGEIFS(#REF!,#REF!,$A:$A),"-")</f>
        <v>-</v>
      </c>
      <c r="I9" s="40" t="str">
        <f>IFERROR(AVERAGEIFS(#REF!,#REF!,$A:$A),"-")</f>
        <v>-</v>
      </c>
      <c r="J9" s="40" t="str">
        <f>IFERROR(AVERAGEIFS(#REF!,#REF!,$A:$A),"-")</f>
        <v>-</v>
      </c>
      <c r="K9" s="40" t="str">
        <f>IFERROR(AVERAGEIFS(#REF!,#REF!,$A:$A),"-")</f>
        <v>-</v>
      </c>
      <c r="L9" s="40" t="str">
        <f>IFERROR(AVERAGEIFS(#REF!,#REF!,$A:$A),"-")</f>
        <v>-</v>
      </c>
      <c r="M9" s="40" t="str">
        <f>IFERROR(AVERAGEIFS(#REF!,#REF!,$A:$A),"-")</f>
        <v>-</v>
      </c>
      <c r="N9" s="40" t="str">
        <f>IFERROR(AVERAGEIFS(#REF!,#REF!,$A:$A),"-")</f>
        <v>-</v>
      </c>
      <c r="O9" s="40" t="str">
        <f>IFERROR(AVERAGEIFS(#REF!,#REF!,$A:$A),"-")</f>
        <v>-</v>
      </c>
      <c r="P9" s="40" t="str">
        <f>IFERROR(AVERAGEIFS(#REF!,#REF!,$A:$A),"-")</f>
        <v>-</v>
      </c>
      <c r="Q9" s="40" t="str">
        <f>IFERROR(AVERAGEIFS(#REF!,#REF!,$A:$A),"-")</f>
        <v>-</v>
      </c>
      <c r="R9" s="40" t="str">
        <f>IFERROR(AVERAGEIFS(#REF!,#REF!,$A:$A),"-")</f>
        <v>-</v>
      </c>
      <c r="S9" s="40" t="str">
        <f>IFERROR(AVERAGEIFS(#REF!,#REF!,$A:$A),"-")</f>
        <v>-</v>
      </c>
      <c r="T9" s="40" t="str">
        <f>IFERROR(AVERAGEIFS(#REF!,#REF!,$A:$A),"-")</f>
        <v>-</v>
      </c>
      <c r="U9" s="40" t="str">
        <f>IFERROR(AVERAGEIFS(#REF!,#REF!,$A:$A),"-")</f>
        <v>-</v>
      </c>
      <c r="V9" s="40" t="str">
        <f>IFERROR(AVERAGEIFS(#REF!,#REF!,$A:$A),"-")</f>
        <v>-</v>
      </c>
      <c r="W9" s="40" t="str">
        <f t="shared" si="0"/>
        <v>-</v>
      </c>
      <c r="X9" s="40" t="str">
        <f t="shared" si="1"/>
        <v>-</v>
      </c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ht="12.75">
      <c r="A10" s="39" t="s">
        <v>57</v>
      </c>
      <c r="B10" s="40">
        <f>IFERROR(AVERAGEIFS('сентябрь 2024- июнь 2026'!$K:$K,'сентябрь 2024- июнь 2026'!$E:$E,$A:$A),"-")</f>
        <v>3.1417241379310341</v>
      </c>
      <c r="C10" s="40" t="str">
        <f>IFERROR(AVERAGEIFS(#REF!,#REF!,$A:$A),"-")</f>
        <v>-</v>
      </c>
      <c r="D10" s="40" t="str">
        <f>IFERROR(AVERAGEIFS(#REF!,#REF!,$A:$A),"-")</f>
        <v>-</v>
      </c>
      <c r="E10" s="40" t="str">
        <f>IFERROR(AVERAGEIFS(#REF!,#REF!,$A:$A),"-")</f>
        <v>-</v>
      </c>
      <c r="F10" s="40" t="str">
        <f>IFERROR(AVERAGEIFS(#REF!,#REF!,$A:$A),"-")</f>
        <v>-</v>
      </c>
      <c r="G10" s="40" t="str">
        <f>IFERROR(AVERAGEIFS(#REF!,#REF!,A:A),"-")</f>
        <v>-</v>
      </c>
      <c r="H10" s="40" t="str">
        <f>IFERROR(AVERAGEIFS(#REF!,#REF!,$A:$A),"-")</f>
        <v>-</v>
      </c>
      <c r="I10" s="40" t="str">
        <f>IFERROR(AVERAGEIFS(#REF!,#REF!,$A:$A),"-")</f>
        <v>-</v>
      </c>
      <c r="J10" s="40" t="str">
        <f>IFERROR(AVERAGEIFS(#REF!,#REF!,$A:$A),"-")</f>
        <v>-</v>
      </c>
      <c r="K10" s="40" t="str">
        <f>IFERROR(AVERAGEIFS(#REF!,#REF!,$A:$A),"-")</f>
        <v>-</v>
      </c>
      <c r="L10" s="40" t="str">
        <f>IFERROR(AVERAGEIFS(#REF!,#REF!,$A:$A),"-")</f>
        <v>-</v>
      </c>
      <c r="M10" s="40" t="str">
        <f>IFERROR(AVERAGEIFS(#REF!,#REF!,$A:$A),"-")</f>
        <v>-</v>
      </c>
      <c r="N10" s="40" t="str">
        <f>IFERROR(AVERAGEIFS(#REF!,#REF!,$A:$A),"-")</f>
        <v>-</v>
      </c>
      <c r="O10" s="40" t="str">
        <f>IFERROR(AVERAGEIFS(#REF!,#REF!,$A:$A),"-")</f>
        <v>-</v>
      </c>
      <c r="P10" s="40" t="str">
        <f>IFERROR(AVERAGEIFS(#REF!,#REF!,$A:$A),"-")</f>
        <v>-</v>
      </c>
      <c r="Q10" s="40" t="str">
        <f>IFERROR(AVERAGEIFS(#REF!,#REF!,$A:$A),"-")</f>
        <v>-</v>
      </c>
      <c r="R10" s="40" t="str">
        <f>IFERROR(AVERAGEIFS(#REF!,#REF!,$A:$A),"-")</f>
        <v>-</v>
      </c>
      <c r="S10" s="40" t="str">
        <f>IFERROR(AVERAGEIFS(#REF!,#REF!,$A:$A),"-")</f>
        <v>-</v>
      </c>
      <c r="T10" s="40" t="str">
        <f>IFERROR(AVERAGEIFS(#REF!,#REF!,$A:$A),"-")</f>
        <v>-</v>
      </c>
      <c r="U10" s="40" t="str">
        <f>IFERROR(AVERAGEIFS(#REF!,#REF!,$A:$A),"-")</f>
        <v>-</v>
      </c>
      <c r="V10" s="40" t="str">
        <f>IFERROR(AVERAGEIFS(#REF!,#REF!,$A:$A),"-")</f>
        <v>-</v>
      </c>
      <c r="W10" s="40" t="str">
        <f t="shared" si="0"/>
        <v>-</v>
      </c>
      <c r="X10" s="40" t="str">
        <f t="shared" si="1"/>
        <v>-</v>
      </c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ht="12.75">
      <c r="A11" s="39" t="s">
        <v>58</v>
      </c>
      <c r="B11" s="40">
        <f>IFERROR(AVERAGEIFS('сентябрь 2024- июнь 2026'!$K:$K,'сентябрь 2024- июнь 2026'!$E:$E,$A:$A),"-")</f>
        <v>2.7780487804878069</v>
      </c>
      <c r="C11" s="40" t="str">
        <f>IFERROR(AVERAGEIFS(#REF!,#REF!,$A:$A),"-")</f>
        <v>-</v>
      </c>
      <c r="D11" s="40" t="str">
        <f>IFERROR(AVERAGEIFS(#REF!,#REF!,$A:$A),"-")</f>
        <v>-</v>
      </c>
      <c r="E11" s="40" t="str">
        <f>IFERROR(AVERAGEIFS(#REF!,#REF!,$A:$A),"-")</f>
        <v>-</v>
      </c>
      <c r="F11" s="40" t="str">
        <f>IFERROR(AVERAGEIFS(#REF!,#REF!,$A:$A),"-")</f>
        <v>-</v>
      </c>
      <c r="G11" s="40" t="str">
        <f>IFERROR(AVERAGEIFS(#REF!,#REF!,A:A),"-")</f>
        <v>-</v>
      </c>
      <c r="H11" s="40" t="str">
        <f>IFERROR(AVERAGEIFS(#REF!,#REF!,$A:$A),"-")</f>
        <v>-</v>
      </c>
      <c r="I11" s="40" t="str">
        <f>IFERROR(AVERAGEIFS(#REF!,#REF!,$A:$A),"-")</f>
        <v>-</v>
      </c>
      <c r="J11" s="40" t="str">
        <f>IFERROR(AVERAGEIFS(#REF!,#REF!,$A:$A),"-")</f>
        <v>-</v>
      </c>
      <c r="K11" s="40" t="str">
        <f>IFERROR(AVERAGEIFS(#REF!,#REF!,$A:$A),"-")</f>
        <v>-</v>
      </c>
      <c r="L11" s="40" t="str">
        <f>IFERROR(AVERAGEIFS(#REF!,#REF!,$A:$A),"-")</f>
        <v>-</v>
      </c>
      <c r="M11" s="40" t="str">
        <f>IFERROR(AVERAGEIFS(#REF!,#REF!,$A:$A),"-")</f>
        <v>-</v>
      </c>
      <c r="N11" s="40" t="str">
        <f>IFERROR(AVERAGEIFS(#REF!,#REF!,$A:$A),"-")</f>
        <v>-</v>
      </c>
      <c r="O11" s="40" t="str">
        <f>IFERROR(AVERAGEIFS(#REF!,#REF!,$A:$A),"-")</f>
        <v>-</v>
      </c>
      <c r="P11" s="40" t="str">
        <f>IFERROR(AVERAGEIFS(#REF!,#REF!,$A:$A),"-")</f>
        <v>-</v>
      </c>
      <c r="Q11" s="40" t="str">
        <f>IFERROR(AVERAGEIFS(#REF!,#REF!,$A:$A),"-")</f>
        <v>-</v>
      </c>
      <c r="R11" s="40" t="str">
        <f>IFERROR(AVERAGEIFS(#REF!,#REF!,$A:$A),"-")</f>
        <v>-</v>
      </c>
      <c r="S11" s="40" t="str">
        <f>IFERROR(AVERAGEIFS(#REF!,#REF!,$A:$A),"-")</f>
        <v>-</v>
      </c>
      <c r="T11" s="40" t="str">
        <f>IFERROR(AVERAGEIFS(#REF!,#REF!,$A:$A),"-")</f>
        <v>-</v>
      </c>
      <c r="U11" s="40" t="str">
        <f>IFERROR(AVERAGEIFS(#REF!,#REF!,$A:$A),"-")</f>
        <v>-</v>
      </c>
      <c r="V11" s="40" t="str">
        <f>IFERROR(AVERAGEIFS(#REF!,#REF!,$A:$A),"-")</f>
        <v>-</v>
      </c>
      <c r="W11" s="40" t="str">
        <f t="shared" si="0"/>
        <v>-</v>
      </c>
      <c r="X11" s="40" t="str">
        <f t="shared" si="1"/>
        <v>-</v>
      </c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ht="12.75">
      <c r="A12" s="39" t="s">
        <v>59</v>
      </c>
      <c r="B12" s="40">
        <f>IFERROR(AVERAGEIFS('сентябрь 2024- июнь 2026'!$K:$K,'сентябрь 2024- июнь 2026'!$E:$E,$A:$A),"-")</f>
        <v>3.17</v>
      </c>
      <c r="C12" s="40" t="str">
        <f>IFERROR(AVERAGEIFS(#REF!,#REF!,$A:$A),"-")</f>
        <v>-</v>
      </c>
      <c r="D12" s="40" t="str">
        <f>IFERROR(AVERAGEIFS(#REF!,#REF!,$A:$A),"-")</f>
        <v>-</v>
      </c>
      <c r="E12" s="40" t="str">
        <f>IFERROR(AVERAGEIFS(#REF!,#REF!,$A:$A),"-")</f>
        <v>-</v>
      </c>
      <c r="F12" s="40" t="str">
        <f>IFERROR(AVERAGEIFS(#REF!,#REF!,$A:$A),"-")</f>
        <v>-</v>
      </c>
      <c r="G12" s="40" t="str">
        <f>IFERROR(AVERAGEIFS(#REF!,#REF!,A:A),"-")</f>
        <v>-</v>
      </c>
      <c r="H12" s="40" t="str">
        <f>IFERROR(AVERAGEIFS(#REF!,#REF!,$A:$A),"-")</f>
        <v>-</v>
      </c>
      <c r="I12" s="40" t="str">
        <f>IFERROR(AVERAGEIFS(#REF!,#REF!,$A:$A),"-")</f>
        <v>-</v>
      </c>
      <c r="J12" s="40" t="str">
        <f>IFERROR(AVERAGEIFS(#REF!,#REF!,$A:$A),"-")</f>
        <v>-</v>
      </c>
      <c r="K12" s="40" t="str">
        <f>IFERROR(AVERAGEIFS(#REF!,#REF!,$A:$A),"-")</f>
        <v>-</v>
      </c>
      <c r="L12" s="40" t="str">
        <f>IFERROR(AVERAGEIFS(#REF!,#REF!,$A:$A),"-")</f>
        <v>-</v>
      </c>
      <c r="M12" s="40" t="str">
        <f>IFERROR(AVERAGEIFS(#REF!,#REF!,$A:$A),"-")</f>
        <v>-</v>
      </c>
      <c r="N12" s="40" t="str">
        <f>IFERROR(AVERAGEIFS(#REF!,#REF!,$A:$A),"-")</f>
        <v>-</v>
      </c>
      <c r="O12" s="40" t="str">
        <f>IFERROR(AVERAGEIFS(#REF!,#REF!,$A:$A),"-")</f>
        <v>-</v>
      </c>
      <c r="P12" s="40" t="str">
        <f>IFERROR(AVERAGEIFS(#REF!,#REF!,$A:$A),"-")</f>
        <v>-</v>
      </c>
      <c r="Q12" s="40" t="str">
        <f>IFERROR(AVERAGEIFS(#REF!,#REF!,$A:$A),"-")</f>
        <v>-</v>
      </c>
      <c r="R12" s="40" t="str">
        <f>IFERROR(AVERAGEIFS(#REF!,#REF!,$A:$A),"-")</f>
        <v>-</v>
      </c>
      <c r="S12" s="40" t="str">
        <f>IFERROR(AVERAGEIFS(#REF!,#REF!,$A:$A),"-")</f>
        <v>-</v>
      </c>
      <c r="T12" s="40" t="str">
        <f>IFERROR(AVERAGEIFS(#REF!,#REF!,$A:$A),"-")</f>
        <v>-</v>
      </c>
      <c r="U12" s="40" t="str">
        <f>IFERROR(AVERAGEIFS(#REF!,#REF!,$A:$A),"-")</f>
        <v>-</v>
      </c>
      <c r="V12" s="40" t="str">
        <f>IFERROR(AVERAGEIFS(#REF!,#REF!,$A:$A),"-")</f>
        <v>-</v>
      </c>
      <c r="W12" s="40" t="str">
        <f t="shared" si="0"/>
        <v>-</v>
      </c>
      <c r="X12" s="40" t="str">
        <f t="shared" si="1"/>
        <v>-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ht="12.75">
      <c r="A13" s="39" t="s">
        <v>60</v>
      </c>
      <c r="B13" s="40">
        <f>IFERROR(AVERAGEIFS('сентябрь 2024- июнь 2026'!$K:$K,'сентябрь 2024- июнь 2026'!$E:$E,$A:$A),"-")</f>
        <v>2.7523943661971852</v>
      </c>
      <c r="C13" s="40" t="str">
        <f>IFERROR(AVERAGEIFS(#REF!,#REF!,$A:$A),"-")</f>
        <v>-</v>
      </c>
      <c r="D13" s="40" t="str">
        <f>IFERROR(AVERAGEIFS(#REF!,#REF!,$A:$A),"-")</f>
        <v>-</v>
      </c>
      <c r="E13" s="40" t="str">
        <f>IFERROR(AVERAGEIFS(#REF!,#REF!,$A:$A),"-")</f>
        <v>-</v>
      </c>
      <c r="F13" s="40" t="str">
        <f>IFERROR(AVERAGEIFS(#REF!,#REF!,$A:$A),"-")</f>
        <v>-</v>
      </c>
      <c r="G13" s="40" t="str">
        <f>IFERROR(AVERAGEIFS(#REF!,#REF!,A:A),"-")</f>
        <v>-</v>
      </c>
      <c r="H13" s="40" t="str">
        <f>IFERROR(AVERAGEIFS(#REF!,#REF!,$A:$A),"-")</f>
        <v>-</v>
      </c>
      <c r="I13" s="40" t="str">
        <f>IFERROR(AVERAGEIFS(#REF!,#REF!,$A:$A),"-")</f>
        <v>-</v>
      </c>
      <c r="J13" s="40" t="str">
        <f>IFERROR(AVERAGEIFS(#REF!,#REF!,$A:$A),"-")</f>
        <v>-</v>
      </c>
      <c r="K13" s="40" t="str">
        <f>IFERROR(AVERAGEIFS(#REF!,#REF!,$A:$A),"-")</f>
        <v>-</v>
      </c>
      <c r="L13" s="40" t="str">
        <f>IFERROR(AVERAGEIFS(#REF!,#REF!,$A:$A),"-")</f>
        <v>-</v>
      </c>
      <c r="M13" s="40" t="str">
        <f>IFERROR(AVERAGEIFS(#REF!,#REF!,$A:$A),"-")</f>
        <v>-</v>
      </c>
      <c r="N13" s="40" t="str">
        <f>IFERROR(AVERAGEIFS(#REF!,#REF!,$A:$A),"-")</f>
        <v>-</v>
      </c>
      <c r="O13" s="40" t="str">
        <f>IFERROR(AVERAGEIFS(#REF!,#REF!,$A:$A),"-")</f>
        <v>-</v>
      </c>
      <c r="P13" s="40" t="str">
        <f>IFERROR(AVERAGEIFS(#REF!,#REF!,$A:$A),"-")</f>
        <v>-</v>
      </c>
      <c r="Q13" s="40" t="str">
        <f>IFERROR(AVERAGEIFS(#REF!,#REF!,$A:$A),"-")</f>
        <v>-</v>
      </c>
      <c r="R13" s="40" t="str">
        <f>IFERROR(AVERAGEIFS(#REF!,#REF!,$A:$A),"-")</f>
        <v>-</v>
      </c>
      <c r="S13" s="40" t="str">
        <f>IFERROR(AVERAGEIFS(#REF!,#REF!,$A:$A),"-")</f>
        <v>-</v>
      </c>
      <c r="T13" s="40" t="str">
        <f>IFERROR(AVERAGEIFS(#REF!,#REF!,$A:$A),"-")</f>
        <v>-</v>
      </c>
      <c r="U13" s="40" t="str">
        <f>IFERROR(AVERAGEIFS(#REF!,#REF!,$A:$A),"-")</f>
        <v>-</v>
      </c>
      <c r="V13" s="40" t="str">
        <f>IFERROR(AVERAGEIFS(#REF!,#REF!,$A:$A),"-")</f>
        <v>-</v>
      </c>
      <c r="W13" s="40" t="str">
        <f t="shared" si="0"/>
        <v>-</v>
      </c>
      <c r="X13" s="40" t="str">
        <f t="shared" si="1"/>
        <v>-</v>
      </c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ht="12.75">
      <c r="A14" s="39" t="s">
        <v>61</v>
      </c>
      <c r="B14" s="40">
        <f>IFERROR(AVERAGEIFS('сентябрь 2024- июнь 2026'!$K:$K,'сентябрь 2024- июнь 2026'!$E:$E,$A:$A),"-")</f>
        <v>2.4988461538461544</v>
      </c>
      <c r="C14" s="40" t="str">
        <f>IFERROR(AVERAGEIFS(#REF!,#REF!,$A:$A),"-")</f>
        <v>-</v>
      </c>
      <c r="D14" s="40" t="str">
        <f>IFERROR(AVERAGEIFS(#REF!,#REF!,$A:$A),"-")</f>
        <v>-</v>
      </c>
      <c r="E14" s="40" t="str">
        <f>IFERROR(AVERAGEIFS(#REF!,#REF!,$A:$A),"-")</f>
        <v>-</v>
      </c>
      <c r="F14" s="40" t="str">
        <f>IFERROR(AVERAGEIFS(#REF!,#REF!,$A:$A),"-")</f>
        <v>-</v>
      </c>
      <c r="G14" s="40" t="str">
        <f>IFERROR(AVERAGEIFS(#REF!,#REF!,A:A),"-")</f>
        <v>-</v>
      </c>
      <c r="H14" s="40" t="str">
        <f>IFERROR(AVERAGEIFS(#REF!,#REF!,$A:$A),"-")</f>
        <v>-</v>
      </c>
      <c r="I14" s="40" t="str">
        <f>IFERROR(AVERAGEIFS(#REF!,#REF!,$A:$A),"-")</f>
        <v>-</v>
      </c>
      <c r="J14" s="40" t="str">
        <f>IFERROR(AVERAGEIFS(#REF!,#REF!,$A:$A),"-")</f>
        <v>-</v>
      </c>
      <c r="K14" s="40" t="str">
        <f>IFERROR(AVERAGEIFS(#REF!,#REF!,$A:$A),"-")</f>
        <v>-</v>
      </c>
      <c r="L14" s="40" t="str">
        <f>IFERROR(AVERAGEIFS(#REF!,#REF!,$A:$A),"-")</f>
        <v>-</v>
      </c>
      <c r="M14" s="40" t="str">
        <f>IFERROR(AVERAGEIFS(#REF!,#REF!,$A:$A),"-")</f>
        <v>-</v>
      </c>
      <c r="N14" s="40" t="str">
        <f>IFERROR(AVERAGEIFS(#REF!,#REF!,$A:$A),"-")</f>
        <v>-</v>
      </c>
      <c r="O14" s="40" t="str">
        <f>IFERROR(AVERAGEIFS(#REF!,#REF!,$A:$A),"-")</f>
        <v>-</v>
      </c>
      <c r="P14" s="40" t="str">
        <f>IFERROR(AVERAGEIFS(#REF!,#REF!,$A:$A),"-")</f>
        <v>-</v>
      </c>
      <c r="Q14" s="40" t="str">
        <f>IFERROR(AVERAGEIFS(#REF!,#REF!,$A:$A),"-")</f>
        <v>-</v>
      </c>
      <c r="R14" s="40" t="str">
        <f>IFERROR(AVERAGEIFS(#REF!,#REF!,$A:$A),"-")</f>
        <v>-</v>
      </c>
      <c r="S14" s="40" t="str">
        <f>IFERROR(AVERAGEIFS(#REF!,#REF!,$A:$A),"-")</f>
        <v>-</v>
      </c>
      <c r="T14" s="40" t="str">
        <f>IFERROR(AVERAGEIFS(#REF!,#REF!,$A:$A),"-")</f>
        <v>-</v>
      </c>
      <c r="U14" s="40" t="str">
        <f>IFERROR(AVERAGEIFS(#REF!,#REF!,$A:$A),"-")</f>
        <v>-</v>
      </c>
      <c r="V14" s="40" t="str">
        <f>IFERROR(AVERAGEIFS(#REF!,#REF!,$A:$A),"-")</f>
        <v>-</v>
      </c>
      <c r="W14" s="40" t="str">
        <f t="shared" si="0"/>
        <v>-</v>
      </c>
      <c r="X14" s="40" t="str">
        <f t="shared" si="1"/>
        <v>-</v>
      </c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ht="12.75">
      <c r="A15" s="39" t="s">
        <v>62</v>
      </c>
      <c r="B15" s="40">
        <f>IFERROR(AVERAGEIFS('сентябрь 2024- июнь 2026'!$K:$K,'сентябрь 2024- июнь 2026'!$E:$E,$A:$A),"-")</f>
        <v>3.34</v>
      </c>
      <c r="C15" s="40" t="str">
        <f>IFERROR(AVERAGEIFS(#REF!,#REF!,$A:$A),"-")</f>
        <v>-</v>
      </c>
      <c r="D15" s="40" t="str">
        <f>IFERROR(AVERAGEIFS(#REF!,#REF!,$A:$A),"-")</f>
        <v>-</v>
      </c>
      <c r="E15" s="40" t="str">
        <f>IFERROR(AVERAGEIFS(#REF!,#REF!,$A:$A),"-")</f>
        <v>-</v>
      </c>
      <c r="F15" s="40" t="str">
        <f>IFERROR(AVERAGEIFS(#REF!,#REF!,$A:$A),"-")</f>
        <v>-</v>
      </c>
      <c r="G15" s="40" t="str">
        <f>IFERROR(AVERAGEIFS(#REF!,#REF!,A:A),"-")</f>
        <v>-</v>
      </c>
      <c r="H15" s="40" t="str">
        <f>IFERROR(AVERAGEIFS(#REF!,#REF!,$A:$A),"-")</f>
        <v>-</v>
      </c>
      <c r="I15" s="40" t="str">
        <f>IFERROR(AVERAGEIFS(#REF!,#REF!,$A:$A),"-")</f>
        <v>-</v>
      </c>
      <c r="J15" s="40" t="str">
        <f>IFERROR(AVERAGEIFS(#REF!,#REF!,$A:$A),"-")</f>
        <v>-</v>
      </c>
      <c r="K15" s="40" t="str">
        <f>IFERROR(AVERAGEIFS(#REF!,#REF!,$A:$A),"-")</f>
        <v>-</v>
      </c>
      <c r="L15" s="40" t="str">
        <f>IFERROR(AVERAGEIFS(#REF!,#REF!,$A:$A),"-")</f>
        <v>-</v>
      </c>
      <c r="M15" s="40" t="str">
        <f>IFERROR(AVERAGEIFS(#REF!,#REF!,$A:$A),"-")</f>
        <v>-</v>
      </c>
      <c r="N15" s="40" t="str">
        <f>IFERROR(AVERAGEIFS(#REF!,#REF!,$A:$A),"-")</f>
        <v>-</v>
      </c>
      <c r="O15" s="40" t="str">
        <f>IFERROR(AVERAGEIFS(#REF!,#REF!,$A:$A),"-")</f>
        <v>-</v>
      </c>
      <c r="P15" s="40" t="str">
        <f>IFERROR(AVERAGEIFS(#REF!,#REF!,$A:$A),"-")</f>
        <v>-</v>
      </c>
      <c r="Q15" s="40" t="str">
        <f>IFERROR(AVERAGEIFS(#REF!,#REF!,$A:$A),"-")</f>
        <v>-</v>
      </c>
      <c r="R15" s="40" t="str">
        <f>IFERROR(AVERAGEIFS(#REF!,#REF!,$A:$A),"-")</f>
        <v>-</v>
      </c>
      <c r="S15" s="40" t="str">
        <f>IFERROR(AVERAGEIFS(#REF!,#REF!,$A:$A),"-")</f>
        <v>-</v>
      </c>
      <c r="T15" s="40" t="str">
        <f>IFERROR(AVERAGEIFS(#REF!,#REF!,$A:$A),"-")</f>
        <v>-</v>
      </c>
      <c r="U15" s="40" t="str">
        <f>IFERROR(AVERAGEIFS(#REF!,#REF!,$A:$A),"-")</f>
        <v>-</v>
      </c>
      <c r="V15" s="40" t="str">
        <f>IFERROR(AVERAGEIFS(#REF!,#REF!,$A:$A),"-")</f>
        <v>-</v>
      </c>
      <c r="W15" s="40" t="str">
        <f t="shared" si="0"/>
        <v>-</v>
      </c>
      <c r="X15" s="40" t="str">
        <f t="shared" si="1"/>
        <v>-</v>
      </c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ht="12.75">
      <c r="A16" s="39" t="s">
        <v>63</v>
      </c>
      <c r="B16" s="40">
        <f>IFERROR(AVERAGEIFS('сентябрь 2024- июнь 2026'!$K:$K,'сентябрь 2024- июнь 2026'!$E:$E,$A:$A),"-")</f>
        <v>2.9</v>
      </c>
      <c r="C16" s="40" t="str">
        <f>IFERROR(AVERAGEIFS(#REF!,#REF!,$A:$A),"-")</f>
        <v>-</v>
      </c>
      <c r="D16" s="40" t="str">
        <f>IFERROR(AVERAGEIFS(#REF!,#REF!,$A:$A),"-")</f>
        <v>-</v>
      </c>
      <c r="E16" s="40" t="str">
        <f>IFERROR(AVERAGEIFS(#REF!,#REF!,$A:$A),"-")</f>
        <v>-</v>
      </c>
      <c r="F16" s="40" t="str">
        <f>IFERROR(AVERAGEIFS(#REF!,#REF!,$A:$A),"-")</f>
        <v>-</v>
      </c>
      <c r="G16" s="40" t="str">
        <f>IFERROR(AVERAGEIFS(#REF!,#REF!,A:A),"-")</f>
        <v>-</v>
      </c>
      <c r="H16" s="40" t="str">
        <f>IFERROR(AVERAGEIFS(#REF!,#REF!,$A:$A),"-")</f>
        <v>-</v>
      </c>
      <c r="I16" s="40" t="str">
        <f>IFERROR(AVERAGEIFS(#REF!,#REF!,$A:$A),"-")</f>
        <v>-</v>
      </c>
      <c r="J16" s="40" t="str">
        <f>IFERROR(AVERAGEIFS(#REF!,#REF!,$A:$A),"-")</f>
        <v>-</v>
      </c>
      <c r="K16" s="40" t="str">
        <f>IFERROR(AVERAGEIFS(#REF!,#REF!,$A:$A),"-")</f>
        <v>-</v>
      </c>
      <c r="L16" s="40" t="str">
        <f>IFERROR(AVERAGEIFS(#REF!,#REF!,$A:$A),"-")</f>
        <v>-</v>
      </c>
      <c r="M16" s="40" t="str">
        <f>IFERROR(AVERAGEIFS(#REF!,#REF!,$A:$A),"-")</f>
        <v>-</v>
      </c>
      <c r="N16" s="40" t="str">
        <f>IFERROR(AVERAGEIFS(#REF!,#REF!,$A:$A),"-")</f>
        <v>-</v>
      </c>
      <c r="O16" s="40" t="str">
        <f>IFERROR(AVERAGEIFS(#REF!,#REF!,$A:$A),"-")</f>
        <v>-</v>
      </c>
      <c r="P16" s="40" t="str">
        <f>IFERROR(AVERAGEIFS(#REF!,#REF!,$A:$A),"-")</f>
        <v>-</v>
      </c>
      <c r="Q16" s="40" t="str">
        <f>IFERROR(AVERAGEIFS(#REF!,#REF!,$A:$A),"-")</f>
        <v>-</v>
      </c>
      <c r="R16" s="40" t="str">
        <f>IFERROR(AVERAGEIFS(#REF!,#REF!,$A:$A),"-")</f>
        <v>-</v>
      </c>
      <c r="S16" s="40" t="str">
        <f>IFERROR(AVERAGEIFS(#REF!,#REF!,$A:$A),"-")</f>
        <v>-</v>
      </c>
      <c r="T16" s="40" t="str">
        <f>IFERROR(AVERAGEIFS(#REF!,#REF!,$A:$A),"-")</f>
        <v>-</v>
      </c>
      <c r="U16" s="40" t="str">
        <f>IFERROR(AVERAGEIFS(#REF!,#REF!,$A:$A),"-")</f>
        <v>-</v>
      </c>
      <c r="V16" s="40" t="str">
        <f>IFERROR(AVERAGEIFS(#REF!,#REF!,$A:$A),"-")</f>
        <v>-</v>
      </c>
      <c r="W16" s="40" t="str">
        <f t="shared" si="0"/>
        <v>-</v>
      </c>
      <c r="X16" s="40" t="str">
        <f t="shared" si="1"/>
        <v>-</v>
      </c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ht="12.75">
      <c r="A17" s="39" t="s">
        <v>64</v>
      </c>
      <c r="B17" s="40">
        <f>IFERROR(AVERAGEIFS('сентябрь 2024- июнь 2026'!$K:$K,'сентябрь 2024- июнь 2026'!$E:$E,$A:$A),"-")</f>
        <v>2.2987499999999996</v>
      </c>
      <c r="C17" s="40" t="str">
        <f>IFERROR(AVERAGEIFS(#REF!,#REF!,$A:$A),"-")</f>
        <v>-</v>
      </c>
      <c r="D17" s="40" t="str">
        <f>IFERROR(AVERAGEIFS(#REF!,#REF!,$A:$A),"-")</f>
        <v>-</v>
      </c>
      <c r="E17" s="40" t="str">
        <f>IFERROR(AVERAGEIFS(#REF!,#REF!,$A:$A),"-")</f>
        <v>-</v>
      </c>
      <c r="F17" s="40" t="str">
        <f>IFERROR(AVERAGEIFS(#REF!,#REF!,$A:$A),"-")</f>
        <v>-</v>
      </c>
      <c r="G17" s="40" t="str">
        <f>IFERROR(AVERAGEIFS(#REF!,#REF!,A:A),"-")</f>
        <v>-</v>
      </c>
      <c r="H17" s="40" t="str">
        <f>IFERROR(AVERAGEIFS(#REF!,#REF!,$A:$A),"-")</f>
        <v>-</v>
      </c>
      <c r="I17" s="40" t="str">
        <f>IFERROR(AVERAGEIFS(#REF!,#REF!,$A:$A),"-")</f>
        <v>-</v>
      </c>
      <c r="J17" s="40" t="str">
        <f>IFERROR(AVERAGEIFS(#REF!,#REF!,$A:$A),"-")</f>
        <v>-</v>
      </c>
      <c r="K17" s="40" t="str">
        <f>IFERROR(AVERAGEIFS(#REF!,#REF!,$A:$A),"-")</f>
        <v>-</v>
      </c>
      <c r="L17" s="40" t="str">
        <f>IFERROR(AVERAGEIFS(#REF!,#REF!,$A:$A),"-")</f>
        <v>-</v>
      </c>
      <c r="M17" s="40" t="str">
        <f>IFERROR(AVERAGEIFS(#REF!,#REF!,$A:$A),"-")</f>
        <v>-</v>
      </c>
      <c r="N17" s="40" t="str">
        <f>IFERROR(AVERAGEIFS(#REF!,#REF!,$A:$A),"-")</f>
        <v>-</v>
      </c>
      <c r="O17" s="40" t="str">
        <f>IFERROR(AVERAGEIFS(#REF!,#REF!,$A:$A),"-")</f>
        <v>-</v>
      </c>
      <c r="P17" s="40" t="str">
        <f>IFERROR(AVERAGEIFS(#REF!,#REF!,$A:$A),"-")</f>
        <v>-</v>
      </c>
      <c r="Q17" s="40" t="str">
        <f>IFERROR(AVERAGEIFS(#REF!,#REF!,$A:$A),"-")</f>
        <v>-</v>
      </c>
      <c r="R17" s="40" t="str">
        <f>IFERROR(AVERAGEIFS(#REF!,#REF!,$A:$A),"-")</f>
        <v>-</v>
      </c>
      <c r="S17" s="40" t="str">
        <f>IFERROR(AVERAGEIFS(#REF!,#REF!,$A:$A),"-")</f>
        <v>-</v>
      </c>
      <c r="T17" s="40" t="str">
        <f>IFERROR(AVERAGEIFS(#REF!,#REF!,$A:$A),"-")</f>
        <v>-</v>
      </c>
      <c r="U17" s="40" t="str">
        <f>IFERROR(AVERAGEIFS(#REF!,#REF!,$A:$A),"-")</f>
        <v>-</v>
      </c>
      <c r="V17" s="40" t="str">
        <f>IFERROR(AVERAGEIFS(#REF!,#REF!,$A:$A),"-")</f>
        <v>-</v>
      </c>
      <c r="W17" s="40" t="str">
        <f t="shared" si="0"/>
        <v>-</v>
      </c>
      <c r="X17" s="40" t="str">
        <f t="shared" si="1"/>
        <v>-</v>
      </c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ht="12.75">
      <c r="A18" s="39" t="s">
        <v>65</v>
      </c>
      <c r="B18" s="40">
        <f>IFERROR(AVERAGEIFS('сентябрь 2024- июнь 2026'!$K:$K,'сентябрь 2024- июнь 2026'!$E:$E,$A:$A),"-")</f>
        <v>2.0345999999999993</v>
      </c>
      <c r="C18" s="40" t="str">
        <f>IFERROR(AVERAGEIFS(#REF!,#REF!,$A:$A),"-")</f>
        <v>-</v>
      </c>
      <c r="D18" s="40" t="str">
        <f>IFERROR(AVERAGEIFS(#REF!,#REF!,$A:$A),"-")</f>
        <v>-</v>
      </c>
      <c r="E18" s="40" t="str">
        <f>IFERROR(AVERAGEIFS(#REF!,#REF!,$A:$A),"-")</f>
        <v>-</v>
      </c>
      <c r="F18" s="40" t="str">
        <f>IFERROR(AVERAGEIFS(#REF!,#REF!,$A:$A),"-")</f>
        <v>-</v>
      </c>
      <c r="G18" s="40" t="str">
        <f>IFERROR(AVERAGEIFS(#REF!,#REF!,A:A),"-")</f>
        <v>-</v>
      </c>
      <c r="H18" s="40" t="str">
        <f>IFERROR(AVERAGEIFS(#REF!,#REF!,$A:$A),"-")</f>
        <v>-</v>
      </c>
      <c r="I18" s="40" t="str">
        <f>IFERROR(AVERAGEIFS(#REF!,#REF!,$A:$A),"-")</f>
        <v>-</v>
      </c>
      <c r="J18" s="40" t="str">
        <f>IFERROR(AVERAGEIFS(#REF!,#REF!,$A:$A),"-")</f>
        <v>-</v>
      </c>
      <c r="K18" s="40" t="str">
        <f>IFERROR(AVERAGEIFS(#REF!,#REF!,$A:$A),"-")</f>
        <v>-</v>
      </c>
      <c r="L18" s="40" t="str">
        <f>IFERROR(AVERAGEIFS(#REF!,#REF!,$A:$A),"-")</f>
        <v>-</v>
      </c>
      <c r="M18" s="40" t="str">
        <f>IFERROR(AVERAGEIFS(#REF!,#REF!,$A:$A),"-")</f>
        <v>-</v>
      </c>
      <c r="N18" s="40" t="str">
        <f>IFERROR(AVERAGEIFS(#REF!,#REF!,$A:$A),"-")</f>
        <v>-</v>
      </c>
      <c r="O18" s="40" t="str">
        <f>IFERROR(AVERAGEIFS(#REF!,#REF!,$A:$A),"-")</f>
        <v>-</v>
      </c>
      <c r="P18" s="40" t="str">
        <f>IFERROR(AVERAGEIFS(#REF!,#REF!,$A:$A),"-")</f>
        <v>-</v>
      </c>
      <c r="Q18" s="40" t="str">
        <f>IFERROR(AVERAGEIFS(#REF!,#REF!,$A:$A),"-")</f>
        <v>-</v>
      </c>
      <c r="R18" s="40" t="str">
        <f>IFERROR(AVERAGEIFS(#REF!,#REF!,$A:$A),"-")</f>
        <v>-</v>
      </c>
      <c r="S18" s="40" t="str">
        <f>IFERROR(AVERAGEIFS(#REF!,#REF!,$A:$A),"-")</f>
        <v>-</v>
      </c>
      <c r="T18" s="40" t="str">
        <f>IFERROR(AVERAGEIFS(#REF!,#REF!,$A:$A),"-")</f>
        <v>-</v>
      </c>
      <c r="U18" s="40" t="str">
        <f>IFERROR(AVERAGEIFS(#REF!,#REF!,$A:$A),"-")</f>
        <v>-</v>
      </c>
      <c r="V18" s="40" t="str">
        <f>IFERROR(AVERAGEIFS(#REF!,#REF!,$A:$A),"-")</f>
        <v>-</v>
      </c>
      <c r="W18" s="40" t="str">
        <f t="shared" si="0"/>
        <v>-</v>
      </c>
      <c r="X18" s="40" t="str">
        <f t="shared" si="1"/>
        <v>-</v>
      </c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ht="12.75">
      <c r="A19" s="39" t="s">
        <v>66</v>
      </c>
      <c r="B19" s="40">
        <f>IFERROR(AVERAGEIFS('сентябрь 2024- июнь 2026'!$K:$K,'сентябрь 2024- июнь 2026'!$E:$E,$A:$A),"-")</f>
        <v>2.1657142857142859</v>
      </c>
      <c r="C19" s="40" t="str">
        <f>IFERROR(AVERAGEIFS(#REF!,#REF!,$A:$A),"-")</f>
        <v>-</v>
      </c>
      <c r="D19" s="40" t="str">
        <f>IFERROR(AVERAGEIFS(#REF!,#REF!,$A:$A),"-")</f>
        <v>-</v>
      </c>
      <c r="E19" s="40" t="str">
        <f>IFERROR(AVERAGEIFS(#REF!,#REF!,$A:$A),"-")</f>
        <v>-</v>
      </c>
      <c r="F19" s="40" t="str">
        <f>IFERROR(AVERAGEIFS(#REF!,#REF!,$A:$A),"-")</f>
        <v>-</v>
      </c>
      <c r="G19" s="40" t="str">
        <f>IFERROR(AVERAGEIFS(#REF!,#REF!,A:A),"-")</f>
        <v>-</v>
      </c>
      <c r="H19" s="40" t="str">
        <f>IFERROR(AVERAGEIFS(#REF!,#REF!,$A:$A),"-")</f>
        <v>-</v>
      </c>
      <c r="I19" s="40" t="str">
        <f>IFERROR(AVERAGEIFS(#REF!,#REF!,$A:$A),"-")</f>
        <v>-</v>
      </c>
      <c r="J19" s="40" t="str">
        <f>IFERROR(AVERAGEIFS(#REF!,#REF!,$A:$A),"-")</f>
        <v>-</v>
      </c>
      <c r="K19" s="40" t="str">
        <f>IFERROR(AVERAGEIFS(#REF!,#REF!,$A:$A),"-")</f>
        <v>-</v>
      </c>
      <c r="L19" s="40" t="str">
        <f>IFERROR(AVERAGEIFS(#REF!,#REF!,$A:$A),"-")</f>
        <v>-</v>
      </c>
      <c r="M19" s="40" t="str">
        <f>IFERROR(AVERAGEIFS(#REF!,#REF!,$A:$A),"-")</f>
        <v>-</v>
      </c>
      <c r="N19" s="40" t="str">
        <f>IFERROR(AVERAGEIFS(#REF!,#REF!,$A:$A),"-")</f>
        <v>-</v>
      </c>
      <c r="O19" s="40" t="str">
        <f>IFERROR(AVERAGEIFS(#REF!,#REF!,$A:$A),"-")</f>
        <v>-</v>
      </c>
      <c r="P19" s="40" t="str">
        <f>IFERROR(AVERAGEIFS(#REF!,#REF!,$A:$A),"-")</f>
        <v>-</v>
      </c>
      <c r="Q19" s="40" t="str">
        <f>IFERROR(AVERAGEIFS(#REF!,#REF!,$A:$A),"-")</f>
        <v>-</v>
      </c>
      <c r="R19" s="40" t="str">
        <f>IFERROR(AVERAGEIFS(#REF!,#REF!,$A:$A),"-")</f>
        <v>-</v>
      </c>
      <c r="S19" s="40" t="str">
        <f>IFERROR(AVERAGEIFS(#REF!,#REF!,$A:$A),"-")</f>
        <v>-</v>
      </c>
      <c r="T19" s="40" t="str">
        <f>IFERROR(AVERAGEIFS(#REF!,#REF!,$A:$A),"-")</f>
        <v>-</v>
      </c>
      <c r="U19" s="40" t="str">
        <f>IFERROR(AVERAGEIFS(#REF!,#REF!,$A:$A),"-")</f>
        <v>-</v>
      </c>
      <c r="V19" s="40" t="str">
        <f>IFERROR(AVERAGEIFS(#REF!,#REF!,$A:$A),"-")</f>
        <v>-</v>
      </c>
      <c r="W19" s="40" t="str">
        <f t="shared" si="0"/>
        <v>-</v>
      </c>
      <c r="X19" s="40" t="str">
        <f t="shared" si="1"/>
        <v>-</v>
      </c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ht="12.75">
      <c r="A20" s="39" t="s">
        <v>67</v>
      </c>
      <c r="B20" s="40">
        <f>IFERROR(AVERAGEIFS('сентябрь 2024- июнь 2026'!$K:$K,'сентябрь 2024- июнь 2026'!$E:$E,$A:$A),"-")</f>
        <v>1.9242857142857142</v>
      </c>
      <c r="C20" s="40" t="str">
        <f>IFERROR(AVERAGEIFS(#REF!,#REF!,$A:$A),"-")</f>
        <v>-</v>
      </c>
      <c r="D20" s="40" t="str">
        <f>IFERROR(AVERAGEIFS(#REF!,#REF!,$A:$A),"-")</f>
        <v>-</v>
      </c>
      <c r="E20" s="40" t="str">
        <f>IFERROR(AVERAGEIFS(#REF!,#REF!,$A:$A),"-")</f>
        <v>-</v>
      </c>
      <c r="F20" s="40" t="str">
        <f>IFERROR(AVERAGEIFS(#REF!,#REF!,$A:$A),"-")</f>
        <v>-</v>
      </c>
      <c r="G20" s="40" t="str">
        <f>IFERROR(AVERAGEIFS(#REF!,#REF!,A:A),"-")</f>
        <v>-</v>
      </c>
      <c r="H20" s="40" t="str">
        <f>IFERROR(AVERAGEIFS(#REF!,#REF!,$A:$A),"-")</f>
        <v>-</v>
      </c>
      <c r="I20" s="40" t="str">
        <f>IFERROR(AVERAGEIFS(#REF!,#REF!,$A:$A),"-")</f>
        <v>-</v>
      </c>
      <c r="J20" s="40" t="str">
        <f>IFERROR(AVERAGEIFS(#REF!,#REF!,$A:$A),"-")</f>
        <v>-</v>
      </c>
      <c r="K20" s="40" t="str">
        <f>IFERROR(AVERAGEIFS(#REF!,#REF!,$A:$A),"-")</f>
        <v>-</v>
      </c>
      <c r="L20" s="40" t="str">
        <f>IFERROR(AVERAGEIFS(#REF!,#REF!,$A:$A),"-")</f>
        <v>-</v>
      </c>
      <c r="M20" s="40" t="str">
        <f>IFERROR(AVERAGEIFS(#REF!,#REF!,$A:$A),"-")</f>
        <v>-</v>
      </c>
      <c r="N20" s="40" t="str">
        <f>IFERROR(AVERAGEIFS(#REF!,#REF!,$A:$A),"-")</f>
        <v>-</v>
      </c>
      <c r="O20" s="40" t="str">
        <f>IFERROR(AVERAGEIFS(#REF!,#REF!,$A:$A),"-")</f>
        <v>-</v>
      </c>
      <c r="P20" s="40" t="str">
        <f>IFERROR(AVERAGEIFS(#REF!,#REF!,$A:$A),"-")</f>
        <v>-</v>
      </c>
      <c r="Q20" s="40" t="str">
        <f>IFERROR(AVERAGEIFS(#REF!,#REF!,$A:$A),"-")</f>
        <v>-</v>
      </c>
      <c r="R20" s="40" t="str">
        <f>IFERROR(AVERAGEIFS(#REF!,#REF!,$A:$A),"-")</f>
        <v>-</v>
      </c>
      <c r="S20" s="40" t="str">
        <f>IFERROR(AVERAGEIFS(#REF!,#REF!,$A:$A),"-")</f>
        <v>-</v>
      </c>
      <c r="T20" s="40" t="str">
        <f>IFERROR(AVERAGEIFS(#REF!,#REF!,$A:$A),"-")</f>
        <v>-</v>
      </c>
      <c r="U20" s="40" t="str">
        <f>IFERROR(AVERAGEIFS(#REF!,#REF!,$A:$A),"-")</f>
        <v>-</v>
      </c>
      <c r="V20" s="40" t="str">
        <f>IFERROR(AVERAGEIFS(#REF!,#REF!,$A:$A),"-")</f>
        <v>-</v>
      </c>
      <c r="W20" s="40" t="str">
        <f t="shared" si="0"/>
        <v>-</v>
      </c>
      <c r="X20" s="40" t="str">
        <f t="shared" si="1"/>
        <v>-</v>
      </c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ht="12.75">
      <c r="A21" s="39" t="s">
        <v>68</v>
      </c>
      <c r="B21" s="40">
        <f>IFERROR(AVERAGEIFS('сентябрь 2024- июнь 2026'!$K:$K,'сентябрь 2024- июнь 2026'!$E:$E,$A:$A),"-")</f>
        <v>2.1047169811320754</v>
      </c>
      <c r="C21" s="40" t="str">
        <f>IFERROR(AVERAGEIFS(#REF!,#REF!,$A:$A),"-")</f>
        <v>-</v>
      </c>
      <c r="D21" s="40" t="str">
        <f>IFERROR(AVERAGEIFS(#REF!,#REF!,$A:$A),"-")</f>
        <v>-</v>
      </c>
      <c r="E21" s="40" t="str">
        <f>IFERROR(AVERAGEIFS(#REF!,#REF!,$A:$A),"-")</f>
        <v>-</v>
      </c>
      <c r="F21" s="40" t="str">
        <f>IFERROR(AVERAGEIFS(#REF!,#REF!,$A:$A),"-")</f>
        <v>-</v>
      </c>
      <c r="G21" s="40" t="str">
        <f>IFERROR(AVERAGEIFS(#REF!,#REF!,A:A),"-")</f>
        <v>-</v>
      </c>
      <c r="H21" s="40" t="str">
        <f>IFERROR(AVERAGEIFS(#REF!,#REF!,$A:$A),"-")</f>
        <v>-</v>
      </c>
      <c r="I21" s="40" t="str">
        <f>IFERROR(AVERAGEIFS(#REF!,#REF!,$A:$A),"-")</f>
        <v>-</v>
      </c>
      <c r="J21" s="40" t="str">
        <f>IFERROR(AVERAGEIFS(#REF!,#REF!,$A:$A),"-")</f>
        <v>-</v>
      </c>
      <c r="K21" s="40" t="str">
        <f>IFERROR(AVERAGEIFS(#REF!,#REF!,$A:$A),"-")</f>
        <v>-</v>
      </c>
      <c r="L21" s="40" t="str">
        <f>IFERROR(AVERAGEIFS(#REF!,#REF!,$A:$A),"-")</f>
        <v>-</v>
      </c>
      <c r="M21" s="40" t="str">
        <f>IFERROR(AVERAGEIFS(#REF!,#REF!,$A:$A),"-")</f>
        <v>-</v>
      </c>
      <c r="N21" s="40" t="str">
        <f>IFERROR(AVERAGEIFS(#REF!,#REF!,$A:$A),"-")</f>
        <v>-</v>
      </c>
      <c r="O21" s="40" t="str">
        <f>IFERROR(AVERAGEIFS(#REF!,#REF!,$A:$A),"-")</f>
        <v>-</v>
      </c>
      <c r="P21" s="40" t="str">
        <f>IFERROR(AVERAGEIFS(#REF!,#REF!,$A:$A),"-")</f>
        <v>-</v>
      </c>
      <c r="Q21" s="40" t="str">
        <f>IFERROR(AVERAGEIFS(#REF!,#REF!,$A:$A),"-")</f>
        <v>-</v>
      </c>
      <c r="R21" s="40" t="str">
        <f>IFERROR(AVERAGEIFS(#REF!,#REF!,$A:$A),"-")</f>
        <v>-</v>
      </c>
      <c r="S21" s="40" t="str">
        <f>IFERROR(AVERAGEIFS(#REF!,#REF!,$A:$A),"-")</f>
        <v>-</v>
      </c>
      <c r="T21" s="40" t="str">
        <f>IFERROR(AVERAGEIFS(#REF!,#REF!,$A:$A),"-")</f>
        <v>-</v>
      </c>
      <c r="U21" s="40" t="str">
        <f>IFERROR(AVERAGEIFS(#REF!,#REF!,$A:$A),"-")</f>
        <v>-</v>
      </c>
      <c r="V21" s="40" t="str">
        <f>IFERROR(AVERAGEIFS(#REF!,#REF!,$A:$A),"-")</f>
        <v>-</v>
      </c>
      <c r="W21" s="40" t="str">
        <f t="shared" si="0"/>
        <v>-</v>
      </c>
      <c r="X21" s="40" t="str">
        <f t="shared" si="1"/>
        <v>-</v>
      </c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ht="12.75">
      <c r="A22" s="39" t="s">
        <v>69</v>
      </c>
      <c r="B22" s="40">
        <f>IFERROR(AVERAGEIFS('сентябрь 2024- июнь 2026'!$K:$K,'сентябрь 2024- июнь 2026'!$E:$E,$A:$A),"-")</f>
        <v>3.23</v>
      </c>
      <c r="C22" s="40" t="str">
        <f>IFERROR(AVERAGEIFS(#REF!,#REF!,$A:$A),"-")</f>
        <v>-</v>
      </c>
      <c r="D22" s="40" t="str">
        <f>IFERROR(AVERAGEIFS(#REF!,#REF!,$A:$A),"-")</f>
        <v>-</v>
      </c>
      <c r="E22" s="40" t="str">
        <f>IFERROR(AVERAGEIFS(#REF!,#REF!,$A:$A),"-")</f>
        <v>-</v>
      </c>
      <c r="F22" s="40" t="str">
        <f>IFERROR(AVERAGEIFS(#REF!,#REF!,$A:$A),"-")</f>
        <v>-</v>
      </c>
      <c r="G22" s="40" t="str">
        <f>IFERROR(AVERAGEIFS(#REF!,#REF!,A:A),"-")</f>
        <v>-</v>
      </c>
      <c r="H22" s="40" t="str">
        <f>IFERROR(AVERAGEIFS(#REF!,#REF!,$A:$A),"-")</f>
        <v>-</v>
      </c>
      <c r="I22" s="40" t="str">
        <f>IFERROR(AVERAGEIFS(#REF!,#REF!,$A:$A),"-")</f>
        <v>-</v>
      </c>
      <c r="J22" s="40" t="str">
        <f>IFERROR(AVERAGEIFS(#REF!,#REF!,$A:$A),"-")</f>
        <v>-</v>
      </c>
      <c r="K22" s="40" t="str">
        <f>IFERROR(AVERAGEIFS(#REF!,#REF!,$A:$A),"-")</f>
        <v>-</v>
      </c>
      <c r="L22" s="40" t="str">
        <f>IFERROR(AVERAGEIFS(#REF!,#REF!,$A:$A),"-")</f>
        <v>-</v>
      </c>
      <c r="M22" s="40" t="str">
        <f>IFERROR(AVERAGEIFS(#REF!,#REF!,$A:$A),"-")</f>
        <v>-</v>
      </c>
      <c r="N22" s="40" t="str">
        <f>IFERROR(AVERAGEIFS(#REF!,#REF!,$A:$A),"-")</f>
        <v>-</v>
      </c>
      <c r="O22" s="40" t="str">
        <f>IFERROR(AVERAGEIFS(#REF!,#REF!,$A:$A),"-")</f>
        <v>-</v>
      </c>
      <c r="P22" s="40" t="str">
        <f>IFERROR(AVERAGEIFS(#REF!,#REF!,$A:$A),"-")</f>
        <v>-</v>
      </c>
      <c r="Q22" s="40" t="str">
        <f>IFERROR(AVERAGEIFS(#REF!,#REF!,$A:$A),"-")</f>
        <v>-</v>
      </c>
      <c r="R22" s="40" t="str">
        <f>IFERROR(AVERAGEIFS(#REF!,#REF!,$A:$A),"-")</f>
        <v>-</v>
      </c>
      <c r="S22" s="40" t="str">
        <f>IFERROR(AVERAGEIFS(#REF!,#REF!,$A:$A),"-")</f>
        <v>-</v>
      </c>
      <c r="T22" s="40" t="str">
        <f>IFERROR(AVERAGEIFS(#REF!,#REF!,$A:$A),"-")</f>
        <v>-</v>
      </c>
      <c r="U22" s="40" t="str">
        <f>IFERROR(AVERAGEIFS(#REF!,#REF!,$A:$A),"-")</f>
        <v>-</v>
      </c>
      <c r="V22" s="40" t="str">
        <f>IFERROR(AVERAGEIFS(#REF!,#REF!,$A:$A),"-")</f>
        <v>-</v>
      </c>
      <c r="W22" s="40" t="str">
        <f t="shared" si="0"/>
        <v>-</v>
      </c>
      <c r="X22" s="40" t="str">
        <f t="shared" si="1"/>
        <v>-</v>
      </c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ht="12.75">
      <c r="A23" s="39" t="s">
        <v>70</v>
      </c>
      <c r="B23" s="40">
        <f>IFERROR(AVERAGEIFS('сентябрь 2024- июнь 2026'!$K:$K,'сентябрь 2024- июнь 2026'!$E:$E,$A:$A),"-")</f>
        <v>2.5225</v>
      </c>
      <c r="C23" s="40" t="str">
        <f>IFERROR(AVERAGEIFS(#REF!,#REF!,$A:$A),"-")</f>
        <v>-</v>
      </c>
      <c r="D23" s="40" t="str">
        <f>IFERROR(AVERAGEIFS(#REF!,#REF!,$A:$A),"-")</f>
        <v>-</v>
      </c>
      <c r="E23" s="40" t="str">
        <f>IFERROR(AVERAGEIFS(#REF!,#REF!,$A:$A),"-")</f>
        <v>-</v>
      </c>
      <c r="F23" s="40" t="str">
        <f>IFERROR(AVERAGEIFS(#REF!,#REF!,$A:$A),"-")</f>
        <v>-</v>
      </c>
      <c r="G23" s="40" t="str">
        <f>IFERROR(AVERAGEIFS(#REF!,#REF!,A:A),"-")</f>
        <v>-</v>
      </c>
      <c r="H23" s="40" t="str">
        <f>IFERROR(AVERAGEIFS(#REF!,#REF!,$A:$A),"-")</f>
        <v>-</v>
      </c>
      <c r="I23" s="40" t="str">
        <f>IFERROR(AVERAGEIFS(#REF!,#REF!,$A:$A),"-")</f>
        <v>-</v>
      </c>
      <c r="J23" s="40" t="str">
        <f>IFERROR(AVERAGEIFS(#REF!,#REF!,$A:$A),"-")</f>
        <v>-</v>
      </c>
      <c r="K23" s="40" t="str">
        <f>IFERROR(AVERAGEIFS(#REF!,#REF!,$A:$A),"-")</f>
        <v>-</v>
      </c>
      <c r="L23" s="40" t="str">
        <f>IFERROR(AVERAGEIFS(#REF!,#REF!,$A:$A),"-")</f>
        <v>-</v>
      </c>
      <c r="M23" s="40" t="str">
        <f>IFERROR(AVERAGEIFS(#REF!,#REF!,$A:$A),"-")</f>
        <v>-</v>
      </c>
      <c r="N23" s="40" t="str">
        <f>IFERROR(AVERAGEIFS(#REF!,#REF!,$A:$A),"-")</f>
        <v>-</v>
      </c>
      <c r="O23" s="40" t="str">
        <f>IFERROR(AVERAGEIFS(#REF!,#REF!,$A:$A),"-")</f>
        <v>-</v>
      </c>
      <c r="P23" s="40" t="str">
        <f>IFERROR(AVERAGEIFS(#REF!,#REF!,$A:$A),"-")</f>
        <v>-</v>
      </c>
      <c r="Q23" s="40" t="str">
        <f>IFERROR(AVERAGEIFS(#REF!,#REF!,$A:$A),"-")</f>
        <v>-</v>
      </c>
      <c r="R23" s="40" t="str">
        <f>IFERROR(AVERAGEIFS(#REF!,#REF!,$A:$A),"-")</f>
        <v>-</v>
      </c>
      <c r="S23" s="40" t="str">
        <f>IFERROR(AVERAGEIFS(#REF!,#REF!,$A:$A),"-")</f>
        <v>-</v>
      </c>
      <c r="T23" s="40" t="str">
        <f>IFERROR(AVERAGEIFS(#REF!,#REF!,$A:$A),"-")</f>
        <v>-</v>
      </c>
      <c r="U23" s="40" t="str">
        <f>IFERROR(AVERAGEIFS(#REF!,#REF!,$A:$A),"-")</f>
        <v>-</v>
      </c>
      <c r="V23" s="40" t="str">
        <f>IFERROR(AVERAGEIFS(#REF!,#REF!,$A:$A),"-")</f>
        <v>-</v>
      </c>
      <c r="W23" s="40" t="str">
        <f t="shared" si="0"/>
        <v>-</v>
      </c>
      <c r="X23" s="40" t="str">
        <f t="shared" si="1"/>
        <v>-</v>
      </c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ht="12.75">
      <c r="A24" s="39" t="s">
        <v>71</v>
      </c>
      <c r="B24" s="40" t="str">
        <f>IFERROR(AVERAGEIFS('сентябрь 2024- июнь 2026'!$K:$K,'сентябрь 2024- июнь 2026'!$E:$E,$A:$A),"-")</f>
        <v>-</v>
      </c>
      <c r="C24" s="40" t="str">
        <f>IFERROR(AVERAGEIFS(#REF!,#REF!,$A:$A),"-")</f>
        <v>-</v>
      </c>
      <c r="D24" s="40" t="str">
        <f>IFERROR(AVERAGEIFS(#REF!,#REF!,$A:$A),"-")</f>
        <v>-</v>
      </c>
      <c r="E24" s="40" t="str">
        <f>IFERROR(AVERAGEIFS(#REF!,#REF!,$A:$A),"-")</f>
        <v>-</v>
      </c>
      <c r="F24" s="40" t="str">
        <f>IFERROR(AVERAGEIFS(#REF!,#REF!,$A:$A),"-")</f>
        <v>-</v>
      </c>
      <c r="G24" s="40" t="str">
        <f>IFERROR(AVERAGEIFS(#REF!,#REF!,A:A),"-")</f>
        <v>-</v>
      </c>
      <c r="H24" s="40" t="str">
        <f>IFERROR(AVERAGEIFS(#REF!,#REF!,$A:$A),"-")</f>
        <v>-</v>
      </c>
      <c r="I24" s="40" t="str">
        <f>IFERROR(AVERAGEIFS(#REF!,#REF!,$A:$A),"-")</f>
        <v>-</v>
      </c>
      <c r="J24" s="40" t="str">
        <f>IFERROR(AVERAGEIFS(#REF!,#REF!,$A:$A),"-")</f>
        <v>-</v>
      </c>
      <c r="K24" s="40" t="str">
        <f>IFERROR(AVERAGEIFS(#REF!,#REF!,$A:$A),"-")</f>
        <v>-</v>
      </c>
      <c r="L24" s="40" t="str">
        <f>IFERROR(AVERAGEIFS(#REF!,#REF!,$A:$A),"-")</f>
        <v>-</v>
      </c>
      <c r="M24" s="40" t="str">
        <f>IFERROR(AVERAGEIFS(#REF!,#REF!,$A:$A),"-")</f>
        <v>-</v>
      </c>
      <c r="N24" s="40" t="str">
        <f>IFERROR(AVERAGEIFS(#REF!,#REF!,$A:$A),"-")</f>
        <v>-</v>
      </c>
      <c r="O24" s="40" t="str">
        <f>IFERROR(AVERAGEIFS(#REF!,#REF!,$A:$A),"-")</f>
        <v>-</v>
      </c>
      <c r="P24" s="40" t="str">
        <f>IFERROR(AVERAGEIFS(#REF!,#REF!,$A:$A),"-")</f>
        <v>-</v>
      </c>
      <c r="Q24" s="40" t="str">
        <f>IFERROR(AVERAGEIFS(#REF!,#REF!,$A:$A),"-")</f>
        <v>-</v>
      </c>
      <c r="R24" s="40" t="str">
        <f>IFERROR(AVERAGEIFS(#REF!,#REF!,$A:$A),"-")</f>
        <v>-</v>
      </c>
      <c r="S24" s="40" t="str">
        <f>IFERROR(AVERAGEIFS(#REF!,#REF!,$A:$A),"-")</f>
        <v>-</v>
      </c>
      <c r="T24" s="40" t="str">
        <f>IFERROR(AVERAGEIFS(#REF!,#REF!,$A:$A),"-")</f>
        <v>-</v>
      </c>
      <c r="U24" s="40" t="str">
        <f>IFERROR(AVERAGEIFS(#REF!,#REF!,$A:$A),"-")</f>
        <v>-</v>
      </c>
      <c r="V24" s="40" t="str">
        <f>IFERROR(AVERAGEIFS(#REF!,#REF!,$A:$A),"-")</f>
        <v>-</v>
      </c>
      <c r="W24" s="40" t="str">
        <f t="shared" si="0"/>
        <v>-</v>
      </c>
      <c r="X24" s="40" t="str">
        <f t="shared" si="1"/>
        <v>-</v>
      </c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ht="12.75">
      <c r="A25" s="39" t="s">
        <v>72</v>
      </c>
      <c r="B25" s="40">
        <f>IFERROR(AVERAGEIFS('сентябрь 2024- июнь 2026'!$K:$K,'сентябрь 2024- июнь 2026'!$E:$E,$A:$A),"-")</f>
        <v>3.28</v>
      </c>
      <c r="C25" s="40" t="str">
        <f>IFERROR(AVERAGEIFS(#REF!,#REF!,$A:$A),"-")</f>
        <v>-</v>
      </c>
      <c r="D25" s="40" t="str">
        <f>IFERROR(AVERAGEIFS(#REF!,#REF!,$A:$A),"-")</f>
        <v>-</v>
      </c>
      <c r="E25" s="40" t="str">
        <f>IFERROR(AVERAGEIFS(#REF!,#REF!,$A:$A),"-")</f>
        <v>-</v>
      </c>
      <c r="F25" s="40" t="str">
        <f>IFERROR(AVERAGEIFS(#REF!,#REF!,$A:$A),"-")</f>
        <v>-</v>
      </c>
      <c r="G25" s="40" t="str">
        <f>IFERROR(AVERAGEIFS(#REF!,#REF!,A:A),"-")</f>
        <v>-</v>
      </c>
      <c r="H25" s="40" t="str">
        <f>IFERROR(AVERAGEIFS(#REF!,#REF!,$A:$A),"-")</f>
        <v>-</v>
      </c>
      <c r="I25" s="40" t="str">
        <f>IFERROR(AVERAGEIFS(#REF!,#REF!,$A:$A),"-")</f>
        <v>-</v>
      </c>
      <c r="J25" s="40" t="str">
        <f>IFERROR(AVERAGEIFS(#REF!,#REF!,$A:$A),"-")</f>
        <v>-</v>
      </c>
      <c r="K25" s="40" t="str">
        <f>IFERROR(AVERAGEIFS(#REF!,#REF!,$A:$A),"-")</f>
        <v>-</v>
      </c>
      <c r="L25" s="40" t="str">
        <f>IFERROR(AVERAGEIFS(#REF!,#REF!,$A:$A),"-")</f>
        <v>-</v>
      </c>
      <c r="M25" s="40" t="str">
        <f>IFERROR(AVERAGEIFS(#REF!,#REF!,$A:$A),"-")</f>
        <v>-</v>
      </c>
      <c r="N25" s="40" t="str">
        <f>IFERROR(AVERAGEIFS(#REF!,#REF!,$A:$A),"-")</f>
        <v>-</v>
      </c>
      <c r="O25" s="40" t="str">
        <f>IFERROR(AVERAGEIFS(#REF!,#REF!,$A:$A),"-")</f>
        <v>-</v>
      </c>
      <c r="P25" s="40" t="str">
        <f>IFERROR(AVERAGEIFS(#REF!,#REF!,$A:$A),"-")</f>
        <v>-</v>
      </c>
      <c r="Q25" s="40" t="str">
        <f>IFERROR(AVERAGEIFS(#REF!,#REF!,$A:$A),"-")</f>
        <v>-</v>
      </c>
      <c r="R25" s="40" t="str">
        <f>IFERROR(AVERAGEIFS(#REF!,#REF!,$A:$A),"-")</f>
        <v>-</v>
      </c>
      <c r="S25" s="40" t="str">
        <f>IFERROR(AVERAGEIFS(#REF!,#REF!,$A:$A),"-")</f>
        <v>-</v>
      </c>
      <c r="T25" s="40" t="str">
        <f>IFERROR(AVERAGEIFS(#REF!,#REF!,$A:$A),"-")</f>
        <v>-</v>
      </c>
      <c r="U25" s="40" t="str">
        <f>IFERROR(AVERAGEIFS(#REF!,#REF!,$A:$A),"-")</f>
        <v>-</v>
      </c>
      <c r="V25" s="40" t="str">
        <f>IFERROR(AVERAGEIFS(#REF!,#REF!,$A:$A),"-")</f>
        <v>-</v>
      </c>
      <c r="W25" s="40" t="str">
        <f t="shared" si="0"/>
        <v>-</v>
      </c>
      <c r="X25" s="40" t="str">
        <f t="shared" si="1"/>
        <v>-</v>
      </c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ht="12.75">
      <c r="A26" s="39" t="s">
        <v>73</v>
      </c>
      <c r="B26" s="40">
        <f>IFERROR(AVERAGEIFS('сентябрь 2024- июнь 2026'!$K:$K,'сентябрь 2024- июнь 2026'!$E:$E,$A:$A),"-")</f>
        <v>2.82</v>
      </c>
      <c r="C26" s="40" t="str">
        <f>IFERROR(AVERAGEIFS(#REF!,#REF!,$A:$A),"-")</f>
        <v>-</v>
      </c>
      <c r="D26" s="40" t="str">
        <f>IFERROR(AVERAGEIFS(#REF!,#REF!,$A:$A),"-")</f>
        <v>-</v>
      </c>
      <c r="E26" s="40" t="str">
        <f>IFERROR(AVERAGEIFS(#REF!,#REF!,$A:$A),"-")</f>
        <v>-</v>
      </c>
      <c r="F26" s="40" t="str">
        <f>IFERROR(AVERAGEIFS(#REF!,#REF!,$A:$A),"-")</f>
        <v>-</v>
      </c>
      <c r="G26" s="40" t="str">
        <f>IFERROR(AVERAGEIFS(#REF!,#REF!,A:A),"-")</f>
        <v>-</v>
      </c>
      <c r="H26" s="40" t="str">
        <f>IFERROR(AVERAGEIFS(#REF!,#REF!,$A:$A),"-")</f>
        <v>-</v>
      </c>
      <c r="I26" s="40" t="str">
        <f>IFERROR(AVERAGEIFS(#REF!,#REF!,$A:$A),"-")</f>
        <v>-</v>
      </c>
      <c r="J26" s="40" t="str">
        <f>IFERROR(AVERAGEIFS(#REF!,#REF!,$A:$A),"-")</f>
        <v>-</v>
      </c>
      <c r="K26" s="40" t="str">
        <f>IFERROR(AVERAGEIFS(#REF!,#REF!,$A:$A),"-")</f>
        <v>-</v>
      </c>
      <c r="L26" s="40" t="str">
        <f>IFERROR(AVERAGEIFS(#REF!,#REF!,$A:$A),"-")</f>
        <v>-</v>
      </c>
      <c r="M26" s="40" t="str">
        <f>IFERROR(AVERAGEIFS(#REF!,#REF!,$A:$A),"-")</f>
        <v>-</v>
      </c>
      <c r="N26" s="40" t="str">
        <f>IFERROR(AVERAGEIFS(#REF!,#REF!,$A:$A),"-")</f>
        <v>-</v>
      </c>
      <c r="O26" s="40" t="str">
        <f>IFERROR(AVERAGEIFS(#REF!,#REF!,$A:$A),"-")</f>
        <v>-</v>
      </c>
      <c r="P26" s="40" t="str">
        <f>IFERROR(AVERAGEIFS(#REF!,#REF!,$A:$A),"-")</f>
        <v>-</v>
      </c>
      <c r="Q26" s="40" t="str">
        <f>IFERROR(AVERAGEIFS(#REF!,#REF!,$A:$A),"-")</f>
        <v>-</v>
      </c>
      <c r="R26" s="40" t="str">
        <f>IFERROR(AVERAGEIFS(#REF!,#REF!,$A:$A),"-")</f>
        <v>-</v>
      </c>
      <c r="S26" s="40" t="str">
        <f>IFERROR(AVERAGEIFS(#REF!,#REF!,$A:$A),"-")</f>
        <v>-</v>
      </c>
      <c r="T26" s="40" t="str">
        <f>IFERROR(AVERAGEIFS(#REF!,#REF!,$A:$A),"-")</f>
        <v>-</v>
      </c>
      <c r="U26" s="40" t="str">
        <f>IFERROR(AVERAGEIFS(#REF!,#REF!,$A:$A),"-")</f>
        <v>-</v>
      </c>
      <c r="V26" s="40" t="str">
        <f>IFERROR(AVERAGEIFS(#REF!,#REF!,$A:$A),"-")</f>
        <v>-</v>
      </c>
      <c r="W26" s="40" t="str">
        <f t="shared" si="0"/>
        <v>-</v>
      </c>
      <c r="X26" s="40" t="str">
        <f t="shared" si="1"/>
        <v>-</v>
      </c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ht="12.75">
      <c r="A27" s="39" t="s">
        <v>74</v>
      </c>
      <c r="B27" s="40">
        <f>IFERROR(AVERAGEIFS('сентябрь 2024- июнь 2026'!$K:$K,'сентябрь 2024- июнь 2026'!$E:$E,$A:$A),"-")</f>
        <v>4.96</v>
      </c>
      <c r="C27" s="40" t="str">
        <f>IFERROR(AVERAGEIFS(#REF!,#REF!,$A:$A),"-")</f>
        <v>-</v>
      </c>
      <c r="D27" s="40" t="str">
        <f>IFERROR(AVERAGEIFS(#REF!,#REF!,$A:$A),"-")</f>
        <v>-</v>
      </c>
      <c r="E27" s="40" t="str">
        <f>IFERROR(AVERAGEIFS(#REF!,#REF!,$A:$A),"-")</f>
        <v>-</v>
      </c>
      <c r="F27" s="40" t="str">
        <f>IFERROR(AVERAGEIFS(#REF!,#REF!,$A:$A),"-")</f>
        <v>-</v>
      </c>
      <c r="G27" s="40" t="str">
        <f>IFERROR(AVERAGEIFS(#REF!,#REF!,A:A),"-")</f>
        <v>-</v>
      </c>
      <c r="H27" s="40" t="str">
        <f>IFERROR(AVERAGEIFS(#REF!,#REF!,$A:$A),"-")</f>
        <v>-</v>
      </c>
      <c r="I27" s="40" t="str">
        <f>IFERROR(AVERAGEIFS(#REF!,#REF!,$A:$A),"-")</f>
        <v>-</v>
      </c>
      <c r="J27" s="40" t="str">
        <f>IFERROR(AVERAGEIFS(#REF!,#REF!,$A:$A),"-")</f>
        <v>-</v>
      </c>
      <c r="K27" s="40" t="str">
        <f>IFERROR(AVERAGEIFS(#REF!,#REF!,$A:$A),"-")</f>
        <v>-</v>
      </c>
      <c r="L27" s="40" t="str">
        <f>IFERROR(AVERAGEIFS(#REF!,#REF!,$A:$A),"-")</f>
        <v>-</v>
      </c>
      <c r="M27" s="40" t="str">
        <f>IFERROR(AVERAGEIFS(#REF!,#REF!,$A:$A),"-")</f>
        <v>-</v>
      </c>
      <c r="N27" s="40" t="str">
        <f>IFERROR(AVERAGEIFS(#REF!,#REF!,$A:$A),"-")</f>
        <v>-</v>
      </c>
      <c r="O27" s="40" t="str">
        <f>IFERROR(AVERAGEIFS(#REF!,#REF!,$A:$A),"-")</f>
        <v>-</v>
      </c>
      <c r="P27" s="40" t="str">
        <f>IFERROR(AVERAGEIFS(#REF!,#REF!,$A:$A),"-")</f>
        <v>-</v>
      </c>
      <c r="Q27" s="40" t="str">
        <f>IFERROR(AVERAGEIFS(#REF!,#REF!,$A:$A),"-")</f>
        <v>-</v>
      </c>
      <c r="R27" s="40" t="str">
        <f>IFERROR(AVERAGEIFS(#REF!,#REF!,$A:$A),"-")</f>
        <v>-</v>
      </c>
      <c r="S27" s="40" t="str">
        <f>IFERROR(AVERAGEIFS(#REF!,#REF!,$A:$A),"-")</f>
        <v>-</v>
      </c>
      <c r="T27" s="40" t="str">
        <f>IFERROR(AVERAGEIFS(#REF!,#REF!,$A:$A),"-")</f>
        <v>-</v>
      </c>
      <c r="U27" s="40" t="str">
        <f>IFERROR(AVERAGEIFS(#REF!,#REF!,$A:$A),"-")</f>
        <v>-</v>
      </c>
      <c r="V27" s="40" t="str">
        <f>IFERROR(AVERAGEIFS(#REF!,#REF!,$A:$A),"-")</f>
        <v>-</v>
      </c>
      <c r="W27" s="40" t="str">
        <f t="shared" si="0"/>
        <v>-</v>
      </c>
      <c r="X27" s="40" t="str">
        <f t="shared" si="1"/>
        <v>-</v>
      </c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ht="12.75">
      <c r="A28" s="39" t="s">
        <v>75</v>
      </c>
      <c r="B28" s="40">
        <f>IFERROR(AVERAGEIFS('сентябрь 2024- июнь 2026'!$K:$K,'сентябрь 2024- июнь 2026'!$E:$E,$A:$A),"-")</f>
        <v>3.793333333333333</v>
      </c>
      <c r="C28" s="40" t="str">
        <f>IFERROR(AVERAGEIFS(#REF!,#REF!,$A:$A),"-")</f>
        <v>-</v>
      </c>
      <c r="D28" s="40" t="str">
        <f>IFERROR(AVERAGEIFS(#REF!,#REF!,$A:$A),"-")</f>
        <v>-</v>
      </c>
      <c r="E28" s="40" t="str">
        <f>IFERROR(AVERAGEIFS(#REF!,#REF!,$A:$A),"-")</f>
        <v>-</v>
      </c>
      <c r="F28" s="40" t="str">
        <f>IFERROR(AVERAGEIFS(#REF!,#REF!,$A:$A),"-")</f>
        <v>-</v>
      </c>
      <c r="G28" s="40" t="str">
        <f>IFERROR(AVERAGEIFS(#REF!,#REF!,A:A),"-")</f>
        <v>-</v>
      </c>
      <c r="H28" s="40" t="str">
        <f>IFERROR(AVERAGEIFS(#REF!,#REF!,$A:$A),"-")</f>
        <v>-</v>
      </c>
      <c r="I28" s="40" t="str">
        <f>IFERROR(AVERAGEIFS(#REF!,#REF!,$A:$A),"-")</f>
        <v>-</v>
      </c>
      <c r="J28" s="40" t="str">
        <f>IFERROR(AVERAGEIFS(#REF!,#REF!,$A:$A),"-")</f>
        <v>-</v>
      </c>
      <c r="K28" s="40" t="str">
        <f>IFERROR(AVERAGEIFS(#REF!,#REF!,$A:$A),"-")</f>
        <v>-</v>
      </c>
      <c r="L28" s="40" t="str">
        <f>IFERROR(AVERAGEIFS(#REF!,#REF!,$A:$A),"-")</f>
        <v>-</v>
      </c>
      <c r="M28" s="40" t="str">
        <f>IFERROR(AVERAGEIFS(#REF!,#REF!,$A:$A),"-")</f>
        <v>-</v>
      </c>
      <c r="N28" s="40" t="str">
        <f>IFERROR(AVERAGEIFS(#REF!,#REF!,$A:$A),"-")</f>
        <v>-</v>
      </c>
      <c r="O28" s="40" t="str">
        <f>IFERROR(AVERAGEIFS(#REF!,#REF!,$A:$A),"-")</f>
        <v>-</v>
      </c>
      <c r="P28" s="40" t="str">
        <f>IFERROR(AVERAGEIFS(#REF!,#REF!,$A:$A),"-")</f>
        <v>-</v>
      </c>
      <c r="Q28" s="40" t="str">
        <f>IFERROR(AVERAGEIFS(#REF!,#REF!,$A:$A),"-")</f>
        <v>-</v>
      </c>
      <c r="R28" s="40" t="str">
        <f>IFERROR(AVERAGEIFS(#REF!,#REF!,$A:$A),"-")</f>
        <v>-</v>
      </c>
      <c r="S28" s="40" t="str">
        <f>IFERROR(AVERAGEIFS(#REF!,#REF!,$A:$A),"-")</f>
        <v>-</v>
      </c>
      <c r="T28" s="40" t="str">
        <f>IFERROR(AVERAGEIFS(#REF!,#REF!,$A:$A),"-")</f>
        <v>-</v>
      </c>
      <c r="U28" s="40" t="str">
        <f>IFERROR(AVERAGEIFS(#REF!,#REF!,$A:$A),"-")</f>
        <v>-</v>
      </c>
      <c r="V28" s="40" t="str">
        <f>IFERROR(AVERAGEIFS(#REF!,#REF!,$A:$A),"-")</f>
        <v>-</v>
      </c>
      <c r="W28" s="40" t="str">
        <f t="shared" si="0"/>
        <v>-</v>
      </c>
      <c r="X28" s="40" t="str">
        <f t="shared" si="1"/>
        <v>-</v>
      </c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ht="12.75">
      <c r="A29" s="39" t="s">
        <v>76</v>
      </c>
      <c r="B29" s="40">
        <f>IFERROR(AVERAGEIFS('сентябрь 2024- июнь 2026'!$K:$K,'сентябрь 2024- июнь 2026'!$E:$E,$A:$A),"-")</f>
        <v>2.83</v>
      </c>
      <c r="C29" s="40" t="str">
        <f>IFERROR(AVERAGEIFS(#REF!,#REF!,$A:$A),"-")</f>
        <v>-</v>
      </c>
      <c r="D29" s="40" t="str">
        <f>IFERROR(AVERAGEIFS(#REF!,#REF!,$A:$A),"-")</f>
        <v>-</v>
      </c>
      <c r="E29" s="40" t="str">
        <f>IFERROR(AVERAGEIFS(#REF!,#REF!,$A:$A),"-")</f>
        <v>-</v>
      </c>
      <c r="F29" s="40" t="str">
        <f>IFERROR(AVERAGEIFS(#REF!,#REF!,$A:$A),"-")</f>
        <v>-</v>
      </c>
      <c r="G29" s="40" t="str">
        <f>IFERROR(AVERAGEIFS(#REF!,#REF!,A:A),"-")</f>
        <v>-</v>
      </c>
      <c r="H29" s="40" t="str">
        <f>IFERROR(AVERAGEIFS(#REF!,#REF!,$A:$A),"-")</f>
        <v>-</v>
      </c>
      <c r="I29" s="40" t="str">
        <f>IFERROR(AVERAGEIFS(#REF!,#REF!,$A:$A),"-")</f>
        <v>-</v>
      </c>
      <c r="J29" s="40" t="str">
        <f>IFERROR(AVERAGEIFS(#REF!,#REF!,$A:$A),"-")</f>
        <v>-</v>
      </c>
      <c r="K29" s="40" t="str">
        <f>IFERROR(AVERAGEIFS(#REF!,#REF!,$A:$A),"-")</f>
        <v>-</v>
      </c>
      <c r="L29" s="40" t="str">
        <f>IFERROR(AVERAGEIFS(#REF!,#REF!,$A:$A),"-")</f>
        <v>-</v>
      </c>
      <c r="M29" s="40" t="str">
        <f>IFERROR(AVERAGEIFS(#REF!,#REF!,$A:$A),"-")</f>
        <v>-</v>
      </c>
      <c r="N29" s="40" t="str">
        <f>IFERROR(AVERAGEIFS(#REF!,#REF!,$A:$A),"-")</f>
        <v>-</v>
      </c>
      <c r="O29" s="40" t="str">
        <f>IFERROR(AVERAGEIFS(#REF!,#REF!,$A:$A),"-")</f>
        <v>-</v>
      </c>
      <c r="P29" s="40" t="str">
        <f>IFERROR(AVERAGEIFS(#REF!,#REF!,$A:$A),"-")</f>
        <v>-</v>
      </c>
      <c r="Q29" s="40" t="str">
        <f>IFERROR(AVERAGEIFS(#REF!,#REF!,$A:$A),"-")</f>
        <v>-</v>
      </c>
      <c r="R29" s="40" t="str">
        <f>IFERROR(AVERAGEIFS(#REF!,#REF!,$A:$A),"-")</f>
        <v>-</v>
      </c>
      <c r="S29" s="40" t="str">
        <f>IFERROR(AVERAGEIFS(#REF!,#REF!,$A:$A),"-")</f>
        <v>-</v>
      </c>
      <c r="T29" s="40" t="str">
        <f>IFERROR(AVERAGEIFS(#REF!,#REF!,$A:$A),"-")</f>
        <v>-</v>
      </c>
      <c r="U29" s="40" t="str">
        <f>IFERROR(AVERAGEIFS(#REF!,#REF!,$A:$A),"-")</f>
        <v>-</v>
      </c>
      <c r="V29" s="40" t="str">
        <f>IFERROR(AVERAGEIFS(#REF!,#REF!,$A:$A),"-")</f>
        <v>-</v>
      </c>
      <c r="W29" s="40" t="str">
        <f t="shared" si="0"/>
        <v>-</v>
      </c>
      <c r="X29" s="40" t="str">
        <f t="shared" si="1"/>
        <v>-</v>
      </c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ht="12.75">
      <c r="A30" s="39" t="s">
        <v>77</v>
      </c>
      <c r="B30" s="40">
        <f>IFERROR(AVERAGEIFS('сентябрь 2024- июнь 2026'!$K:$K,'сентябрь 2024- июнь 2026'!$E:$E,$A:$A),"-")</f>
        <v>2.42</v>
      </c>
      <c r="C30" s="40" t="str">
        <f>IFERROR(AVERAGEIFS(#REF!,#REF!,$A:$A),"-")</f>
        <v>-</v>
      </c>
      <c r="D30" s="40" t="str">
        <f>IFERROR(AVERAGEIFS(#REF!,#REF!,$A:$A),"-")</f>
        <v>-</v>
      </c>
      <c r="E30" s="40" t="str">
        <f>IFERROR(AVERAGEIFS(#REF!,#REF!,$A:$A),"-")</f>
        <v>-</v>
      </c>
      <c r="F30" s="40" t="str">
        <f>IFERROR(AVERAGEIFS(#REF!,#REF!,$A:$A),"-")</f>
        <v>-</v>
      </c>
      <c r="G30" s="40" t="str">
        <f>IFERROR(AVERAGEIFS(#REF!,#REF!,A:A),"-")</f>
        <v>-</v>
      </c>
      <c r="H30" s="40" t="str">
        <f>IFERROR(AVERAGEIFS(#REF!,#REF!,$A:$A),"-")</f>
        <v>-</v>
      </c>
      <c r="I30" s="40" t="str">
        <f>IFERROR(AVERAGEIFS(#REF!,#REF!,$A:$A),"-")</f>
        <v>-</v>
      </c>
      <c r="J30" s="40" t="str">
        <f>IFERROR(AVERAGEIFS(#REF!,#REF!,$A:$A),"-")</f>
        <v>-</v>
      </c>
      <c r="K30" s="40" t="str">
        <f>IFERROR(AVERAGEIFS(#REF!,#REF!,$A:$A),"-")</f>
        <v>-</v>
      </c>
      <c r="L30" s="40" t="str">
        <f>IFERROR(AVERAGEIFS(#REF!,#REF!,$A:$A),"-")</f>
        <v>-</v>
      </c>
      <c r="M30" s="40" t="str">
        <f>IFERROR(AVERAGEIFS(#REF!,#REF!,$A:$A),"-")</f>
        <v>-</v>
      </c>
      <c r="N30" s="40" t="str">
        <f>IFERROR(AVERAGEIFS(#REF!,#REF!,$A:$A),"-")</f>
        <v>-</v>
      </c>
      <c r="O30" s="40" t="str">
        <f>IFERROR(AVERAGEIFS(#REF!,#REF!,$A:$A),"-")</f>
        <v>-</v>
      </c>
      <c r="P30" s="40" t="str">
        <f>IFERROR(AVERAGEIFS(#REF!,#REF!,$A:$A),"-")</f>
        <v>-</v>
      </c>
      <c r="Q30" s="40" t="str">
        <f>IFERROR(AVERAGEIFS(#REF!,#REF!,$A:$A),"-")</f>
        <v>-</v>
      </c>
      <c r="R30" s="40" t="str">
        <f>IFERROR(AVERAGEIFS(#REF!,#REF!,$A:$A),"-")</f>
        <v>-</v>
      </c>
      <c r="S30" s="40" t="str">
        <f>IFERROR(AVERAGEIFS(#REF!,#REF!,$A:$A),"-")</f>
        <v>-</v>
      </c>
      <c r="T30" s="40" t="str">
        <f>IFERROR(AVERAGEIFS(#REF!,#REF!,$A:$A),"-")</f>
        <v>-</v>
      </c>
      <c r="U30" s="40" t="str">
        <f>IFERROR(AVERAGEIFS(#REF!,#REF!,$A:$A),"-")</f>
        <v>-</v>
      </c>
      <c r="V30" s="40" t="str">
        <f>IFERROR(AVERAGEIFS(#REF!,#REF!,$A:$A),"-")</f>
        <v>-</v>
      </c>
      <c r="W30" s="40" t="str">
        <f t="shared" si="0"/>
        <v>-</v>
      </c>
      <c r="X30" s="40" t="str">
        <f t="shared" si="1"/>
        <v>-</v>
      </c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ht="12.75">
      <c r="A31" s="39" t="s">
        <v>78</v>
      </c>
      <c r="B31" s="40">
        <f>IFERROR(AVERAGEIFS('сентябрь 2024- июнь 2026'!$K:$K,'сентябрь 2024- июнь 2026'!$E:$E,$A:$A),"-")</f>
        <v>2.3949999999999996</v>
      </c>
      <c r="C31" s="40" t="str">
        <f>IFERROR(AVERAGEIFS(#REF!,#REF!,$A:$A),"-")</f>
        <v>-</v>
      </c>
      <c r="D31" s="40" t="str">
        <f>IFERROR(AVERAGEIFS(#REF!,#REF!,$A:$A),"-")</f>
        <v>-</v>
      </c>
      <c r="E31" s="40" t="str">
        <f>IFERROR(AVERAGEIFS(#REF!,#REF!,$A:$A),"-")</f>
        <v>-</v>
      </c>
      <c r="F31" s="40" t="str">
        <f>IFERROR(AVERAGEIFS(#REF!,#REF!,$A:$A),"-")</f>
        <v>-</v>
      </c>
      <c r="G31" s="40" t="str">
        <f>IFERROR(AVERAGEIFS(#REF!,#REF!,A:A),"-")</f>
        <v>-</v>
      </c>
      <c r="H31" s="40" t="str">
        <f>IFERROR(AVERAGEIFS(#REF!,#REF!,$A:$A),"-")</f>
        <v>-</v>
      </c>
      <c r="I31" s="40" t="str">
        <f>IFERROR(AVERAGEIFS(#REF!,#REF!,$A:$A),"-")</f>
        <v>-</v>
      </c>
      <c r="J31" s="40" t="str">
        <f>IFERROR(AVERAGEIFS(#REF!,#REF!,$A:$A),"-")</f>
        <v>-</v>
      </c>
      <c r="K31" s="40" t="str">
        <f>IFERROR(AVERAGEIFS(#REF!,#REF!,$A:$A),"-")</f>
        <v>-</v>
      </c>
      <c r="L31" s="40" t="str">
        <f>IFERROR(AVERAGEIFS(#REF!,#REF!,$A:$A),"-")</f>
        <v>-</v>
      </c>
      <c r="M31" s="40" t="str">
        <f>IFERROR(AVERAGEIFS(#REF!,#REF!,$A:$A),"-")</f>
        <v>-</v>
      </c>
      <c r="N31" s="40" t="str">
        <f>IFERROR(AVERAGEIFS(#REF!,#REF!,$A:$A),"-")</f>
        <v>-</v>
      </c>
      <c r="O31" s="40" t="str">
        <f>IFERROR(AVERAGEIFS(#REF!,#REF!,$A:$A),"-")</f>
        <v>-</v>
      </c>
      <c r="P31" s="40" t="str">
        <f>IFERROR(AVERAGEIFS(#REF!,#REF!,$A:$A),"-")</f>
        <v>-</v>
      </c>
      <c r="Q31" s="40" t="str">
        <f>IFERROR(AVERAGEIFS(#REF!,#REF!,$A:$A),"-")</f>
        <v>-</v>
      </c>
      <c r="R31" s="40" t="str">
        <f>IFERROR(AVERAGEIFS(#REF!,#REF!,$A:$A),"-")</f>
        <v>-</v>
      </c>
      <c r="S31" s="40" t="str">
        <f>IFERROR(AVERAGEIFS(#REF!,#REF!,$A:$A),"-")</f>
        <v>-</v>
      </c>
      <c r="T31" s="40" t="str">
        <f>IFERROR(AVERAGEIFS(#REF!,#REF!,$A:$A),"-")</f>
        <v>-</v>
      </c>
      <c r="U31" s="40" t="str">
        <f>IFERROR(AVERAGEIFS(#REF!,#REF!,$A:$A),"-")</f>
        <v>-</v>
      </c>
      <c r="V31" s="40" t="str">
        <f>IFERROR(AVERAGEIFS(#REF!,#REF!,$A:$A),"-")</f>
        <v>-</v>
      </c>
      <c r="W31" s="40" t="str">
        <f t="shared" si="0"/>
        <v>-</v>
      </c>
      <c r="X31" s="40" t="str">
        <f t="shared" si="1"/>
        <v>-</v>
      </c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ht="12.75">
      <c r="A32" s="39" t="s">
        <v>79</v>
      </c>
      <c r="B32" s="40">
        <f>IFERROR(AVERAGEIFS('сентябрь 2024- июнь 2026'!$K:$K,'сентябрь 2024- июнь 2026'!$E:$E,$A:$A),"-")</f>
        <v>2.7858333333333332</v>
      </c>
      <c r="C32" s="40" t="str">
        <f>IFERROR(AVERAGEIFS(#REF!,#REF!,$A:$A),"-")</f>
        <v>-</v>
      </c>
      <c r="D32" s="40" t="str">
        <f>IFERROR(AVERAGEIFS(#REF!,#REF!,$A:$A),"-")</f>
        <v>-</v>
      </c>
      <c r="E32" s="40" t="str">
        <f>IFERROR(AVERAGEIFS(#REF!,#REF!,$A:$A),"-")</f>
        <v>-</v>
      </c>
      <c r="F32" s="40" t="str">
        <f>IFERROR(AVERAGEIFS(#REF!,#REF!,$A:$A),"-")</f>
        <v>-</v>
      </c>
      <c r="G32" s="40" t="str">
        <f>IFERROR(AVERAGEIFS(#REF!,#REF!,A:A),"-")</f>
        <v>-</v>
      </c>
      <c r="H32" s="40" t="str">
        <f>IFERROR(AVERAGEIFS(#REF!,#REF!,$A:$A),"-")</f>
        <v>-</v>
      </c>
      <c r="I32" s="40" t="str">
        <f>IFERROR(AVERAGEIFS(#REF!,#REF!,$A:$A),"-")</f>
        <v>-</v>
      </c>
      <c r="J32" s="40" t="str">
        <f>IFERROR(AVERAGEIFS(#REF!,#REF!,$A:$A),"-")</f>
        <v>-</v>
      </c>
      <c r="K32" s="40" t="str">
        <f>IFERROR(AVERAGEIFS(#REF!,#REF!,$A:$A),"-")</f>
        <v>-</v>
      </c>
      <c r="L32" s="40" t="str">
        <f>IFERROR(AVERAGEIFS(#REF!,#REF!,$A:$A),"-")</f>
        <v>-</v>
      </c>
      <c r="M32" s="40" t="str">
        <f>IFERROR(AVERAGEIFS(#REF!,#REF!,$A:$A),"-")</f>
        <v>-</v>
      </c>
      <c r="N32" s="40" t="str">
        <f>IFERROR(AVERAGEIFS(#REF!,#REF!,$A:$A),"-")</f>
        <v>-</v>
      </c>
      <c r="O32" s="40" t="str">
        <f>IFERROR(AVERAGEIFS(#REF!,#REF!,$A:$A),"-")</f>
        <v>-</v>
      </c>
      <c r="P32" s="40" t="str">
        <f>IFERROR(AVERAGEIFS(#REF!,#REF!,$A:$A),"-")</f>
        <v>-</v>
      </c>
      <c r="Q32" s="40" t="str">
        <f>IFERROR(AVERAGEIFS(#REF!,#REF!,$A:$A),"-")</f>
        <v>-</v>
      </c>
      <c r="R32" s="40" t="str">
        <f>IFERROR(AVERAGEIFS(#REF!,#REF!,$A:$A),"-")</f>
        <v>-</v>
      </c>
      <c r="S32" s="40" t="str">
        <f>IFERROR(AVERAGEIFS(#REF!,#REF!,$A:$A),"-")</f>
        <v>-</v>
      </c>
      <c r="T32" s="40" t="str">
        <f>IFERROR(AVERAGEIFS(#REF!,#REF!,$A:$A),"-")</f>
        <v>-</v>
      </c>
      <c r="U32" s="40" t="str">
        <f>IFERROR(AVERAGEIFS(#REF!,#REF!,$A:$A),"-")</f>
        <v>-</v>
      </c>
      <c r="V32" s="40" t="str">
        <f>IFERROR(AVERAGEIFS(#REF!,#REF!,$A:$A),"-")</f>
        <v>-</v>
      </c>
      <c r="W32" s="40" t="str">
        <f t="shared" si="0"/>
        <v>-</v>
      </c>
      <c r="X32" s="40" t="str">
        <f t="shared" si="1"/>
        <v>-</v>
      </c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ht="12.75">
      <c r="A33" s="39" t="s">
        <v>80</v>
      </c>
      <c r="B33" s="40">
        <f>IFERROR(AVERAGEIFS('сентябрь 2024- июнь 2026'!$K:$K,'сентябрь 2024- июнь 2026'!$E:$E,$A:$A),"-")</f>
        <v>3.37</v>
      </c>
      <c r="C33" s="40" t="str">
        <f>IFERROR(AVERAGEIFS(#REF!,#REF!,$A:$A),"-")</f>
        <v>-</v>
      </c>
      <c r="D33" s="40" t="str">
        <f>IFERROR(AVERAGEIFS(#REF!,#REF!,$A:$A),"-")</f>
        <v>-</v>
      </c>
      <c r="E33" s="40" t="str">
        <f>IFERROR(AVERAGEIFS(#REF!,#REF!,$A:$A),"-")</f>
        <v>-</v>
      </c>
      <c r="F33" s="40" t="str">
        <f>IFERROR(AVERAGEIFS(#REF!,#REF!,$A:$A),"-")</f>
        <v>-</v>
      </c>
      <c r="G33" s="40" t="str">
        <f>IFERROR(AVERAGEIFS(#REF!,#REF!,A:A),"-")</f>
        <v>-</v>
      </c>
      <c r="H33" s="40" t="str">
        <f>IFERROR(AVERAGEIFS(#REF!,#REF!,$A:$A),"-")</f>
        <v>-</v>
      </c>
      <c r="I33" s="40" t="str">
        <f>IFERROR(AVERAGEIFS(#REF!,#REF!,$A:$A),"-")</f>
        <v>-</v>
      </c>
      <c r="J33" s="40" t="str">
        <f>IFERROR(AVERAGEIFS(#REF!,#REF!,$A:$A),"-")</f>
        <v>-</v>
      </c>
      <c r="K33" s="40" t="str">
        <f>IFERROR(AVERAGEIFS(#REF!,#REF!,$A:$A),"-")</f>
        <v>-</v>
      </c>
      <c r="L33" s="40" t="str">
        <f>IFERROR(AVERAGEIFS(#REF!,#REF!,$A:$A),"-")</f>
        <v>-</v>
      </c>
      <c r="M33" s="40" t="str">
        <f>IFERROR(AVERAGEIFS(#REF!,#REF!,$A:$A),"-")</f>
        <v>-</v>
      </c>
      <c r="N33" s="40" t="str">
        <f>IFERROR(AVERAGEIFS(#REF!,#REF!,$A:$A),"-")</f>
        <v>-</v>
      </c>
      <c r="O33" s="40" t="str">
        <f>IFERROR(AVERAGEIFS(#REF!,#REF!,$A:$A),"-")</f>
        <v>-</v>
      </c>
      <c r="P33" s="40" t="str">
        <f>IFERROR(AVERAGEIFS(#REF!,#REF!,$A:$A),"-")</f>
        <v>-</v>
      </c>
      <c r="Q33" s="40" t="str">
        <f>IFERROR(AVERAGEIFS(#REF!,#REF!,$A:$A),"-")</f>
        <v>-</v>
      </c>
      <c r="R33" s="40" t="str">
        <f>IFERROR(AVERAGEIFS(#REF!,#REF!,$A:$A),"-")</f>
        <v>-</v>
      </c>
      <c r="S33" s="40" t="str">
        <f>IFERROR(AVERAGEIFS(#REF!,#REF!,$A:$A),"-")</f>
        <v>-</v>
      </c>
      <c r="T33" s="40" t="str">
        <f>IFERROR(AVERAGEIFS(#REF!,#REF!,$A:$A),"-")</f>
        <v>-</v>
      </c>
      <c r="U33" s="40" t="str">
        <f>IFERROR(AVERAGEIFS(#REF!,#REF!,$A:$A),"-")</f>
        <v>-</v>
      </c>
      <c r="V33" s="40" t="str">
        <f>IFERROR(AVERAGEIFS(#REF!,#REF!,$A:$A),"-")</f>
        <v>-</v>
      </c>
      <c r="W33" s="40" t="str">
        <f t="shared" si="0"/>
        <v>-</v>
      </c>
      <c r="X33" s="40" t="str">
        <f t="shared" si="1"/>
        <v>-</v>
      </c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ht="12.75">
      <c r="A34" s="39" t="s">
        <v>81</v>
      </c>
      <c r="B34" s="40">
        <f>IFERROR(AVERAGEIFS('сентябрь 2024- июнь 2026'!$K:$K,'сентябрь 2024- июнь 2026'!$E:$E,$A:$A),"-")</f>
        <v>2.59</v>
      </c>
      <c r="C34" s="40" t="str">
        <f>IFERROR(AVERAGEIFS(#REF!,#REF!,$A:$A),"-")</f>
        <v>-</v>
      </c>
      <c r="D34" s="40" t="str">
        <f>IFERROR(AVERAGEIFS(#REF!,#REF!,$A:$A),"-")</f>
        <v>-</v>
      </c>
      <c r="E34" s="40" t="str">
        <f>IFERROR(AVERAGEIFS(#REF!,#REF!,$A:$A),"-")</f>
        <v>-</v>
      </c>
      <c r="F34" s="40" t="str">
        <f>IFERROR(AVERAGEIFS(#REF!,#REF!,$A:$A),"-")</f>
        <v>-</v>
      </c>
      <c r="G34" s="40" t="str">
        <f>IFERROR(AVERAGEIFS(#REF!,#REF!,A:A),"-")</f>
        <v>-</v>
      </c>
      <c r="H34" s="40" t="str">
        <f>IFERROR(AVERAGEIFS(#REF!,#REF!,$A:$A),"-")</f>
        <v>-</v>
      </c>
      <c r="I34" s="40" t="str">
        <f>IFERROR(AVERAGEIFS(#REF!,#REF!,$A:$A),"-")</f>
        <v>-</v>
      </c>
      <c r="J34" s="40" t="str">
        <f>IFERROR(AVERAGEIFS(#REF!,#REF!,$A:$A),"-")</f>
        <v>-</v>
      </c>
      <c r="K34" s="40" t="str">
        <f>IFERROR(AVERAGEIFS(#REF!,#REF!,$A:$A),"-")</f>
        <v>-</v>
      </c>
      <c r="L34" s="40" t="str">
        <f>IFERROR(AVERAGEIFS(#REF!,#REF!,$A:$A),"-")</f>
        <v>-</v>
      </c>
      <c r="M34" s="40" t="str">
        <f>IFERROR(AVERAGEIFS(#REF!,#REF!,$A:$A),"-")</f>
        <v>-</v>
      </c>
      <c r="N34" s="40" t="str">
        <f>IFERROR(AVERAGEIFS(#REF!,#REF!,$A:$A),"-")</f>
        <v>-</v>
      </c>
      <c r="O34" s="40" t="str">
        <f>IFERROR(AVERAGEIFS(#REF!,#REF!,$A:$A),"-")</f>
        <v>-</v>
      </c>
      <c r="P34" s="40" t="str">
        <f>IFERROR(AVERAGEIFS(#REF!,#REF!,$A:$A),"-")</f>
        <v>-</v>
      </c>
      <c r="Q34" s="40" t="str">
        <f>IFERROR(AVERAGEIFS(#REF!,#REF!,$A:$A),"-")</f>
        <v>-</v>
      </c>
      <c r="R34" s="40" t="str">
        <f>IFERROR(AVERAGEIFS(#REF!,#REF!,$A:$A),"-")</f>
        <v>-</v>
      </c>
      <c r="S34" s="40" t="str">
        <f>IFERROR(AVERAGEIFS(#REF!,#REF!,$A:$A),"-")</f>
        <v>-</v>
      </c>
      <c r="T34" s="40" t="str">
        <f>IFERROR(AVERAGEIFS(#REF!,#REF!,$A:$A),"-")</f>
        <v>-</v>
      </c>
      <c r="U34" s="40" t="str">
        <f>IFERROR(AVERAGEIFS(#REF!,#REF!,$A:$A),"-")</f>
        <v>-</v>
      </c>
      <c r="V34" s="40" t="str">
        <f>IFERROR(AVERAGEIFS(#REF!,#REF!,$A:$A),"-")</f>
        <v>-</v>
      </c>
      <c r="W34" s="40" t="str">
        <f t="shared" si="0"/>
        <v>-</v>
      </c>
      <c r="X34" s="40" t="str">
        <f t="shared" si="1"/>
        <v>-</v>
      </c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ht="12.75">
      <c r="A35" s="39" t="s">
        <v>82</v>
      </c>
      <c r="B35" s="40">
        <f>IFERROR(AVERAGEIFS('сентябрь 2024- июнь 2026'!$K:$K,'сентябрь 2024- июнь 2026'!$E:$E,$A:$A),"-")</f>
        <v>3.21</v>
      </c>
      <c r="C35" s="40" t="str">
        <f>IFERROR(AVERAGEIFS(#REF!,#REF!,$A:$A),"-")</f>
        <v>-</v>
      </c>
      <c r="D35" s="40" t="str">
        <f>IFERROR(AVERAGEIFS(#REF!,#REF!,$A:$A),"-")</f>
        <v>-</v>
      </c>
      <c r="E35" s="40" t="str">
        <f>IFERROR(AVERAGEIFS(#REF!,#REF!,$A:$A),"-")</f>
        <v>-</v>
      </c>
      <c r="F35" s="40" t="str">
        <f>IFERROR(AVERAGEIFS(#REF!,#REF!,$A:$A),"-")</f>
        <v>-</v>
      </c>
      <c r="G35" s="40" t="str">
        <f>IFERROR(AVERAGEIFS(#REF!,#REF!,A:A),"-")</f>
        <v>-</v>
      </c>
      <c r="H35" s="40" t="str">
        <f>IFERROR(AVERAGEIFS(#REF!,#REF!,$A:$A),"-")</f>
        <v>-</v>
      </c>
      <c r="I35" s="40" t="str">
        <f>IFERROR(AVERAGEIFS(#REF!,#REF!,$A:$A),"-")</f>
        <v>-</v>
      </c>
      <c r="J35" s="40" t="str">
        <f>IFERROR(AVERAGEIFS(#REF!,#REF!,$A:$A),"-")</f>
        <v>-</v>
      </c>
      <c r="K35" s="40" t="str">
        <f>IFERROR(AVERAGEIFS(#REF!,#REF!,$A:$A),"-")</f>
        <v>-</v>
      </c>
      <c r="L35" s="40" t="str">
        <f>IFERROR(AVERAGEIFS(#REF!,#REF!,$A:$A),"-")</f>
        <v>-</v>
      </c>
      <c r="M35" s="40" t="str">
        <f>IFERROR(AVERAGEIFS(#REF!,#REF!,$A:$A),"-")</f>
        <v>-</v>
      </c>
      <c r="N35" s="40" t="str">
        <f>IFERROR(AVERAGEIFS(#REF!,#REF!,$A:$A),"-")</f>
        <v>-</v>
      </c>
      <c r="O35" s="40" t="str">
        <f>IFERROR(AVERAGEIFS(#REF!,#REF!,$A:$A),"-")</f>
        <v>-</v>
      </c>
      <c r="P35" s="40" t="str">
        <f>IFERROR(AVERAGEIFS(#REF!,#REF!,$A:$A),"-")</f>
        <v>-</v>
      </c>
      <c r="Q35" s="40" t="str">
        <f>IFERROR(AVERAGEIFS(#REF!,#REF!,$A:$A),"-")</f>
        <v>-</v>
      </c>
      <c r="R35" s="40" t="str">
        <f>IFERROR(AVERAGEIFS(#REF!,#REF!,$A:$A),"-")</f>
        <v>-</v>
      </c>
      <c r="S35" s="40" t="str">
        <f>IFERROR(AVERAGEIFS(#REF!,#REF!,$A:$A),"-")</f>
        <v>-</v>
      </c>
      <c r="T35" s="40" t="str">
        <f>IFERROR(AVERAGEIFS(#REF!,#REF!,$A:$A),"-")</f>
        <v>-</v>
      </c>
      <c r="U35" s="40" t="str">
        <f>IFERROR(AVERAGEIFS(#REF!,#REF!,$A:$A),"-")</f>
        <v>-</v>
      </c>
      <c r="V35" s="40" t="str">
        <f>IFERROR(AVERAGEIFS(#REF!,#REF!,$A:$A),"-")</f>
        <v>-</v>
      </c>
      <c r="W35" s="40" t="str">
        <f t="shared" si="0"/>
        <v>-</v>
      </c>
      <c r="X35" s="40" t="str">
        <f t="shared" si="1"/>
        <v>-</v>
      </c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ht="12.75">
      <c r="A36" s="39" t="s">
        <v>83</v>
      </c>
      <c r="B36" s="40">
        <f>IFERROR(AVERAGEIFS('сентябрь 2024- июнь 2026'!$K:$K,'сентябрь 2024- июнь 2026'!$E:$E,$A:$A),"-")</f>
        <v>3.81</v>
      </c>
      <c r="C36" s="40" t="str">
        <f>IFERROR(AVERAGEIFS(#REF!,#REF!,$A:$A),"-")</f>
        <v>-</v>
      </c>
      <c r="D36" s="40" t="str">
        <f>IFERROR(AVERAGEIFS(#REF!,#REF!,$A:$A),"-")</f>
        <v>-</v>
      </c>
      <c r="E36" s="40" t="str">
        <f>IFERROR(AVERAGEIFS(#REF!,#REF!,$A:$A),"-")</f>
        <v>-</v>
      </c>
      <c r="F36" s="40" t="str">
        <f>IFERROR(AVERAGEIFS(#REF!,#REF!,$A:$A),"-")</f>
        <v>-</v>
      </c>
      <c r="G36" s="40" t="str">
        <f>IFERROR(AVERAGEIFS(#REF!,#REF!,A:A),"-")</f>
        <v>-</v>
      </c>
      <c r="H36" s="40" t="str">
        <f>IFERROR(AVERAGEIFS(#REF!,#REF!,$A:$A),"-")</f>
        <v>-</v>
      </c>
      <c r="I36" s="40" t="str">
        <f>IFERROR(AVERAGEIFS(#REF!,#REF!,$A:$A),"-")</f>
        <v>-</v>
      </c>
      <c r="J36" s="40" t="str">
        <f>IFERROR(AVERAGEIFS(#REF!,#REF!,$A:$A),"-")</f>
        <v>-</v>
      </c>
      <c r="K36" s="40" t="str">
        <f>IFERROR(AVERAGEIFS(#REF!,#REF!,$A:$A),"-")</f>
        <v>-</v>
      </c>
      <c r="L36" s="40" t="str">
        <f>IFERROR(AVERAGEIFS(#REF!,#REF!,$A:$A),"-")</f>
        <v>-</v>
      </c>
      <c r="M36" s="40" t="str">
        <f>IFERROR(AVERAGEIFS(#REF!,#REF!,$A:$A),"-")</f>
        <v>-</v>
      </c>
      <c r="N36" s="40" t="str">
        <f>IFERROR(AVERAGEIFS(#REF!,#REF!,$A:$A),"-")</f>
        <v>-</v>
      </c>
      <c r="O36" s="40" t="str">
        <f>IFERROR(AVERAGEIFS(#REF!,#REF!,$A:$A),"-")</f>
        <v>-</v>
      </c>
      <c r="P36" s="40" t="str">
        <f>IFERROR(AVERAGEIFS(#REF!,#REF!,$A:$A),"-")</f>
        <v>-</v>
      </c>
      <c r="Q36" s="40" t="str">
        <f>IFERROR(AVERAGEIFS(#REF!,#REF!,$A:$A),"-")</f>
        <v>-</v>
      </c>
      <c r="R36" s="40" t="str">
        <f>IFERROR(AVERAGEIFS(#REF!,#REF!,$A:$A),"-")</f>
        <v>-</v>
      </c>
      <c r="S36" s="40" t="str">
        <f>IFERROR(AVERAGEIFS(#REF!,#REF!,$A:$A),"-")</f>
        <v>-</v>
      </c>
      <c r="T36" s="40" t="str">
        <f>IFERROR(AVERAGEIFS(#REF!,#REF!,$A:$A),"-")</f>
        <v>-</v>
      </c>
      <c r="U36" s="40" t="str">
        <f>IFERROR(AVERAGEIFS(#REF!,#REF!,$A:$A),"-")</f>
        <v>-</v>
      </c>
      <c r="V36" s="40" t="str">
        <f>IFERROR(AVERAGEIFS(#REF!,#REF!,$A:$A),"-")</f>
        <v>-</v>
      </c>
      <c r="W36" s="40" t="str">
        <f t="shared" si="0"/>
        <v>-</v>
      </c>
      <c r="X36" s="40" t="str">
        <f t="shared" si="1"/>
        <v>-</v>
      </c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ht="12.75">
      <c r="A37" s="39" t="s">
        <v>84</v>
      </c>
      <c r="B37" s="40">
        <f>IFERROR(AVERAGEIFS('сентябрь 2024- июнь 2026'!$K:$K,'сентябрь 2024- июнь 2026'!$E:$E,$A:$A),"-")</f>
        <v>2.0937499999999996</v>
      </c>
      <c r="C37" s="40" t="str">
        <f>IFERROR(AVERAGEIFS(#REF!,#REF!,$A:$A),"-")</f>
        <v>-</v>
      </c>
      <c r="D37" s="40" t="str">
        <f>IFERROR(AVERAGEIFS(#REF!,#REF!,$A:$A),"-")</f>
        <v>-</v>
      </c>
      <c r="E37" s="40" t="str">
        <f>IFERROR(AVERAGEIFS(#REF!,#REF!,$A:$A),"-")</f>
        <v>-</v>
      </c>
      <c r="F37" s="40" t="str">
        <f>IFERROR(AVERAGEIFS(#REF!,#REF!,$A:$A),"-")</f>
        <v>-</v>
      </c>
      <c r="G37" s="40" t="str">
        <f>IFERROR(AVERAGEIFS(#REF!,#REF!,A:A),"-")</f>
        <v>-</v>
      </c>
      <c r="H37" s="40" t="str">
        <f>IFERROR(AVERAGEIFS(#REF!,#REF!,$A:$A),"-")</f>
        <v>-</v>
      </c>
      <c r="I37" s="40" t="str">
        <f>IFERROR(AVERAGEIFS(#REF!,#REF!,$A:$A),"-")</f>
        <v>-</v>
      </c>
      <c r="J37" s="40" t="str">
        <f>IFERROR(AVERAGEIFS(#REF!,#REF!,$A:$A),"-")</f>
        <v>-</v>
      </c>
      <c r="K37" s="40" t="str">
        <f>IFERROR(AVERAGEIFS(#REF!,#REF!,$A:$A),"-")</f>
        <v>-</v>
      </c>
      <c r="L37" s="40" t="str">
        <f>IFERROR(AVERAGEIFS(#REF!,#REF!,$A:$A),"-")</f>
        <v>-</v>
      </c>
      <c r="M37" s="40" t="str">
        <f>IFERROR(AVERAGEIFS(#REF!,#REF!,$A:$A),"-")</f>
        <v>-</v>
      </c>
      <c r="N37" s="40" t="str">
        <f>IFERROR(AVERAGEIFS(#REF!,#REF!,$A:$A),"-")</f>
        <v>-</v>
      </c>
      <c r="O37" s="40" t="str">
        <f>IFERROR(AVERAGEIFS(#REF!,#REF!,$A:$A),"-")</f>
        <v>-</v>
      </c>
      <c r="P37" s="40" t="str">
        <f>IFERROR(AVERAGEIFS(#REF!,#REF!,$A:$A),"-")</f>
        <v>-</v>
      </c>
      <c r="Q37" s="40" t="str">
        <f>IFERROR(AVERAGEIFS(#REF!,#REF!,$A:$A),"-")</f>
        <v>-</v>
      </c>
      <c r="R37" s="40" t="str">
        <f>IFERROR(AVERAGEIFS(#REF!,#REF!,$A:$A),"-")</f>
        <v>-</v>
      </c>
      <c r="S37" s="40" t="str">
        <f>IFERROR(AVERAGEIFS(#REF!,#REF!,$A:$A),"-")</f>
        <v>-</v>
      </c>
      <c r="T37" s="40" t="str">
        <f>IFERROR(AVERAGEIFS(#REF!,#REF!,$A:$A),"-")</f>
        <v>-</v>
      </c>
      <c r="U37" s="40" t="str">
        <f>IFERROR(AVERAGEIFS(#REF!,#REF!,$A:$A),"-")</f>
        <v>-</v>
      </c>
      <c r="V37" s="40" t="str">
        <f>IFERROR(AVERAGEIFS(#REF!,#REF!,$A:$A),"-")</f>
        <v>-</v>
      </c>
      <c r="W37" s="40" t="str">
        <f t="shared" si="0"/>
        <v>-</v>
      </c>
      <c r="X37" s="40" t="str">
        <f t="shared" si="1"/>
        <v>-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ht="12.75">
      <c r="A38" s="39" t="s">
        <v>85</v>
      </c>
      <c r="B38" s="40">
        <f>IFERROR(AVERAGEIFS('сентябрь 2024- июнь 2026'!$K:$K,'сентябрь 2024- июнь 2026'!$E:$E,$A:$A),"-")</f>
        <v>2.52</v>
      </c>
      <c r="C38" s="40" t="str">
        <f>IFERROR(AVERAGEIFS(#REF!,#REF!,$A:$A),"-")</f>
        <v>-</v>
      </c>
      <c r="D38" s="40" t="str">
        <f>IFERROR(AVERAGEIFS(#REF!,#REF!,$A:$A),"-")</f>
        <v>-</v>
      </c>
      <c r="E38" s="40" t="str">
        <f>IFERROR(AVERAGEIFS(#REF!,#REF!,$A:$A),"-")</f>
        <v>-</v>
      </c>
      <c r="F38" s="40" t="str">
        <f>IFERROR(AVERAGEIFS(#REF!,#REF!,$A:$A),"-")</f>
        <v>-</v>
      </c>
      <c r="G38" s="40" t="str">
        <f>IFERROR(AVERAGEIFS(#REF!,#REF!,A:A),"-")</f>
        <v>-</v>
      </c>
      <c r="H38" s="40" t="str">
        <f>IFERROR(AVERAGEIFS(#REF!,#REF!,$A:$A),"-")</f>
        <v>-</v>
      </c>
      <c r="I38" s="40" t="str">
        <f>IFERROR(AVERAGEIFS(#REF!,#REF!,$A:$A),"-")</f>
        <v>-</v>
      </c>
      <c r="J38" s="40" t="str">
        <f>IFERROR(AVERAGEIFS(#REF!,#REF!,$A:$A),"-")</f>
        <v>-</v>
      </c>
      <c r="K38" s="40" t="str">
        <f>IFERROR(AVERAGEIFS(#REF!,#REF!,$A:$A),"-")</f>
        <v>-</v>
      </c>
      <c r="L38" s="40" t="str">
        <f>IFERROR(AVERAGEIFS(#REF!,#REF!,$A:$A),"-")</f>
        <v>-</v>
      </c>
      <c r="M38" s="40" t="str">
        <f>IFERROR(AVERAGEIFS(#REF!,#REF!,$A:$A),"-")</f>
        <v>-</v>
      </c>
      <c r="N38" s="40" t="str">
        <f>IFERROR(AVERAGEIFS(#REF!,#REF!,$A:$A),"-")</f>
        <v>-</v>
      </c>
      <c r="O38" s="40" t="str">
        <f>IFERROR(AVERAGEIFS(#REF!,#REF!,$A:$A),"-")</f>
        <v>-</v>
      </c>
      <c r="P38" s="40" t="str">
        <f>IFERROR(AVERAGEIFS(#REF!,#REF!,$A:$A),"-")</f>
        <v>-</v>
      </c>
      <c r="Q38" s="40" t="str">
        <f>IFERROR(AVERAGEIFS(#REF!,#REF!,$A:$A),"-")</f>
        <v>-</v>
      </c>
      <c r="R38" s="40" t="str">
        <f>IFERROR(AVERAGEIFS(#REF!,#REF!,$A:$A),"-")</f>
        <v>-</v>
      </c>
      <c r="S38" s="40" t="str">
        <f>IFERROR(AVERAGEIFS(#REF!,#REF!,$A:$A),"-")</f>
        <v>-</v>
      </c>
      <c r="T38" s="40" t="str">
        <f>IFERROR(AVERAGEIFS(#REF!,#REF!,$A:$A),"-")</f>
        <v>-</v>
      </c>
      <c r="U38" s="40" t="str">
        <f>IFERROR(AVERAGEIFS(#REF!,#REF!,$A:$A),"-")</f>
        <v>-</v>
      </c>
      <c r="V38" s="40" t="str">
        <f>IFERROR(AVERAGEIFS(#REF!,#REF!,$A:$A),"-")</f>
        <v>-</v>
      </c>
      <c r="W38" s="40" t="str">
        <f t="shared" si="0"/>
        <v>-</v>
      </c>
      <c r="X38" s="40" t="str">
        <f t="shared" si="1"/>
        <v>-</v>
      </c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ht="12.75">
      <c r="A39" s="39" t="s">
        <v>86</v>
      </c>
      <c r="B39" s="40">
        <f>IFERROR(AVERAGEIFS('сентябрь 2024- июнь 2026'!$K:$K,'сентябрь 2024- июнь 2026'!$E:$E,$A:$A),"-")</f>
        <v>3.5</v>
      </c>
      <c r="C39" s="40" t="str">
        <f>IFERROR(AVERAGEIFS(#REF!,#REF!,$A:$A),"-")</f>
        <v>-</v>
      </c>
      <c r="D39" s="40" t="str">
        <f>IFERROR(AVERAGEIFS(#REF!,#REF!,$A:$A),"-")</f>
        <v>-</v>
      </c>
      <c r="E39" s="40" t="str">
        <f>IFERROR(AVERAGEIFS(#REF!,#REF!,$A:$A),"-")</f>
        <v>-</v>
      </c>
      <c r="F39" s="40" t="str">
        <f>IFERROR(AVERAGEIFS(#REF!,#REF!,$A:$A),"-")</f>
        <v>-</v>
      </c>
      <c r="G39" s="40" t="str">
        <f>IFERROR(AVERAGEIFS(#REF!,#REF!,A:A),"-")</f>
        <v>-</v>
      </c>
      <c r="H39" s="40" t="str">
        <f>IFERROR(AVERAGEIFS(#REF!,#REF!,$A:$A),"-")</f>
        <v>-</v>
      </c>
      <c r="I39" s="40" t="str">
        <f>IFERROR(AVERAGEIFS(#REF!,#REF!,$A:$A),"-")</f>
        <v>-</v>
      </c>
      <c r="J39" s="40" t="str">
        <f>IFERROR(AVERAGEIFS(#REF!,#REF!,$A:$A),"-")</f>
        <v>-</v>
      </c>
      <c r="K39" s="40" t="str">
        <f>IFERROR(AVERAGEIFS(#REF!,#REF!,$A:$A),"-")</f>
        <v>-</v>
      </c>
      <c r="L39" s="40" t="str">
        <f>IFERROR(AVERAGEIFS(#REF!,#REF!,$A:$A),"-")</f>
        <v>-</v>
      </c>
      <c r="M39" s="40" t="str">
        <f>IFERROR(AVERAGEIFS(#REF!,#REF!,$A:$A),"-")</f>
        <v>-</v>
      </c>
      <c r="N39" s="40" t="str">
        <f>IFERROR(AVERAGEIFS(#REF!,#REF!,$A:$A),"-")</f>
        <v>-</v>
      </c>
      <c r="O39" s="40" t="str">
        <f>IFERROR(AVERAGEIFS(#REF!,#REF!,$A:$A),"-")</f>
        <v>-</v>
      </c>
      <c r="P39" s="40" t="str">
        <f>IFERROR(AVERAGEIFS(#REF!,#REF!,$A:$A),"-")</f>
        <v>-</v>
      </c>
      <c r="Q39" s="40" t="str">
        <f>IFERROR(AVERAGEIFS(#REF!,#REF!,$A:$A),"-")</f>
        <v>-</v>
      </c>
      <c r="R39" s="40" t="str">
        <f>IFERROR(AVERAGEIFS(#REF!,#REF!,$A:$A),"-")</f>
        <v>-</v>
      </c>
      <c r="S39" s="40" t="str">
        <f>IFERROR(AVERAGEIFS(#REF!,#REF!,$A:$A),"-")</f>
        <v>-</v>
      </c>
      <c r="T39" s="40" t="str">
        <f>IFERROR(AVERAGEIFS(#REF!,#REF!,$A:$A),"-")</f>
        <v>-</v>
      </c>
      <c r="U39" s="40" t="str">
        <f>IFERROR(AVERAGEIFS(#REF!,#REF!,$A:$A),"-")</f>
        <v>-</v>
      </c>
      <c r="V39" s="40" t="str">
        <f>IFERROR(AVERAGEIFS(#REF!,#REF!,$A:$A),"-")</f>
        <v>-</v>
      </c>
      <c r="W39" s="40" t="str">
        <f t="shared" si="0"/>
        <v>-</v>
      </c>
      <c r="X39" s="40" t="str">
        <f t="shared" si="1"/>
        <v>-</v>
      </c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ht="12.75">
      <c r="A40" s="39" t="s">
        <v>87</v>
      </c>
      <c r="B40" s="40">
        <f>IFERROR(AVERAGEIFS('сентябрь 2024- июнь 2026'!$K:$K,'сентябрь 2024- июнь 2026'!$E:$E,$A:$A),"-")</f>
        <v>2.2914285714285714</v>
      </c>
      <c r="C40" s="40" t="str">
        <f>IFERROR(AVERAGEIFS(#REF!,#REF!,$A:$A),"-")</f>
        <v>-</v>
      </c>
      <c r="D40" s="40" t="str">
        <f>IFERROR(AVERAGEIFS(#REF!,#REF!,$A:$A),"-")</f>
        <v>-</v>
      </c>
      <c r="E40" s="40" t="str">
        <f>IFERROR(AVERAGEIFS(#REF!,#REF!,$A:$A),"-")</f>
        <v>-</v>
      </c>
      <c r="F40" s="40" t="str">
        <f>IFERROR(AVERAGEIFS(#REF!,#REF!,$A:$A),"-")</f>
        <v>-</v>
      </c>
      <c r="G40" s="40" t="str">
        <f>IFERROR(AVERAGEIFS(#REF!,#REF!,A:A),"-")</f>
        <v>-</v>
      </c>
      <c r="H40" s="40" t="str">
        <f>IFERROR(AVERAGEIFS(#REF!,#REF!,$A:$A),"-")</f>
        <v>-</v>
      </c>
      <c r="I40" s="40" t="str">
        <f>IFERROR(AVERAGEIFS(#REF!,#REF!,$A:$A),"-")</f>
        <v>-</v>
      </c>
      <c r="J40" s="40" t="str">
        <f>IFERROR(AVERAGEIFS(#REF!,#REF!,$A:$A),"-")</f>
        <v>-</v>
      </c>
      <c r="K40" s="40" t="str">
        <f>IFERROR(AVERAGEIFS(#REF!,#REF!,$A:$A),"-")</f>
        <v>-</v>
      </c>
      <c r="L40" s="40" t="str">
        <f>IFERROR(AVERAGEIFS(#REF!,#REF!,$A:$A),"-")</f>
        <v>-</v>
      </c>
      <c r="M40" s="40" t="str">
        <f>IFERROR(AVERAGEIFS(#REF!,#REF!,$A:$A),"-")</f>
        <v>-</v>
      </c>
      <c r="N40" s="40" t="str">
        <f>IFERROR(AVERAGEIFS(#REF!,#REF!,$A:$A),"-")</f>
        <v>-</v>
      </c>
      <c r="O40" s="40" t="str">
        <f>IFERROR(AVERAGEIFS(#REF!,#REF!,$A:$A),"-")</f>
        <v>-</v>
      </c>
      <c r="P40" s="40" t="str">
        <f>IFERROR(AVERAGEIFS(#REF!,#REF!,$A:$A),"-")</f>
        <v>-</v>
      </c>
      <c r="Q40" s="40" t="str">
        <f>IFERROR(AVERAGEIFS(#REF!,#REF!,$A:$A),"-")</f>
        <v>-</v>
      </c>
      <c r="R40" s="40" t="str">
        <f>IFERROR(AVERAGEIFS(#REF!,#REF!,$A:$A),"-")</f>
        <v>-</v>
      </c>
      <c r="S40" s="40" t="str">
        <f>IFERROR(AVERAGEIFS(#REF!,#REF!,$A:$A),"-")</f>
        <v>-</v>
      </c>
      <c r="T40" s="40" t="str">
        <f>IFERROR(AVERAGEIFS(#REF!,#REF!,$A:$A),"-")</f>
        <v>-</v>
      </c>
      <c r="U40" s="40" t="str">
        <f>IFERROR(AVERAGEIFS(#REF!,#REF!,$A:$A),"-")</f>
        <v>-</v>
      </c>
      <c r="V40" s="40" t="str">
        <f>IFERROR(AVERAGEIFS(#REF!,#REF!,$A:$A),"-")</f>
        <v>-</v>
      </c>
      <c r="W40" s="40" t="str">
        <f t="shared" si="0"/>
        <v>-</v>
      </c>
      <c r="X40" s="40" t="str">
        <f t="shared" si="1"/>
        <v>-</v>
      </c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ht="12.75">
      <c r="A41" s="39" t="s">
        <v>88</v>
      </c>
      <c r="B41" s="40">
        <f>IFERROR(AVERAGEIFS('сентябрь 2024- июнь 2026'!$K:$K,'сентябрь 2024- июнь 2026'!$E:$E,$A:$A),"-")</f>
        <v>2.9</v>
      </c>
      <c r="C41" s="40" t="str">
        <f>IFERROR(AVERAGEIFS(#REF!,#REF!,$A:$A),"-")</f>
        <v>-</v>
      </c>
      <c r="D41" s="40" t="str">
        <f>IFERROR(AVERAGEIFS(#REF!,#REF!,$A:$A),"-")</f>
        <v>-</v>
      </c>
      <c r="E41" s="40" t="str">
        <f>IFERROR(AVERAGEIFS(#REF!,#REF!,$A:$A),"-")</f>
        <v>-</v>
      </c>
      <c r="F41" s="40" t="str">
        <f>IFERROR(AVERAGEIFS(#REF!,#REF!,$A:$A),"-")</f>
        <v>-</v>
      </c>
      <c r="G41" s="40" t="str">
        <f>IFERROR(AVERAGEIFS(#REF!,#REF!,A:A),"-")</f>
        <v>-</v>
      </c>
      <c r="H41" s="40" t="str">
        <f>IFERROR(AVERAGEIFS(#REF!,#REF!,$A:$A),"-")</f>
        <v>-</v>
      </c>
      <c r="I41" s="40" t="str">
        <f>IFERROR(AVERAGEIFS(#REF!,#REF!,$A:$A),"-")</f>
        <v>-</v>
      </c>
      <c r="J41" s="40" t="str">
        <f>IFERROR(AVERAGEIFS(#REF!,#REF!,$A:$A),"-")</f>
        <v>-</v>
      </c>
      <c r="K41" s="40" t="str">
        <f>IFERROR(AVERAGEIFS(#REF!,#REF!,$A:$A),"-")</f>
        <v>-</v>
      </c>
      <c r="L41" s="40" t="str">
        <f>IFERROR(AVERAGEIFS(#REF!,#REF!,$A:$A),"-")</f>
        <v>-</v>
      </c>
      <c r="M41" s="40" t="str">
        <f>IFERROR(AVERAGEIFS(#REF!,#REF!,$A:$A),"-")</f>
        <v>-</v>
      </c>
      <c r="N41" s="40" t="str">
        <f>IFERROR(AVERAGEIFS(#REF!,#REF!,$A:$A),"-")</f>
        <v>-</v>
      </c>
      <c r="O41" s="40" t="str">
        <f>IFERROR(AVERAGEIFS(#REF!,#REF!,$A:$A),"-")</f>
        <v>-</v>
      </c>
      <c r="P41" s="40" t="str">
        <f>IFERROR(AVERAGEIFS(#REF!,#REF!,$A:$A),"-")</f>
        <v>-</v>
      </c>
      <c r="Q41" s="40" t="str">
        <f>IFERROR(AVERAGEIFS(#REF!,#REF!,$A:$A),"-")</f>
        <v>-</v>
      </c>
      <c r="R41" s="40" t="str">
        <f>IFERROR(AVERAGEIFS(#REF!,#REF!,$A:$A),"-")</f>
        <v>-</v>
      </c>
      <c r="S41" s="40" t="str">
        <f>IFERROR(AVERAGEIFS(#REF!,#REF!,$A:$A),"-")</f>
        <v>-</v>
      </c>
      <c r="T41" s="40" t="str">
        <f>IFERROR(AVERAGEIFS(#REF!,#REF!,$A:$A),"-")</f>
        <v>-</v>
      </c>
      <c r="U41" s="40" t="str">
        <f>IFERROR(AVERAGEIFS(#REF!,#REF!,$A:$A),"-")</f>
        <v>-</v>
      </c>
      <c r="V41" s="40" t="str">
        <f>IFERROR(AVERAGEIFS(#REF!,#REF!,$A:$A),"-")</f>
        <v>-</v>
      </c>
      <c r="W41" s="40" t="str">
        <f t="shared" si="0"/>
        <v>-</v>
      </c>
      <c r="X41" s="40" t="str">
        <f t="shared" si="1"/>
        <v>-</v>
      </c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ht="12.75">
      <c r="A42" s="39" t="s">
        <v>89</v>
      </c>
      <c r="B42" s="40">
        <f>IFERROR(AVERAGEIFS('сентябрь 2024- июнь 2026'!$K:$K,'сентябрь 2024- июнь 2026'!$E:$E,$A:$A),"-")</f>
        <v>2.8506249999999995</v>
      </c>
      <c r="C42" s="40" t="str">
        <f>IFERROR(AVERAGEIFS(#REF!,#REF!,$A:$A),"-")</f>
        <v>-</v>
      </c>
      <c r="D42" s="40" t="str">
        <f>IFERROR(AVERAGEIFS(#REF!,#REF!,$A:$A),"-")</f>
        <v>-</v>
      </c>
      <c r="E42" s="40" t="str">
        <f>IFERROR(AVERAGEIFS(#REF!,#REF!,$A:$A),"-")</f>
        <v>-</v>
      </c>
      <c r="F42" s="40" t="str">
        <f>IFERROR(AVERAGEIFS(#REF!,#REF!,$A:$A),"-")</f>
        <v>-</v>
      </c>
      <c r="G42" s="40" t="str">
        <f>IFERROR(AVERAGEIFS(#REF!,#REF!,A:A),"-")</f>
        <v>-</v>
      </c>
      <c r="H42" s="40" t="str">
        <f>IFERROR(AVERAGEIFS(#REF!,#REF!,$A:$A),"-")</f>
        <v>-</v>
      </c>
      <c r="I42" s="40" t="str">
        <f>IFERROR(AVERAGEIFS(#REF!,#REF!,$A:$A),"-")</f>
        <v>-</v>
      </c>
      <c r="J42" s="40" t="str">
        <f>IFERROR(AVERAGEIFS(#REF!,#REF!,$A:$A),"-")</f>
        <v>-</v>
      </c>
      <c r="K42" s="40" t="str">
        <f>IFERROR(AVERAGEIFS(#REF!,#REF!,$A:$A),"-")</f>
        <v>-</v>
      </c>
      <c r="L42" s="40" t="str">
        <f>IFERROR(AVERAGEIFS(#REF!,#REF!,$A:$A),"-")</f>
        <v>-</v>
      </c>
      <c r="M42" s="40" t="str">
        <f>IFERROR(AVERAGEIFS(#REF!,#REF!,$A:$A),"-")</f>
        <v>-</v>
      </c>
      <c r="N42" s="40" t="str">
        <f>IFERROR(AVERAGEIFS(#REF!,#REF!,$A:$A),"-")</f>
        <v>-</v>
      </c>
      <c r="O42" s="40" t="str">
        <f>IFERROR(AVERAGEIFS(#REF!,#REF!,$A:$A),"-")</f>
        <v>-</v>
      </c>
      <c r="P42" s="40" t="str">
        <f>IFERROR(AVERAGEIFS(#REF!,#REF!,$A:$A),"-")</f>
        <v>-</v>
      </c>
      <c r="Q42" s="40" t="str">
        <f>IFERROR(AVERAGEIFS(#REF!,#REF!,$A:$A),"-")</f>
        <v>-</v>
      </c>
      <c r="R42" s="40" t="str">
        <f>IFERROR(AVERAGEIFS(#REF!,#REF!,$A:$A),"-")</f>
        <v>-</v>
      </c>
      <c r="S42" s="40" t="str">
        <f>IFERROR(AVERAGEIFS(#REF!,#REF!,$A:$A),"-")</f>
        <v>-</v>
      </c>
      <c r="T42" s="40" t="str">
        <f>IFERROR(AVERAGEIFS(#REF!,#REF!,$A:$A),"-")</f>
        <v>-</v>
      </c>
      <c r="U42" s="40" t="str">
        <f>IFERROR(AVERAGEIFS(#REF!,#REF!,$A:$A),"-")</f>
        <v>-</v>
      </c>
      <c r="V42" s="40" t="str">
        <f>IFERROR(AVERAGEIFS(#REF!,#REF!,$A:$A),"-")</f>
        <v>-</v>
      </c>
      <c r="W42" s="40" t="str">
        <f t="shared" si="0"/>
        <v>-</v>
      </c>
      <c r="X42" s="40" t="str">
        <f t="shared" si="1"/>
        <v>-</v>
      </c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ht="12.75">
      <c r="A43" s="39" t="s">
        <v>90</v>
      </c>
      <c r="B43" s="40">
        <f>IFERROR(AVERAGEIFS('сентябрь 2024- июнь 2026'!$K:$K,'сентябрь 2024- июнь 2026'!$E:$E,$A:$A),"-")</f>
        <v>3.65</v>
      </c>
      <c r="C43" s="40" t="str">
        <f>IFERROR(AVERAGEIFS(#REF!,#REF!,$A:$A),"-")</f>
        <v>-</v>
      </c>
      <c r="D43" s="40" t="str">
        <f>IFERROR(AVERAGEIFS(#REF!,#REF!,$A:$A),"-")</f>
        <v>-</v>
      </c>
      <c r="E43" s="40" t="str">
        <f>IFERROR(AVERAGEIFS(#REF!,#REF!,$A:$A),"-")</f>
        <v>-</v>
      </c>
      <c r="F43" s="40" t="str">
        <f>IFERROR(AVERAGEIFS(#REF!,#REF!,$A:$A),"-")</f>
        <v>-</v>
      </c>
      <c r="G43" s="40" t="str">
        <f>IFERROR(AVERAGEIFS(#REF!,#REF!,A:A),"-")</f>
        <v>-</v>
      </c>
      <c r="H43" s="40" t="str">
        <f>IFERROR(AVERAGEIFS(#REF!,#REF!,$A:$A),"-")</f>
        <v>-</v>
      </c>
      <c r="I43" s="40" t="str">
        <f>IFERROR(AVERAGEIFS(#REF!,#REF!,$A:$A),"-")</f>
        <v>-</v>
      </c>
      <c r="J43" s="40" t="str">
        <f>IFERROR(AVERAGEIFS(#REF!,#REF!,$A:$A),"-")</f>
        <v>-</v>
      </c>
      <c r="K43" s="40" t="str">
        <f>IFERROR(AVERAGEIFS(#REF!,#REF!,$A:$A),"-")</f>
        <v>-</v>
      </c>
      <c r="L43" s="40" t="str">
        <f>IFERROR(AVERAGEIFS(#REF!,#REF!,$A:$A),"-")</f>
        <v>-</v>
      </c>
      <c r="M43" s="40" t="str">
        <f>IFERROR(AVERAGEIFS(#REF!,#REF!,$A:$A),"-")</f>
        <v>-</v>
      </c>
      <c r="N43" s="40" t="str">
        <f>IFERROR(AVERAGEIFS(#REF!,#REF!,$A:$A),"-")</f>
        <v>-</v>
      </c>
      <c r="O43" s="40" t="str">
        <f>IFERROR(AVERAGEIFS(#REF!,#REF!,$A:$A),"-")</f>
        <v>-</v>
      </c>
      <c r="P43" s="40" t="str">
        <f>IFERROR(AVERAGEIFS(#REF!,#REF!,$A:$A),"-")</f>
        <v>-</v>
      </c>
      <c r="Q43" s="40" t="str">
        <f>IFERROR(AVERAGEIFS(#REF!,#REF!,$A:$A),"-")</f>
        <v>-</v>
      </c>
      <c r="R43" s="40" t="str">
        <f>IFERROR(AVERAGEIFS(#REF!,#REF!,$A:$A),"-")</f>
        <v>-</v>
      </c>
      <c r="S43" s="40" t="str">
        <f>IFERROR(AVERAGEIFS(#REF!,#REF!,$A:$A),"-")</f>
        <v>-</v>
      </c>
      <c r="T43" s="40" t="str">
        <f>IFERROR(AVERAGEIFS(#REF!,#REF!,$A:$A),"-")</f>
        <v>-</v>
      </c>
      <c r="U43" s="40" t="str">
        <f>IFERROR(AVERAGEIFS(#REF!,#REF!,$A:$A),"-")</f>
        <v>-</v>
      </c>
      <c r="V43" s="40" t="str">
        <f>IFERROR(AVERAGEIFS(#REF!,#REF!,$A:$A),"-")</f>
        <v>-</v>
      </c>
      <c r="W43" s="40" t="str">
        <f t="shared" si="0"/>
        <v>-</v>
      </c>
      <c r="X43" s="40" t="str">
        <f t="shared" si="1"/>
        <v>-</v>
      </c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ht="12.75">
      <c r="A44" s="39" t="s">
        <v>91</v>
      </c>
      <c r="B44" s="40" t="str">
        <f>IFERROR(AVERAGEIFS('сентябрь 2024- июнь 2026'!$K:$K,'сентябрь 2024- июнь 2026'!$E:$E,$A:$A),"-")</f>
        <v>-</v>
      </c>
      <c r="C44" s="40" t="str">
        <f>IFERROR(AVERAGEIFS(#REF!,#REF!,$A:$A),"-")</f>
        <v>-</v>
      </c>
      <c r="D44" s="40" t="str">
        <f>IFERROR(AVERAGEIFS(#REF!,#REF!,$A:$A),"-")</f>
        <v>-</v>
      </c>
      <c r="E44" s="40" t="str">
        <f>IFERROR(AVERAGEIFS(#REF!,#REF!,$A:$A),"-")</f>
        <v>-</v>
      </c>
      <c r="F44" s="40" t="str">
        <f>IFERROR(AVERAGEIFS(#REF!,#REF!,$A:$A),"-")</f>
        <v>-</v>
      </c>
      <c r="G44" s="40" t="str">
        <f>IFERROR(AVERAGEIFS(#REF!,#REF!,A:A),"-")</f>
        <v>-</v>
      </c>
      <c r="H44" s="40" t="str">
        <f>IFERROR(AVERAGEIFS(#REF!,#REF!,$A:$A),"-")</f>
        <v>-</v>
      </c>
      <c r="I44" s="40" t="str">
        <f>IFERROR(AVERAGEIFS(#REF!,#REF!,$A:$A),"-")</f>
        <v>-</v>
      </c>
      <c r="J44" s="40" t="str">
        <f>IFERROR(AVERAGEIFS(#REF!,#REF!,$A:$A),"-")</f>
        <v>-</v>
      </c>
      <c r="K44" s="40" t="str">
        <f>IFERROR(AVERAGEIFS(#REF!,#REF!,$A:$A),"-")</f>
        <v>-</v>
      </c>
      <c r="L44" s="40" t="str">
        <f>IFERROR(AVERAGEIFS(#REF!,#REF!,$A:$A),"-")</f>
        <v>-</v>
      </c>
      <c r="M44" s="40" t="str">
        <f>IFERROR(AVERAGEIFS(#REF!,#REF!,$A:$A),"-")</f>
        <v>-</v>
      </c>
      <c r="N44" s="40" t="str">
        <f>IFERROR(AVERAGEIFS(#REF!,#REF!,$A:$A),"-")</f>
        <v>-</v>
      </c>
      <c r="O44" s="40" t="str">
        <f>IFERROR(AVERAGEIFS(#REF!,#REF!,$A:$A),"-")</f>
        <v>-</v>
      </c>
      <c r="P44" s="40" t="str">
        <f>IFERROR(AVERAGEIFS(#REF!,#REF!,$A:$A),"-")</f>
        <v>-</v>
      </c>
      <c r="Q44" s="40" t="str">
        <f>IFERROR(AVERAGEIFS(#REF!,#REF!,$A:$A),"-")</f>
        <v>-</v>
      </c>
      <c r="R44" s="40" t="str">
        <f>IFERROR(AVERAGEIFS(#REF!,#REF!,$A:$A),"-")</f>
        <v>-</v>
      </c>
      <c r="S44" s="40" t="str">
        <f>IFERROR(AVERAGEIFS(#REF!,#REF!,$A:$A),"-")</f>
        <v>-</v>
      </c>
      <c r="T44" s="40" t="str">
        <f>IFERROR(AVERAGEIFS(#REF!,#REF!,$A:$A),"-")</f>
        <v>-</v>
      </c>
      <c r="U44" s="40" t="str">
        <f>IFERROR(AVERAGEIFS(#REF!,#REF!,$A:$A),"-")</f>
        <v>-</v>
      </c>
      <c r="V44" s="40" t="str">
        <f>IFERROR(AVERAGEIFS(#REF!,#REF!,$A:$A),"-")</f>
        <v>-</v>
      </c>
      <c r="W44" s="40" t="str">
        <f t="shared" si="0"/>
        <v>-</v>
      </c>
      <c r="X44" s="40" t="str">
        <f t="shared" si="1"/>
        <v>-</v>
      </c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ht="12.75">
      <c r="A45" s="41" t="s">
        <v>92</v>
      </c>
      <c r="B45" s="40">
        <f>IFERROR(AVERAGEIFS('сентябрь 2024- июнь 2026'!$K:$K,'сентябрь 2024- июнь 2026'!$E:$E,$A:$A),"-")</f>
        <v>2.3440000000000003</v>
      </c>
      <c r="C45" s="40" t="str">
        <f>IFERROR(AVERAGEIFS(#REF!,#REF!,$A:$A),"-")</f>
        <v>-</v>
      </c>
      <c r="D45" s="40" t="str">
        <f>IFERROR(AVERAGEIFS(#REF!,#REF!,$A:$A),"-")</f>
        <v>-</v>
      </c>
      <c r="E45" s="40" t="str">
        <f>IFERROR(AVERAGEIFS(#REF!,#REF!,$A:$A),"-")</f>
        <v>-</v>
      </c>
      <c r="F45" s="40" t="str">
        <f>IFERROR(AVERAGEIFS(#REF!,#REF!,$A:$A),"-")</f>
        <v>-</v>
      </c>
      <c r="G45" s="40" t="str">
        <f>IFERROR(AVERAGEIFS(#REF!,#REF!,A:A),"-")</f>
        <v>-</v>
      </c>
      <c r="H45" s="40" t="str">
        <f>IFERROR(AVERAGEIFS(#REF!,#REF!,$A:$A),"-")</f>
        <v>-</v>
      </c>
      <c r="I45" s="40" t="str">
        <f>IFERROR(AVERAGEIFS(#REF!,#REF!,$A:$A),"-")</f>
        <v>-</v>
      </c>
      <c r="J45" s="40" t="str">
        <f>IFERROR(AVERAGEIFS(#REF!,#REF!,$A:$A),"-")</f>
        <v>-</v>
      </c>
      <c r="K45" s="40" t="str">
        <f>IFERROR(AVERAGEIFS(#REF!,#REF!,$A:$A),"-")</f>
        <v>-</v>
      </c>
      <c r="L45" s="40" t="str">
        <f>IFERROR(AVERAGEIFS(#REF!,#REF!,$A:$A),"-")</f>
        <v>-</v>
      </c>
      <c r="M45" s="40" t="str">
        <f>IFERROR(AVERAGEIFS(#REF!,#REF!,$A:$A),"-")</f>
        <v>-</v>
      </c>
      <c r="N45" s="40" t="str">
        <f>IFERROR(AVERAGEIFS(#REF!,#REF!,$A:$A),"-")</f>
        <v>-</v>
      </c>
      <c r="O45" s="40" t="str">
        <f>IFERROR(AVERAGEIFS(#REF!,#REF!,$A:$A),"-")</f>
        <v>-</v>
      </c>
      <c r="P45" s="40" t="str">
        <f>IFERROR(AVERAGEIFS(#REF!,#REF!,$A:$A),"-")</f>
        <v>-</v>
      </c>
      <c r="Q45" s="40" t="str">
        <f>IFERROR(AVERAGEIFS(#REF!,#REF!,$A:$A),"-")</f>
        <v>-</v>
      </c>
      <c r="R45" s="40" t="str">
        <f>IFERROR(AVERAGEIFS(#REF!,#REF!,$A:$A),"-")</f>
        <v>-</v>
      </c>
      <c r="S45" s="40" t="str">
        <f>IFERROR(AVERAGEIFS(#REF!,#REF!,$A:$A),"-")</f>
        <v>-</v>
      </c>
      <c r="T45" s="40" t="str">
        <f>IFERROR(AVERAGEIFS(#REF!,#REF!,$A:$A),"-")</f>
        <v>-</v>
      </c>
      <c r="U45" s="40" t="str">
        <f>IFERROR(AVERAGEIFS(#REF!,#REF!,$A:$A),"-")</f>
        <v>-</v>
      </c>
      <c r="V45" s="40" t="str">
        <f>IFERROR(AVERAGEIFS(#REF!,#REF!,$A:$A),"-")</f>
        <v>-</v>
      </c>
      <c r="W45" s="40" t="str">
        <f t="shared" si="0"/>
        <v>-</v>
      </c>
      <c r="X45" s="40" t="str">
        <f t="shared" si="1"/>
        <v>-</v>
      </c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ht="12.75">
      <c r="A46" s="41" t="s">
        <v>93</v>
      </c>
      <c r="B46" s="40">
        <f>IFERROR(AVERAGEIFS('сентябрь 2024- июнь 2026'!$K:$K,'сентябрь 2024- июнь 2026'!$E:$E,$A:$A),"-")</f>
        <v>3.7199999999999998</v>
      </c>
      <c r="C46" s="40" t="str">
        <f>IFERROR(AVERAGEIFS(#REF!,#REF!,$A:$A),"-")</f>
        <v>-</v>
      </c>
      <c r="D46" s="40" t="str">
        <f>IFERROR(AVERAGEIFS(#REF!,#REF!,$A:$A),"-")</f>
        <v>-</v>
      </c>
      <c r="E46" s="40" t="str">
        <f>IFERROR(AVERAGEIFS(#REF!,#REF!,$A:$A),"-")</f>
        <v>-</v>
      </c>
      <c r="F46" s="40" t="str">
        <f>IFERROR(AVERAGEIFS(#REF!,#REF!,$A:$A),"-")</f>
        <v>-</v>
      </c>
      <c r="G46" s="40" t="str">
        <f>IFERROR(AVERAGEIFS(#REF!,#REF!,A:A),"-")</f>
        <v>-</v>
      </c>
      <c r="H46" s="40" t="str">
        <f>IFERROR(AVERAGEIFS(#REF!,#REF!,$A:$A),"-")</f>
        <v>-</v>
      </c>
      <c r="I46" s="40" t="str">
        <f>IFERROR(AVERAGEIFS(#REF!,#REF!,$A:$A),"-")</f>
        <v>-</v>
      </c>
      <c r="J46" s="40" t="str">
        <f>IFERROR(AVERAGEIFS(#REF!,#REF!,$A:$A),"-")</f>
        <v>-</v>
      </c>
      <c r="K46" s="40" t="str">
        <f>IFERROR(AVERAGEIFS(#REF!,#REF!,$A:$A),"-")</f>
        <v>-</v>
      </c>
      <c r="L46" s="40" t="str">
        <f>IFERROR(AVERAGEIFS(#REF!,#REF!,$A:$A),"-")</f>
        <v>-</v>
      </c>
      <c r="M46" s="40" t="str">
        <f>IFERROR(AVERAGEIFS(#REF!,#REF!,$A:$A),"-")</f>
        <v>-</v>
      </c>
      <c r="N46" s="40" t="str">
        <f>IFERROR(AVERAGEIFS(#REF!,#REF!,$A:$A),"-")</f>
        <v>-</v>
      </c>
      <c r="O46" s="40" t="str">
        <f>IFERROR(AVERAGEIFS(#REF!,#REF!,$A:$A),"-")</f>
        <v>-</v>
      </c>
      <c r="P46" s="40" t="str">
        <f>IFERROR(AVERAGEIFS(#REF!,#REF!,$A:$A),"-")</f>
        <v>-</v>
      </c>
      <c r="Q46" s="40" t="str">
        <f>IFERROR(AVERAGEIFS(#REF!,#REF!,$A:$A),"-")</f>
        <v>-</v>
      </c>
      <c r="R46" s="40" t="str">
        <f>IFERROR(AVERAGEIFS(#REF!,#REF!,$A:$A),"-")</f>
        <v>-</v>
      </c>
      <c r="S46" s="40" t="str">
        <f>IFERROR(AVERAGEIFS(#REF!,#REF!,$A:$A),"-")</f>
        <v>-</v>
      </c>
      <c r="T46" s="40" t="str">
        <f>IFERROR(AVERAGEIFS(#REF!,#REF!,$A:$A),"-")</f>
        <v>-</v>
      </c>
      <c r="U46" s="40" t="str">
        <f>IFERROR(AVERAGEIFS(#REF!,#REF!,$A:$A),"-")</f>
        <v>-</v>
      </c>
      <c r="V46" s="40" t="str">
        <f>IFERROR(AVERAGEIFS(#REF!,#REF!,$A:$A),"-")</f>
        <v>-</v>
      </c>
      <c r="W46" s="40" t="str">
        <f t="shared" si="0"/>
        <v>-</v>
      </c>
      <c r="X46" s="40" t="str">
        <f t="shared" si="1"/>
        <v>-</v>
      </c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ht="12.75">
      <c r="A47" s="41" t="s">
        <v>94</v>
      </c>
      <c r="B47" s="40">
        <f>IFERROR(AVERAGEIFS('сентябрь 2024- июнь 2026'!$K:$K,'сентябрь 2024- июнь 2026'!$E:$E,$A:$A),"-")</f>
        <v>3.41</v>
      </c>
      <c r="C47" s="40" t="str">
        <f>IFERROR(AVERAGEIFS(#REF!,#REF!,$A:$A),"-")</f>
        <v>-</v>
      </c>
      <c r="D47" s="40" t="str">
        <f>IFERROR(AVERAGEIFS(#REF!,#REF!,$A:$A),"-")</f>
        <v>-</v>
      </c>
      <c r="E47" s="40" t="str">
        <f>IFERROR(AVERAGEIFS(#REF!,#REF!,$A:$A),"-")</f>
        <v>-</v>
      </c>
      <c r="F47" s="40" t="str">
        <f>IFERROR(AVERAGEIFS(#REF!,#REF!,$A:$A),"-")</f>
        <v>-</v>
      </c>
      <c r="G47" s="40" t="str">
        <f>IFERROR(AVERAGEIFS(#REF!,#REF!,A:A),"-")</f>
        <v>-</v>
      </c>
      <c r="H47" s="40" t="str">
        <f>IFERROR(AVERAGEIFS(#REF!,#REF!,$A:$A),"-")</f>
        <v>-</v>
      </c>
      <c r="I47" s="40" t="str">
        <f>IFERROR(AVERAGEIFS(#REF!,#REF!,$A:$A),"-")</f>
        <v>-</v>
      </c>
      <c r="J47" s="40" t="str">
        <f>IFERROR(AVERAGEIFS(#REF!,#REF!,$A:$A),"-")</f>
        <v>-</v>
      </c>
      <c r="K47" s="40" t="str">
        <f>IFERROR(AVERAGEIFS(#REF!,#REF!,$A:$A),"-")</f>
        <v>-</v>
      </c>
      <c r="L47" s="40" t="str">
        <f>IFERROR(AVERAGEIFS(#REF!,#REF!,$A:$A),"-")</f>
        <v>-</v>
      </c>
      <c r="M47" s="40" t="str">
        <f>IFERROR(AVERAGEIFS(#REF!,#REF!,$A:$A),"-")</f>
        <v>-</v>
      </c>
      <c r="N47" s="40" t="str">
        <f>IFERROR(AVERAGEIFS(#REF!,#REF!,$A:$A),"-")</f>
        <v>-</v>
      </c>
      <c r="O47" s="40" t="str">
        <f>IFERROR(AVERAGEIFS(#REF!,#REF!,$A:$A),"-")</f>
        <v>-</v>
      </c>
      <c r="P47" s="40" t="str">
        <f>IFERROR(AVERAGEIFS(#REF!,#REF!,$A:$A),"-")</f>
        <v>-</v>
      </c>
      <c r="Q47" s="40" t="str">
        <f>IFERROR(AVERAGEIFS(#REF!,#REF!,$A:$A),"-")</f>
        <v>-</v>
      </c>
      <c r="R47" s="40" t="str">
        <f>IFERROR(AVERAGEIFS(#REF!,#REF!,$A:$A),"-")</f>
        <v>-</v>
      </c>
      <c r="S47" s="40" t="str">
        <f>IFERROR(AVERAGEIFS(#REF!,#REF!,$A:$A),"-")</f>
        <v>-</v>
      </c>
      <c r="T47" s="40" t="str">
        <f>IFERROR(AVERAGEIFS(#REF!,#REF!,$A:$A),"-")</f>
        <v>-</v>
      </c>
      <c r="U47" s="40" t="str">
        <f>IFERROR(AVERAGEIFS(#REF!,#REF!,$A:$A),"-")</f>
        <v>-</v>
      </c>
      <c r="V47" s="40" t="str">
        <f>IFERROR(AVERAGEIFS(#REF!,#REF!,$A:$A),"-")</f>
        <v>-</v>
      </c>
      <c r="W47" s="40" t="str">
        <f t="shared" si="0"/>
        <v>-</v>
      </c>
      <c r="X47" s="40" t="str">
        <f t="shared" si="1"/>
        <v>-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ht="12.75">
      <c r="A48" s="41" t="s">
        <v>95</v>
      </c>
      <c r="B48" s="40">
        <f>IFERROR(AVERAGEIFS('сентябрь 2024- июнь 2026'!$K:$K,'сентябрь 2024- июнь 2026'!$E:$E,$A:$A),"-")</f>
        <v>2.08</v>
      </c>
      <c r="C48" s="40" t="str">
        <f>IFERROR(AVERAGEIFS(#REF!,#REF!,$A:$A),"-")</f>
        <v>-</v>
      </c>
      <c r="D48" s="40" t="str">
        <f>IFERROR(AVERAGEIFS(#REF!,#REF!,$A:$A),"-")</f>
        <v>-</v>
      </c>
      <c r="E48" s="40" t="str">
        <f>IFERROR(AVERAGEIFS(#REF!,#REF!,$A:$A),"-")</f>
        <v>-</v>
      </c>
      <c r="F48" s="40" t="str">
        <f>IFERROR(AVERAGEIFS(#REF!,#REF!,$A:$A),"-")</f>
        <v>-</v>
      </c>
      <c r="G48" s="40" t="str">
        <f>IFERROR(AVERAGEIFS(#REF!,#REF!,A:A),"-")</f>
        <v>-</v>
      </c>
      <c r="H48" s="40" t="str">
        <f>IFERROR(AVERAGEIFS(#REF!,#REF!,$A:$A),"-")</f>
        <v>-</v>
      </c>
      <c r="I48" s="40" t="str">
        <f>IFERROR(AVERAGEIFS(#REF!,#REF!,$A:$A),"-")</f>
        <v>-</v>
      </c>
      <c r="J48" s="40" t="str">
        <f>IFERROR(AVERAGEIFS(#REF!,#REF!,$A:$A),"-")</f>
        <v>-</v>
      </c>
      <c r="K48" s="40" t="str">
        <f>IFERROR(AVERAGEIFS(#REF!,#REF!,$A:$A),"-")</f>
        <v>-</v>
      </c>
      <c r="L48" s="40" t="str">
        <f>IFERROR(AVERAGEIFS(#REF!,#REF!,$A:$A),"-")</f>
        <v>-</v>
      </c>
      <c r="M48" s="40" t="str">
        <f>IFERROR(AVERAGEIFS(#REF!,#REF!,$A:$A),"-")</f>
        <v>-</v>
      </c>
      <c r="N48" s="40" t="str">
        <f>IFERROR(AVERAGEIFS(#REF!,#REF!,$A:$A),"-")</f>
        <v>-</v>
      </c>
      <c r="O48" s="40" t="str">
        <f>IFERROR(AVERAGEIFS(#REF!,#REF!,$A:$A),"-")</f>
        <v>-</v>
      </c>
      <c r="P48" s="40" t="str">
        <f>IFERROR(AVERAGEIFS(#REF!,#REF!,$A:$A),"-")</f>
        <v>-</v>
      </c>
      <c r="Q48" s="40" t="str">
        <f>IFERROR(AVERAGEIFS(#REF!,#REF!,$A:$A),"-")</f>
        <v>-</v>
      </c>
      <c r="R48" s="40" t="str">
        <f>IFERROR(AVERAGEIFS(#REF!,#REF!,$A:$A),"-")</f>
        <v>-</v>
      </c>
      <c r="S48" s="40" t="str">
        <f>IFERROR(AVERAGEIFS(#REF!,#REF!,$A:$A),"-")</f>
        <v>-</v>
      </c>
      <c r="T48" s="40" t="str">
        <f>IFERROR(AVERAGEIFS(#REF!,#REF!,$A:$A),"-")</f>
        <v>-</v>
      </c>
      <c r="U48" s="40" t="str">
        <f>IFERROR(AVERAGEIFS(#REF!,#REF!,$A:$A),"-")</f>
        <v>-</v>
      </c>
      <c r="V48" s="40" t="str">
        <f>IFERROR(AVERAGEIFS(#REF!,#REF!,$A:$A),"-")</f>
        <v>-</v>
      </c>
      <c r="W48" s="40" t="str">
        <f t="shared" si="0"/>
        <v>-</v>
      </c>
      <c r="X48" s="40" t="str">
        <f t="shared" si="1"/>
        <v>-</v>
      </c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ht="12.75">
      <c r="A49" s="41" t="s">
        <v>96</v>
      </c>
      <c r="B49" s="40">
        <f>IFERROR(AVERAGEIFS('сентябрь 2024- июнь 2026'!$K:$K,'сентябрь 2024- июнь 2026'!$E:$E,$A:$A),"-")</f>
        <v>2.54</v>
      </c>
      <c r="C49" s="40" t="str">
        <f>IFERROR(AVERAGEIFS(#REF!,#REF!,$A:$A),"-")</f>
        <v>-</v>
      </c>
      <c r="D49" s="40" t="str">
        <f>IFERROR(AVERAGEIFS(#REF!,#REF!,$A:$A),"-")</f>
        <v>-</v>
      </c>
      <c r="E49" s="40" t="str">
        <f>IFERROR(AVERAGEIFS(#REF!,#REF!,$A:$A),"-")</f>
        <v>-</v>
      </c>
      <c r="F49" s="40" t="str">
        <f>IFERROR(AVERAGEIFS(#REF!,#REF!,$A:$A),"-")</f>
        <v>-</v>
      </c>
      <c r="G49" s="40" t="str">
        <f>IFERROR(AVERAGEIFS(#REF!,#REF!,A:A),"-")</f>
        <v>-</v>
      </c>
      <c r="H49" s="40" t="str">
        <f>IFERROR(AVERAGEIFS(#REF!,#REF!,$A:$A),"-")</f>
        <v>-</v>
      </c>
      <c r="I49" s="40" t="str">
        <f>IFERROR(AVERAGEIFS(#REF!,#REF!,$A:$A),"-")</f>
        <v>-</v>
      </c>
      <c r="J49" s="40" t="str">
        <f>IFERROR(AVERAGEIFS(#REF!,#REF!,$A:$A),"-")</f>
        <v>-</v>
      </c>
      <c r="K49" s="40" t="str">
        <f>IFERROR(AVERAGEIFS(#REF!,#REF!,$A:$A),"-")</f>
        <v>-</v>
      </c>
      <c r="L49" s="40" t="str">
        <f>IFERROR(AVERAGEIFS(#REF!,#REF!,$A:$A),"-")</f>
        <v>-</v>
      </c>
      <c r="M49" s="40" t="str">
        <f>IFERROR(AVERAGEIFS(#REF!,#REF!,$A:$A),"-")</f>
        <v>-</v>
      </c>
      <c r="N49" s="40" t="str">
        <f>IFERROR(AVERAGEIFS(#REF!,#REF!,$A:$A),"-")</f>
        <v>-</v>
      </c>
      <c r="O49" s="40" t="str">
        <f>IFERROR(AVERAGEIFS(#REF!,#REF!,$A:$A),"-")</f>
        <v>-</v>
      </c>
      <c r="P49" s="40" t="str">
        <f>IFERROR(AVERAGEIFS(#REF!,#REF!,$A:$A),"-")</f>
        <v>-</v>
      </c>
      <c r="Q49" s="40" t="str">
        <f>IFERROR(AVERAGEIFS(#REF!,#REF!,$A:$A),"-")</f>
        <v>-</v>
      </c>
      <c r="R49" s="40" t="str">
        <f>IFERROR(AVERAGEIFS(#REF!,#REF!,$A:$A),"-")</f>
        <v>-</v>
      </c>
      <c r="S49" s="40" t="str">
        <f>IFERROR(AVERAGEIFS(#REF!,#REF!,$A:$A),"-")</f>
        <v>-</v>
      </c>
      <c r="T49" s="40" t="str">
        <f>IFERROR(AVERAGEIFS(#REF!,#REF!,$A:$A),"-")</f>
        <v>-</v>
      </c>
      <c r="U49" s="40" t="str">
        <f>IFERROR(AVERAGEIFS(#REF!,#REF!,$A:$A),"-")</f>
        <v>-</v>
      </c>
      <c r="V49" s="40" t="str">
        <f>IFERROR(AVERAGEIFS(#REF!,#REF!,$A:$A),"-")</f>
        <v>-</v>
      </c>
      <c r="W49" s="40" t="str">
        <f t="shared" si="0"/>
        <v>-</v>
      </c>
      <c r="X49" s="40" t="str">
        <f t="shared" si="1"/>
        <v>-</v>
      </c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ht="12.75">
      <c r="A50" s="41" t="s">
        <v>97</v>
      </c>
      <c r="B50" s="40" t="str">
        <f>IFERROR(AVERAGEIFS('сентябрь 2024- июнь 2026'!$K:$K,'сентябрь 2024- июнь 2026'!$E:$E,$A:$A),"-")</f>
        <v>-</v>
      </c>
      <c r="C50" s="40" t="str">
        <f>IFERROR(AVERAGEIFS(#REF!,#REF!,$A:$A),"-")</f>
        <v>-</v>
      </c>
      <c r="D50" s="40" t="str">
        <f>IFERROR(AVERAGEIFS(#REF!,#REF!,$A:$A),"-")</f>
        <v>-</v>
      </c>
      <c r="E50" s="40" t="str">
        <f>IFERROR(AVERAGEIFS(#REF!,#REF!,$A:$A),"-")</f>
        <v>-</v>
      </c>
      <c r="F50" s="40" t="str">
        <f>IFERROR(AVERAGEIFS(#REF!,#REF!,$A:$A),"-")</f>
        <v>-</v>
      </c>
      <c r="G50" s="40" t="str">
        <f>IFERROR(AVERAGEIFS(#REF!,#REF!,A:A),"-")</f>
        <v>-</v>
      </c>
      <c r="H50" s="40" t="str">
        <f>IFERROR(AVERAGEIFS(#REF!,#REF!,$A:$A),"-")</f>
        <v>-</v>
      </c>
      <c r="I50" s="40" t="str">
        <f>IFERROR(AVERAGEIFS(#REF!,#REF!,$A:$A),"-")</f>
        <v>-</v>
      </c>
      <c r="J50" s="40" t="str">
        <f>IFERROR(AVERAGEIFS(#REF!,#REF!,$A:$A),"-")</f>
        <v>-</v>
      </c>
      <c r="K50" s="40" t="str">
        <f>IFERROR(AVERAGEIFS(#REF!,#REF!,$A:$A),"-")</f>
        <v>-</v>
      </c>
      <c r="L50" s="40" t="str">
        <f>IFERROR(AVERAGEIFS(#REF!,#REF!,$A:$A),"-")</f>
        <v>-</v>
      </c>
      <c r="M50" s="40" t="str">
        <f>IFERROR(AVERAGEIFS(#REF!,#REF!,$A:$A),"-")</f>
        <v>-</v>
      </c>
      <c r="N50" s="40" t="str">
        <f>IFERROR(AVERAGEIFS(#REF!,#REF!,$A:$A),"-")</f>
        <v>-</v>
      </c>
      <c r="O50" s="40" t="str">
        <f>IFERROR(AVERAGEIFS(#REF!,#REF!,$A:$A),"-")</f>
        <v>-</v>
      </c>
      <c r="P50" s="40" t="str">
        <f>IFERROR(AVERAGEIFS(#REF!,#REF!,$A:$A),"-")</f>
        <v>-</v>
      </c>
      <c r="Q50" s="40" t="str">
        <f>IFERROR(AVERAGEIFS(#REF!,#REF!,$A:$A),"-")</f>
        <v>-</v>
      </c>
      <c r="R50" s="40" t="str">
        <f>IFERROR(AVERAGEIFS(#REF!,#REF!,$A:$A),"-")</f>
        <v>-</v>
      </c>
      <c r="S50" s="40" t="str">
        <f>IFERROR(AVERAGEIFS(#REF!,#REF!,$A:$A),"-")</f>
        <v>-</v>
      </c>
      <c r="T50" s="40" t="str">
        <f>IFERROR(AVERAGEIFS(#REF!,#REF!,$A:$A),"-")</f>
        <v>-</v>
      </c>
      <c r="U50" s="40" t="str">
        <f>IFERROR(AVERAGEIFS(#REF!,#REF!,$A:$A),"-")</f>
        <v>-</v>
      </c>
      <c r="V50" s="40" t="str">
        <f>IFERROR(AVERAGEIFS(#REF!,#REF!,$A:$A),"-")</f>
        <v>-</v>
      </c>
      <c r="W50" s="40" t="str">
        <f t="shared" si="0"/>
        <v>-</v>
      </c>
      <c r="X50" s="40" t="str">
        <f t="shared" si="1"/>
        <v>-</v>
      </c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ht="12.75">
      <c r="A51" s="41" t="s">
        <v>98</v>
      </c>
      <c r="B51" s="40">
        <f>IFERROR(AVERAGEIFS('сентябрь 2024- июнь 2026'!$K:$K,'сентябрь 2024- июнь 2026'!$E:$E,$A:$A),"-")</f>
        <v>3.86</v>
      </c>
      <c r="C51" s="40" t="str">
        <f>IFERROR(AVERAGEIFS(#REF!,#REF!,$A:$A),"-")</f>
        <v>-</v>
      </c>
      <c r="D51" s="40" t="str">
        <f>IFERROR(AVERAGEIFS(#REF!,#REF!,$A:$A),"-")</f>
        <v>-</v>
      </c>
      <c r="E51" s="40" t="str">
        <f>IFERROR(AVERAGEIFS(#REF!,#REF!,$A:$A),"-")</f>
        <v>-</v>
      </c>
      <c r="F51" s="40" t="str">
        <f>IFERROR(AVERAGEIFS(#REF!,#REF!,$A:$A),"-")</f>
        <v>-</v>
      </c>
      <c r="G51" s="40" t="str">
        <f>IFERROR(AVERAGEIFS(#REF!,#REF!,A:A),"-")</f>
        <v>-</v>
      </c>
      <c r="H51" s="40" t="str">
        <f>IFERROR(AVERAGEIFS(#REF!,#REF!,$A:$A),"-")</f>
        <v>-</v>
      </c>
      <c r="I51" s="40" t="str">
        <f>IFERROR(AVERAGEIFS(#REF!,#REF!,$A:$A),"-")</f>
        <v>-</v>
      </c>
      <c r="J51" s="40" t="str">
        <f>IFERROR(AVERAGEIFS(#REF!,#REF!,$A:$A),"-")</f>
        <v>-</v>
      </c>
      <c r="K51" s="40" t="str">
        <f>IFERROR(AVERAGEIFS(#REF!,#REF!,$A:$A),"-")</f>
        <v>-</v>
      </c>
      <c r="L51" s="40" t="str">
        <f>IFERROR(AVERAGEIFS(#REF!,#REF!,$A:$A),"-")</f>
        <v>-</v>
      </c>
      <c r="M51" s="40" t="str">
        <f>IFERROR(AVERAGEIFS(#REF!,#REF!,$A:$A),"-")</f>
        <v>-</v>
      </c>
      <c r="N51" s="40" t="str">
        <f>IFERROR(AVERAGEIFS(#REF!,#REF!,$A:$A),"-")</f>
        <v>-</v>
      </c>
      <c r="O51" s="40" t="str">
        <f>IFERROR(AVERAGEIFS(#REF!,#REF!,$A:$A),"-")</f>
        <v>-</v>
      </c>
      <c r="P51" s="40" t="str">
        <f>IFERROR(AVERAGEIFS(#REF!,#REF!,$A:$A),"-")</f>
        <v>-</v>
      </c>
      <c r="Q51" s="40" t="str">
        <f>IFERROR(AVERAGEIFS(#REF!,#REF!,$A:$A),"-")</f>
        <v>-</v>
      </c>
      <c r="R51" s="40" t="str">
        <f>IFERROR(AVERAGEIFS(#REF!,#REF!,$A:$A),"-")</f>
        <v>-</v>
      </c>
      <c r="S51" s="40" t="str">
        <f>IFERROR(AVERAGEIFS(#REF!,#REF!,$A:$A),"-")</f>
        <v>-</v>
      </c>
      <c r="T51" s="40" t="str">
        <f>IFERROR(AVERAGEIFS(#REF!,#REF!,$A:$A),"-")</f>
        <v>-</v>
      </c>
      <c r="U51" s="40" t="str">
        <f>IFERROR(AVERAGEIFS(#REF!,#REF!,$A:$A),"-")</f>
        <v>-</v>
      </c>
      <c r="V51" s="40" t="str">
        <f>IFERROR(AVERAGEIFS(#REF!,#REF!,$A:$A),"-")</f>
        <v>-</v>
      </c>
      <c r="W51" s="40" t="str">
        <f t="shared" si="0"/>
        <v>-</v>
      </c>
      <c r="X51" s="40" t="str">
        <f t="shared" si="1"/>
        <v>-</v>
      </c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ht="12.75">
      <c r="A52" s="41" t="s">
        <v>99</v>
      </c>
      <c r="B52" s="40">
        <f>IFERROR(AVERAGEIFS('сентябрь 2024- июнь 2026'!$K:$K,'сентябрь 2024- июнь 2026'!$E:$E,$A:$A),"-")</f>
        <v>3.6399999999999997</v>
      </c>
      <c r="C52" s="40" t="str">
        <f>IFERROR(AVERAGEIFS(#REF!,#REF!,$A:$A),"-")</f>
        <v>-</v>
      </c>
      <c r="D52" s="40" t="str">
        <f>IFERROR(AVERAGEIFS(#REF!,#REF!,$A:$A),"-")</f>
        <v>-</v>
      </c>
      <c r="E52" s="40" t="str">
        <f>IFERROR(AVERAGEIFS(#REF!,#REF!,$A:$A),"-")</f>
        <v>-</v>
      </c>
      <c r="F52" s="40" t="str">
        <f>IFERROR(AVERAGEIFS(#REF!,#REF!,$A:$A),"-")</f>
        <v>-</v>
      </c>
      <c r="G52" s="40" t="str">
        <f>IFERROR(AVERAGEIFS(#REF!,#REF!,A:A),"-")</f>
        <v>-</v>
      </c>
      <c r="H52" s="40" t="str">
        <f>IFERROR(AVERAGEIFS(#REF!,#REF!,$A:$A),"-")</f>
        <v>-</v>
      </c>
      <c r="I52" s="40" t="str">
        <f>IFERROR(AVERAGEIFS(#REF!,#REF!,$A:$A),"-")</f>
        <v>-</v>
      </c>
      <c r="J52" s="40" t="str">
        <f>IFERROR(AVERAGEIFS(#REF!,#REF!,$A:$A),"-")</f>
        <v>-</v>
      </c>
      <c r="K52" s="40" t="str">
        <f>IFERROR(AVERAGEIFS(#REF!,#REF!,$A:$A),"-")</f>
        <v>-</v>
      </c>
      <c r="L52" s="40" t="str">
        <f>IFERROR(AVERAGEIFS(#REF!,#REF!,$A:$A),"-")</f>
        <v>-</v>
      </c>
      <c r="M52" s="40" t="str">
        <f>IFERROR(AVERAGEIFS(#REF!,#REF!,$A:$A),"-")</f>
        <v>-</v>
      </c>
      <c r="N52" s="40" t="str">
        <f>IFERROR(AVERAGEIFS(#REF!,#REF!,$A:$A),"-")</f>
        <v>-</v>
      </c>
      <c r="O52" s="40" t="str">
        <f>IFERROR(AVERAGEIFS(#REF!,#REF!,$A:$A),"-")</f>
        <v>-</v>
      </c>
      <c r="P52" s="40" t="str">
        <f>IFERROR(AVERAGEIFS(#REF!,#REF!,$A:$A),"-")</f>
        <v>-</v>
      </c>
      <c r="Q52" s="40" t="str">
        <f>IFERROR(AVERAGEIFS(#REF!,#REF!,$A:$A),"-")</f>
        <v>-</v>
      </c>
      <c r="R52" s="40" t="str">
        <f>IFERROR(AVERAGEIFS(#REF!,#REF!,$A:$A),"-")</f>
        <v>-</v>
      </c>
      <c r="S52" s="40" t="str">
        <f>IFERROR(AVERAGEIFS(#REF!,#REF!,$A:$A),"-")</f>
        <v>-</v>
      </c>
      <c r="T52" s="40" t="str">
        <f>IFERROR(AVERAGEIFS(#REF!,#REF!,$A:$A),"-")</f>
        <v>-</v>
      </c>
      <c r="U52" s="40" t="str">
        <f>IFERROR(AVERAGEIFS(#REF!,#REF!,$A:$A),"-")</f>
        <v>-</v>
      </c>
      <c r="V52" s="40" t="str">
        <f>IFERROR(AVERAGEIFS(#REF!,#REF!,$A:$A),"-")</f>
        <v>-</v>
      </c>
      <c r="W52" s="40" t="str">
        <f t="shared" si="0"/>
        <v>-</v>
      </c>
      <c r="X52" s="40" t="str">
        <f t="shared" si="1"/>
        <v>-</v>
      </c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ht="12.75">
      <c r="A53" s="39" t="s">
        <v>100</v>
      </c>
      <c r="B53" s="40">
        <f>IFERROR(AVERAGEIFS('сентябрь 2024- июнь 2026'!$K:$K,'сентябрь 2024- июнь 2026'!$E:$E,$A:$A),"-")</f>
        <v>3.67</v>
      </c>
      <c r="C53" s="40" t="str">
        <f>IFERROR(AVERAGEIFS(#REF!,#REF!,$A:$A),"-")</f>
        <v>-</v>
      </c>
      <c r="D53" s="40" t="str">
        <f>IFERROR(AVERAGEIFS(#REF!,#REF!,$A:$A),"-")</f>
        <v>-</v>
      </c>
      <c r="E53" s="40" t="str">
        <f>IFERROR(AVERAGEIFS(#REF!,#REF!,$A:$A),"-")</f>
        <v>-</v>
      </c>
      <c r="F53" s="40" t="str">
        <f>IFERROR(AVERAGEIFS(#REF!,#REF!,$A:$A),"-")</f>
        <v>-</v>
      </c>
      <c r="G53" s="40" t="str">
        <f>IFERROR(AVERAGEIFS(#REF!,#REF!,A:A),"-")</f>
        <v>-</v>
      </c>
      <c r="H53" s="40" t="str">
        <f>IFERROR(AVERAGEIFS(#REF!,#REF!,$A:$A),"-")</f>
        <v>-</v>
      </c>
      <c r="I53" s="40" t="str">
        <f>IFERROR(AVERAGEIFS(#REF!,#REF!,$A:$A),"-")</f>
        <v>-</v>
      </c>
      <c r="J53" s="40" t="str">
        <f>IFERROR(AVERAGEIFS(#REF!,#REF!,$A:$A),"-")</f>
        <v>-</v>
      </c>
      <c r="K53" s="40" t="str">
        <f>IFERROR(AVERAGEIFS(#REF!,#REF!,$A:$A),"-")</f>
        <v>-</v>
      </c>
      <c r="L53" s="40" t="str">
        <f>IFERROR(AVERAGEIFS(#REF!,#REF!,$A:$A),"-")</f>
        <v>-</v>
      </c>
      <c r="M53" s="40" t="str">
        <f>IFERROR(AVERAGEIFS(#REF!,#REF!,$A:$A),"-")</f>
        <v>-</v>
      </c>
      <c r="N53" s="40" t="str">
        <f>IFERROR(AVERAGEIFS(#REF!,#REF!,$A:$A),"-")</f>
        <v>-</v>
      </c>
      <c r="O53" s="40" t="str">
        <f>IFERROR(AVERAGEIFS(#REF!,#REF!,$A:$A),"-")</f>
        <v>-</v>
      </c>
      <c r="P53" s="40" t="str">
        <f>IFERROR(AVERAGEIFS(#REF!,#REF!,$A:$A),"-")</f>
        <v>-</v>
      </c>
      <c r="Q53" s="40" t="str">
        <f>IFERROR(AVERAGEIFS(#REF!,#REF!,$A:$A),"-")</f>
        <v>-</v>
      </c>
      <c r="R53" s="40" t="str">
        <f>IFERROR(AVERAGEIFS(#REF!,#REF!,$A:$A),"-")</f>
        <v>-</v>
      </c>
      <c r="S53" s="40" t="str">
        <f>IFERROR(AVERAGEIFS(#REF!,#REF!,$A:$A),"-")</f>
        <v>-</v>
      </c>
      <c r="T53" s="40" t="str">
        <f>IFERROR(AVERAGEIFS(#REF!,#REF!,$A:$A),"-")</f>
        <v>-</v>
      </c>
      <c r="U53" s="40" t="str">
        <f>IFERROR(AVERAGEIFS(#REF!,#REF!,$A:$A),"-")</f>
        <v>-</v>
      </c>
      <c r="V53" s="40" t="str">
        <f>IFERROR(AVERAGEIFS(#REF!,#REF!,$A:$A),"-")</f>
        <v>-</v>
      </c>
      <c r="W53" s="40" t="str">
        <f t="shared" si="0"/>
        <v>-</v>
      </c>
      <c r="X53" s="40" t="str">
        <f t="shared" si="1"/>
        <v>-</v>
      </c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ht="12.75">
      <c r="A54" s="21" t="s">
        <v>51</v>
      </c>
      <c r="B54" s="40">
        <f>IFERROR(AVERAGEIFS('сентябрь 2024- июнь 2026'!$K:$K,'сентябрь 2024- июнь 2026'!$E:$E,$A:$A),"-")</f>
        <v>1.9477290836653438</v>
      </c>
      <c r="C54" s="40" t="str">
        <f>IFERROR(AVERAGEIFS(#REF!,#REF!,$A:$A),"-")</f>
        <v>-</v>
      </c>
      <c r="D54" s="40" t="str">
        <f>IFERROR(AVERAGEIFS(#REF!,#REF!,$A:$A),"-")</f>
        <v>-</v>
      </c>
      <c r="E54" s="40" t="str">
        <f>IFERROR(AVERAGEIFS(#REF!,#REF!,$A:$A),"-")</f>
        <v>-</v>
      </c>
      <c r="F54" s="40" t="str">
        <f>IFERROR(AVERAGEIFS(#REF!,#REF!,$A:$A),"-")</f>
        <v>-</v>
      </c>
      <c r="G54" s="40" t="str">
        <f>IFERROR(AVERAGEIFS(#REF!,#REF!,A:A),"-")</f>
        <v>-</v>
      </c>
      <c r="H54" s="40" t="str">
        <f>IFERROR(AVERAGEIFS(#REF!,#REF!,$A:$A),"-")</f>
        <v>-</v>
      </c>
      <c r="I54" s="40" t="str">
        <f>IFERROR(AVERAGEIFS(#REF!,#REF!,$A:$A),"-")</f>
        <v>-</v>
      </c>
      <c r="J54" s="40" t="str">
        <f>IFERROR(AVERAGEIFS(#REF!,#REF!,$A:$A),"-")</f>
        <v>-</v>
      </c>
      <c r="K54" s="40" t="str">
        <f>IFERROR(AVERAGEIFS(#REF!,#REF!,$A:$A),"-")</f>
        <v>-</v>
      </c>
      <c r="L54" s="40" t="str">
        <f>IFERROR(AVERAGEIFS(#REF!,#REF!,$A:$A),"-")</f>
        <v>-</v>
      </c>
      <c r="M54" s="40" t="str">
        <f>IFERROR(AVERAGEIFS(#REF!,#REF!,$A:$A),"-")</f>
        <v>-</v>
      </c>
      <c r="N54" s="40" t="str">
        <f>IFERROR(AVERAGEIFS(#REF!,#REF!,$A:$A),"-")</f>
        <v>-</v>
      </c>
      <c r="O54" s="40" t="str">
        <f>IFERROR(AVERAGEIFS(#REF!,#REF!,$A:$A),"-")</f>
        <v>-</v>
      </c>
      <c r="P54" s="40" t="str">
        <f>IFERROR(AVERAGEIFS(#REF!,#REF!,$A:$A),"-")</f>
        <v>-</v>
      </c>
      <c r="Q54" s="40" t="str">
        <f>IFERROR(AVERAGEIFS(#REF!,#REF!,$A:$A),"-")</f>
        <v>-</v>
      </c>
      <c r="R54" s="40" t="str">
        <f>IFERROR(AVERAGEIFS(#REF!,#REF!,$A:$A),"-")</f>
        <v>-</v>
      </c>
      <c r="S54" s="40" t="str">
        <f>IFERROR(AVERAGEIFS(#REF!,#REF!,$A:$A),"-")</f>
        <v>-</v>
      </c>
      <c r="T54" s="40" t="str">
        <f>IFERROR(AVERAGEIFS(#REF!,#REF!,$A:$A),"-")</f>
        <v>-</v>
      </c>
      <c r="U54" s="40" t="str">
        <f>IFERROR(AVERAGEIFS(#REF!,#REF!,$A:$A),"-")</f>
        <v>-</v>
      </c>
      <c r="V54" s="40" t="str">
        <f>IFERROR(AVERAGEIFS(#REF!,#REF!,$A:$A),"-")</f>
        <v>-</v>
      </c>
      <c r="W54" s="40" t="str">
        <f t="shared" si="0"/>
        <v>-</v>
      </c>
      <c r="X54" s="40" t="str">
        <f t="shared" si="1"/>
        <v>-</v>
      </c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ht="12.75">
      <c r="A55" s="42" t="s">
        <v>101</v>
      </c>
      <c r="B55" s="40">
        <f>IFERROR(AVERAGEIFS('сентябрь 2024- июнь 2026'!$K:$K,'сентябрь 2024- июнь 2026'!$E:$E,$A:$A),"-")</f>
        <v>2.617631578947369</v>
      </c>
      <c r="C55" s="40" t="str">
        <f>IFERROR(AVERAGEIFS(#REF!,#REF!,$A:$A),"-")</f>
        <v>-</v>
      </c>
      <c r="D55" s="40" t="str">
        <f>IFERROR(AVERAGEIFS(#REF!,#REF!,$A:$A),"-")</f>
        <v>-</v>
      </c>
      <c r="E55" s="40" t="str">
        <f>IFERROR(AVERAGEIFS(#REF!,#REF!,$A:$A),"-")</f>
        <v>-</v>
      </c>
      <c r="F55" s="40" t="str">
        <f>IFERROR(AVERAGEIFS(#REF!,#REF!,$A:$A),"-")</f>
        <v>-</v>
      </c>
      <c r="G55" s="40" t="str">
        <f>IFERROR(AVERAGEIFS(#REF!,#REF!,A:A),"-")</f>
        <v>-</v>
      </c>
      <c r="H55" s="40" t="str">
        <f>IFERROR(AVERAGEIFS(#REF!,#REF!,$A:$A),"-")</f>
        <v>-</v>
      </c>
      <c r="I55" s="40" t="str">
        <f>IFERROR(AVERAGEIFS(#REF!,#REF!,$A:$A),"-")</f>
        <v>-</v>
      </c>
      <c r="J55" s="40" t="str">
        <f>IFERROR(AVERAGEIFS(#REF!,#REF!,$A:$A),"-")</f>
        <v>-</v>
      </c>
      <c r="K55" s="40" t="str">
        <f>IFERROR(AVERAGEIFS(#REF!,#REF!,$A:$A),"-")</f>
        <v>-</v>
      </c>
      <c r="L55" s="40" t="str">
        <f>IFERROR(AVERAGEIFS(#REF!,#REF!,$A:$A),"-")</f>
        <v>-</v>
      </c>
      <c r="M55" s="40" t="str">
        <f>IFERROR(AVERAGEIFS(#REF!,#REF!,$A:$A),"-")</f>
        <v>-</v>
      </c>
      <c r="N55" s="40" t="str">
        <f>IFERROR(AVERAGEIFS(#REF!,#REF!,$A:$A),"-")</f>
        <v>-</v>
      </c>
      <c r="O55" s="40" t="str">
        <f>IFERROR(AVERAGEIFS(#REF!,#REF!,$A:$A),"-")</f>
        <v>-</v>
      </c>
      <c r="P55" s="40" t="str">
        <f>IFERROR(AVERAGEIFS(#REF!,#REF!,$A:$A),"-")</f>
        <v>-</v>
      </c>
      <c r="Q55" s="40" t="str">
        <f>IFERROR(AVERAGEIFS(#REF!,#REF!,$A:$A),"-")</f>
        <v>-</v>
      </c>
      <c r="R55" s="40" t="str">
        <f>IFERROR(AVERAGEIFS(#REF!,#REF!,$A:$A),"-")</f>
        <v>-</v>
      </c>
      <c r="S55" s="40" t="str">
        <f>IFERROR(AVERAGEIFS(#REF!,#REF!,$A:$A),"-")</f>
        <v>-</v>
      </c>
      <c r="T55" s="40" t="str">
        <f>IFERROR(AVERAGEIFS(#REF!,#REF!,$A:$A),"-")</f>
        <v>-</v>
      </c>
      <c r="U55" s="40" t="str">
        <f>IFERROR(AVERAGEIFS(#REF!,#REF!,$A:$A),"-")</f>
        <v>-</v>
      </c>
      <c r="V55" s="40" t="str">
        <f>IFERROR(AVERAGEIFS(#REF!,#REF!,$A:$A),"-")</f>
        <v>-</v>
      </c>
      <c r="W55" s="40" t="str">
        <f t="shared" si="0"/>
        <v>-</v>
      </c>
      <c r="X55" s="40" t="str">
        <f t="shared" si="1"/>
        <v>-</v>
      </c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ht="12.75">
      <c r="A56" s="42" t="s">
        <v>102</v>
      </c>
      <c r="B56" s="40">
        <f>IFERROR(AVERAGEIFS('сентябрь 2024- июнь 2026'!$K:$K,'сентябрь 2024- июнь 2026'!$E:$E,$A:$A),"-")</f>
        <v>1.8359999999999999</v>
      </c>
      <c r="C56" s="40" t="str">
        <f>IFERROR(AVERAGEIFS(#REF!,#REF!,$A:$A),"-")</f>
        <v>-</v>
      </c>
      <c r="D56" s="40" t="str">
        <f>IFERROR(AVERAGEIFS(#REF!,#REF!,$A:$A),"-")</f>
        <v>-</v>
      </c>
      <c r="E56" s="40" t="str">
        <f>IFERROR(AVERAGEIFS(#REF!,#REF!,$A:$A),"-")</f>
        <v>-</v>
      </c>
      <c r="F56" s="40" t="str">
        <f>IFERROR(AVERAGEIFS(#REF!,#REF!,$A:$A),"-")</f>
        <v>-</v>
      </c>
      <c r="G56" s="40" t="str">
        <f>IFERROR(AVERAGEIFS(#REF!,#REF!,A:A),"-")</f>
        <v>-</v>
      </c>
      <c r="H56" s="40" t="str">
        <f>IFERROR(AVERAGEIFS(#REF!,#REF!,$A:$A),"-")</f>
        <v>-</v>
      </c>
      <c r="I56" s="40" t="str">
        <f>IFERROR(AVERAGEIFS(#REF!,#REF!,$A:$A),"-")</f>
        <v>-</v>
      </c>
      <c r="J56" s="40" t="str">
        <f>IFERROR(AVERAGEIFS(#REF!,#REF!,$A:$A),"-")</f>
        <v>-</v>
      </c>
      <c r="K56" s="40" t="str">
        <f>IFERROR(AVERAGEIFS(#REF!,#REF!,$A:$A),"-")</f>
        <v>-</v>
      </c>
      <c r="L56" s="40" t="str">
        <f>IFERROR(AVERAGEIFS(#REF!,#REF!,$A:$A),"-")</f>
        <v>-</v>
      </c>
      <c r="M56" s="40" t="str">
        <f>IFERROR(AVERAGEIFS(#REF!,#REF!,$A:$A),"-")</f>
        <v>-</v>
      </c>
      <c r="N56" s="40" t="str">
        <f>IFERROR(AVERAGEIFS(#REF!,#REF!,$A:$A),"-")</f>
        <v>-</v>
      </c>
      <c r="O56" s="40" t="str">
        <f>IFERROR(AVERAGEIFS(#REF!,#REF!,$A:$A),"-")</f>
        <v>-</v>
      </c>
      <c r="P56" s="40" t="str">
        <f>IFERROR(AVERAGEIFS(#REF!,#REF!,$A:$A),"-")</f>
        <v>-</v>
      </c>
      <c r="Q56" s="40" t="str">
        <f>IFERROR(AVERAGEIFS(#REF!,#REF!,$A:$A),"-")</f>
        <v>-</v>
      </c>
      <c r="R56" s="40" t="str">
        <f>IFERROR(AVERAGEIFS(#REF!,#REF!,$A:$A),"-")</f>
        <v>-</v>
      </c>
      <c r="S56" s="40" t="str">
        <f>IFERROR(AVERAGEIFS(#REF!,#REF!,$A:$A),"-")</f>
        <v>-</v>
      </c>
      <c r="T56" s="40" t="str">
        <f>IFERROR(AVERAGEIFS(#REF!,#REF!,$A:$A),"-")</f>
        <v>-</v>
      </c>
      <c r="U56" s="40" t="str">
        <f>IFERROR(AVERAGEIFS(#REF!,#REF!,$A:$A),"-")</f>
        <v>-</v>
      </c>
      <c r="V56" s="40" t="str">
        <f>IFERROR(AVERAGEIFS(#REF!,#REF!,$A:$A),"-")</f>
        <v>-</v>
      </c>
      <c r="W56" s="40" t="str">
        <f t="shared" si="0"/>
        <v>-</v>
      </c>
      <c r="X56" s="40" t="str">
        <f t="shared" si="1"/>
        <v>-</v>
      </c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ht="12.75">
      <c r="A57" s="42" t="s">
        <v>103</v>
      </c>
      <c r="B57" s="40">
        <f>IFERROR(AVERAGEIFS('сентябрь 2024- июнь 2026'!$K:$K,'сентябрь 2024- июнь 2026'!$E:$E,$A:$A),"-")</f>
        <v>1.9410909090909094</v>
      </c>
      <c r="C57" s="40" t="str">
        <f>IFERROR(AVERAGEIFS(#REF!,#REF!,$A:$A),"-")</f>
        <v>-</v>
      </c>
      <c r="D57" s="40" t="str">
        <f>IFERROR(AVERAGEIFS(#REF!,#REF!,$A:$A),"-")</f>
        <v>-</v>
      </c>
      <c r="E57" s="40" t="str">
        <f>IFERROR(AVERAGEIFS(#REF!,#REF!,$A:$A),"-")</f>
        <v>-</v>
      </c>
      <c r="F57" s="40" t="str">
        <f>IFERROR(AVERAGEIFS(#REF!,#REF!,$A:$A),"-")</f>
        <v>-</v>
      </c>
      <c r="G57" s="40" t="str">
        <f>IFERROR(AVERAGEIFS(#REF!,#REF!,A:A),"-")</f>
        <v>-</v>
      </c>
      <c r="H57" s="40" t="str">
        <f>IFERROR(AVERAGEIFS(#REF!,#REF!,$A:$A),"-")</f>
        <v>-</v>
      </c>
      <c r="I57" s="40" t="str">
        <f>IFERROR(AVERAGEIFS(#REF!,#REF!,$A:$A),"-")</f>
        <v>-</v>
      </c>
      <c r="J57" s="40" t="str">
        <f>IFERROR(AVERAGEIFS(#REF!,#REF!,$A:$A),"-")</f>
        <v>-</v>
      </c>
      <c r="K57" s="40" t="str">
        <f>IFERROR(AVERAGEIFS(#REF!,#REF!,$A:$A),"-")</f>
        <v>-</v>
      </c>
      <c r="L57" s="40" t="str">
        <f>IFERROR(AVERAGEIFS(#REF!,#REF!,$A:$A),"-")</f>
        <v>-</v>
      </c>
      <c r="M57" s="40" t="str">
        <f>IFERROR(AVERAGEIFS(#REF!,#REF!,$A:$A),"-")</f>
        <v>-</v>
      </c>
      <c r="N57" s="40" t="str">
        <f>IFERROR(AVERAGEIFS(#REF!,#REF!,$A:$A),"-")</f>
        <v>-</v>
      </c>
      <c r="O57" s="40" t="str">
        <f>IFERROR(AVERAGEIFS(#REF!,#REF!,$A:$A),"-")</f>
        <v>-</v>
      </c>
      <c r="P57" s="40" t="str">
        <f>IFERROR(AVERAGEIFS(#REF!,#REF!,$A:$A),"-")</f>
        <v>-</v>
      </c>
      <c r="Q57" s="40" t="str">
        <f>IFERROR(AVERAGEIFS(#REF!,#REF!,$A:$A),"-")</f>
        <v>-</v>
      </c>
      <c r="R57" s="40" t="str">
        <f>IFERROR(AVERAGEIFS(#REF!,#REF!,$A:$A),"-")</f>
        <v>-</v>
      </c>
      <c r="S57" s="40" t="str">
        <f>IFERROR(AVERAGEIFS(#REF!,#REF!,$A:$A),"-")</f>
        <v>-</v>
      </c>
      <c r="T57" s="40" t="str">
        <f>IFERROR(AVERAGEIFS(#REF!,#REF!,$A:$A),"-")</f>
        <v>-</v>
      </c>
      <c r="U57" s="40" t="str">
        <f>IFERROR(AVERAGEIFS(#REF!,#REF!,$A:$A),"-")</f>
        <v>-</v>
      </c>
      <c r="V57" s="40" t="str">
        <f>IFERROR(AVERAGEIFS(#REF!,#REF!,$A:$A),"-")</f>
        <v>-</v>
      </c>
      <c r="W57" s="40" t="str">
        <f t="shared" si="0"/>
        <v>-</v>
      </c>
      <c r="X57" s="40" t="str">
        <f t="shared" si="1"/>
        <v>-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ht="12.75">
      <c r="A58" s="42" t="s">
        <v>65</v>
      </c>
      <c r="B58" s="40">
        <f>IFERROR(AVERAGEIFS('сентябрь 2024- июнь 2026'!$K:$K,'сентябрь 2024- июнь 2026'!$E:$E,$A:$A),"-")</f>
        <v>2.0345999999999993</v>
      </c>
      <c r="C58" s="40" t="str">
        <f>IFERROR(AVERAGEIFS(#REF!,#REF!,$A:$A),"-")</f>
        <v>-</v>
      </c>
      <c r="D58" s="40" t="str">
        <f>IFERROR(AVERAGEIFS(#REF!,#REF!,$A:$A),"-")</f>
        <v>-</v>
      </c>
      <c r="E58" s="40" t="str">
        <f>IFERROR(AVERAGEIFS(#REF!,#REF!,$A:$A),"-")</f>
        <v>-</v>
      </c>
      <c r="F58" s="40" t="str">
        <f>IFERROR(AVERAGEIFS(#REF!,#REF!,$A:$A),"-")</f>
        <v>-</v>
      </c>
      <c r="G58" s="40" t="str">
        <f>IFERROR(AVERAGEIFS(#REF!,#REF!,A:A),"-")</f>
        <v>-</v>
      </c>
      <c r="H58" s="40" t="str">
        <f>IFERROR(AVERAGEIFS(#REF!,#REF!,$A:$A),"-")</f>
        <v>-</v>
      </c>
      <c r="I58" s="40" t="str">
        <f>IFERROR(AVERAGEIFS(#REF!,#REF!,$A:$A),"-")</f>
        <v>-</v>
      </c>
      <c r="J58" s="40" t="str">
        <f>IFERROR(AVERAGEIFS(#REF!,#REF!,$A:$A),"-")</f>
        <v>-</v>
      </c>
      <c r="K58" s="40" t="str">
        <f>IFERROR(AVERAGEIFS(#REF!,#REF!,$A:$A),"-")</f>
        <v>-</v>
      </c>
      <c r="L58" s="40" t="str">
        <f>IFERROR(AVERAGEIFS(#REF!,#REF!,$A:$A),"-")</f>
        <v>-</v>
      </c>
      <c r="M58" s="40" t="str">
        <f>IFERROR(AVERAGEIFS(#REF!,#REF!,$A:$A),"-")</f>
        <v>-</v>
      </c>
      <c r="N58" s="40" t="str">
        <f>IFERROR(AVERAGEIFS(#REF!,#REF!,$A:$A),"-")</f>
        <v>-</v>
      </c>
      <c r="O58" s="40" t="str">
        <f>IFERROR(AVERAGEIFS(#REF!,#REF!,$A:$A),"-")</f>
        <v>-</v>
      </c>
      <c r="P58" s="40" t="str">
        <f>IFERROR(AVERAGEIFS(#REF!,#REF!,$A:$A),"-")</f>
        <v>-</v>
      </c>
      <c r="Q58" s="40" t="str">
        <f>IFERROR(AVERAGEIFS(#REF!,#REF!,$A:$A),"-")</f>
        <v>-</v>
      </c>
      <c r="R58" s="40" t="str">
        <f>IFERROR(AVERAGEIFS(#REF!,#REF!,$A:$A),"-")</f>
        <v>-</v>
      </c>
      <c r="S58" s="40" t="str">
        <f>IFERROR(AVERAGEIFS(#REF!,#REF!,$A:$A),"-")</f>
        <v>-</v>
      </c>
      <c r="T58" s="40" t="str">
        <f>IFERROR(AVERAGEIFS(#REF!,#REF!,$A:$A),"-")</f>
        <v>-</v>
      </c>
      <c r="U58" s="40" t="str">
        <f>IFERROR(AVERAGEIFS(#REF!,#REF!,$A:$A),"-")</f>
        <v>-</v>
      </c>
      <c r="V58" s="40" t="str">
        <f>IFERROR(AVERAGEIFS(#REF!,#REF!,$A:$A),"-")</f>
        <v>-</v>
      </c>
      <c r="W58" s="40" t="str">
        <f t="shared" si="0"/>
        <v>-</v>
      </c>
      <c r="X58" s="40" t="str">
        <f t="shared" si="1"/>
        <v>-</v>
      </c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ht="12.75">
      <c r="A59" s="42" t="s">
        <v>104</v>
      </c>
      <c r="B59" s="40">
        <f>IFERROR(AVERAGEIFS('сентябрь 2024- июнь 2026'!$K:$K,'сентябрь 2024- июнь 2026'!$E:$E,$A:$A),"-")</f>
        <v>2.6804878048780494</v>
      </c>
      <c r="C59" s="40" t="str">
        <f>IFERROR(AVERAGEIFS(#REF!,#REF!,$A:$A),"-")</f>
        <v>-</v>
      </c>
      <c r="D59" s="40" t="str">
        <f>IFERROR(AVERAGEIFS(#REF!,#REF!,$A:$A),"-")</f>
        <v>-</v>
      </c>
      <c r="E59" s="40" t="str">
        <f>IFERROR(AVERAGEIFS(#REF!,#REF!,$A:$A),"-")</f>
        <v>-</v>
      </c>
      <c r="F59" s="40" t="str">
        <f>IFERROR(AVERAGEIFS(#REF!,#REF!,$A:$A),"-")</f>
        <v>-</v>
      </c>
      <c r="G59" s="40" t="str">
        <f>IFERROR(AVERAGEIFS(#REF!,#REF!,A:A),"-")</f>
        <v>-</v>
      </c>
      <c r="H59" s="40" t="str">
        <f>IFERROR(AVERAGEIFS(#REF!,#REF!,$A:$A),"-")</f>
        <v>-</v>
      </c>
      <c r="I59" s="40" t="str">
        <f>IFERROR(AVERAGEIFS(#REF!,#REF!,$A:$A),"-")</f>
        <v>-</v>
      </c>
      <c r="J59" s="40" t="str">
        <f>IFERROR(AVERAGEIFS(#REF!,#REF!,$A:$A),"-")</f>
        <v>-</v>
      </c>
      <c r="K59" s="40" t="str">
        <f>IFERROR(AVERAGEIFS(#REF!,#REF!,$A:$A),"-")</f>
        <v>-</v>
      </c>
      <c r="L59" s="40" t="str">
        <f>IFERROR(AVERAGEIFS(#REF!,#REF!,$A:$A),"-")</f>
        <v>-</v>
      </c>
      <c r="M59" s="40" t="str">
        <f>IFERROR(AVERAGEIFS(#REF!,#REF!,$A:$A),"-")</f>
        <v>-</v>
      </c>
      <c r="N59" s="40" t="str">
        <f>IFERROR(AVERAGEIFS(#REF!,#REF!,$A:$A),"-")</f>
        <v>-</v>
      </c>
      <c r="O59" s="40" t="str">
        <f>IFERROR(AVERAGEIFS(#REF!,#REF!,$A:$A),"-")</f>
        <v>-</v>
      </c>
      <c r="P59" s="40" t="str">
        <f>IFERROR(AVERAGEIFS(#REF!,#REF!,$A:$A),"-")</f>
        <v>-</v>
      </c>
      <c r="Q59" s="40" t="str">
        <f>IFERROR(AVERAGEIFS(#REF!,#REF!,$A:$A),"-")</f>
        <v>-</v>
      </c>
      <c r="R59" s="40" t="str">
        <f>IFERROR(AVERAGEIFS(#REF!,#REF!,$A:$A),"-")</f>
        <v>-</v>
      </c>
      <c r="S59" s="40" t="str">
        <f>IFERROR(AVERAGEIFS(#REF!,#REF!,$A:$A),"-")</f>
        <v>-</v>
      </c>
      <c r="T59" s="40" t="str">
        <f>IFERROR(AVERAGEIFS(#REF!,#REF!,$A:$A),"-")</f>
        <v>-</v>
      </c>
      <c r="U59" s="40" t="str">
        <f>IFERROR(AVERAGEIFS(#REF!,#REF!,$A:$A),"-")</f>
        <v>-</v>
      </c>
      <c r="V59" s="40" t="str">
        <f>IFERROR(AVERAGEIFS(#REF!,#REF!,$A:$A),"-")</f>
        <v>-</v>
      </c>
      <c r="W59" s="40" t="str">
        <f t="shared" si="0"/>
        <v>-</v>
      </c>
      <c r="X59" s="40" t="str">
        <f t="shared" si="1"/>
        <v>-</v>
      </c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ht="12.75">
      <c r="A60" s="42" t="s">
        <v>105</v>
      </c>
      <c r="B60" s="40">
        <f>IFERROR(AVERAGEIFS('сентябрь 2024- июнь 2026'!$K:$K,'сентябрь 2024- июнь 2026'!$E:$E,$A:$A),"-")</f>
        <v>2.1959999999999997</v>
      </c>
      <c r="C60" s="40" t="str">
        <f>IFERROR(AVERAGEIFS(#REF!,#REF!,$A:$A),"-")</f>
        <v>-</v>
      </c>
      <c r="D60" s="40" t="str">
        <f>IFERROR(AVERAGEIFS(#REF!,#REF!,$A:$A),"-")</f>
        <v>-</v>
      </c>
      <c r="E60" s="40" t="str">
        <f>IFERROR(AVERAGEIFS(#REF!,#REF!,$A:$A),"-")</f>
        <v>-</v>
      </c>
      <c r="F60" s="40" t="str">
        <f>IFERROR(AVERAGEIFS(#REF!,#REF!,$A:$A),"-")</f>
        <v>-</v>
      </c>
      <c r="G60" s="40" t="str">
        <f>IFERROR(AVERAGEIFS(#REF!,#REF!,A:A),"-")</f>
        <v>-</v>
      </c>
      <c r="H60" s="40" t="str">
        <f>IFERROR(AVERAGEIFS(#REF!,#REF!,$A:$A),"-")</f>
        <v>-</v>
      </c>
      <c r="I60" s="40" t="str">
        <f>IFERROR(AVERAGEIFS(#REF!,#REF!,$A:$A),"-")</f>
        <v>-</v>
      </c>
      <c r="J60" s="40" t="str">
        <f>IFERROR(AVERAGEIFS(#REF!,#REF!,$A:$A),"-")</f>
        <v>-</v>
      </c>
      <c r="K60" s="40" t="str">
        <f>IFERROR(AVERAGEIFS(#REF!,#REF!,$A:$A),"-")</f>
        <v>-</v>
      </c>
      <c r="L60" s="40" t="str">
        <f>IFERROR(AVERAGEIFS(#REF!,#REF!,$A:$A),"-")</f>
        <v>-</v>
      </c>
      <c r="M60" s="40" t="str">
        <f>IFERROR(AVERAGEIFS(#REF!,#REF!,$A:$A),"-")</f>
        <v>-</v>
      </c>
      <c r="N60" s="40" t="str">
        <f>IFERROR(AVERAGEIFS(#REF!,#REF!,$A:$A),"-")</f>
        <v>-</v>
      </c>
      <c r="O60" s="40" t="str">
        <f>IFERROR(AVERAGEIFS(#REF!,#REF!,$A:$A),"-")</f>
        <v>-</v>
      </c>
      <c r="P60" s="40" t="str">
        <f>IFERROR(AVERAGEIFS(#REF!,#REF!,$A:$A),"-")</f>
        <v>-</v>
      </c>
      <c r="Q60" s="40" t="str">
        <f>IFERROR(AVERAGEIFS(#REF!,#REF!,$A:$A),"-")</f>
        <v>-</v>
      </c>
      <c r="R60" s="40" t="str">
        <f>IFERROR(AVERAGEIFS(#REF!,#REF!,$A:$A),"-")</f>
        <v>-</v>
      </c>
      <c r="S60" s="40" t="str">
        <f>IFERROR(AVERAGEIFS(#REF!,#REF!,$A:$A),"-")</f>
        <v>-</v>
      </c>
      <c r="T60" s="40" t="str">
        <f>IFERROR(AVERAGEIFS(#REF!,#REF!,$A:$A),"-")</f>
        <v>-</v>
      </c>
      <c r="U60" s="40" t="str">
        <f>IFERROR(AVERAGEIFS(#REF!,#REF!,$A:$A),"-")</f>
        <v>-</v>
      </c>
      <c r="V60" s="40" t="str">
        <f>IFERROR(AVERAGEIFS(#REF!,#REF!,$A:$A),"-")</f>
        <v>-</v>
      </c>
      <c r="W60" s="40" t="str">
        <f t="shared" si="0"/>
        <v>-</v>
      </c>
      <c r="X60" s="40" t="str">
        <f t="shared" si="1"/>
        <v>-</v>
      </c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ht="12.75">
      <c r="A61" s="42" t="s">
        <v>89</v>
      </c>
      <c r="B61" s="40">
        <f>IFERROR(AVERAGEIFS('сентябрь 2024- июнь 2026'!$K:$K,'сентябрь 2024- июнь 2026'!$E:$E,$A:$A),"-")</f>
        <v>2.8506249999999995</v>
      </c>
      <c r="C61" s="40" t="str">
        <f>IFERROR(AVERAGEIFS(#REF!,#REF!,$A:$A),"-")</f>
        <v>-</v>
      </c>
      <c r="D61" s="40" t="str">
        <f>IFERROR(AVERAGEIFS(#REF!,#REF!,$A:$A),"-")</f>
        <v>-</v>
      </c>
      <c r="E61" s="40" t="str">
        <f>IFERROR(AVERAGEIFS(#REF!,#REF!,$A:$A),"-")</f>
        <v>-</v>
      </c>
      <c r="F61" s="40" t="str">
        <f>IFERROR(AVERAGEIFS(#REF!,#REF!,$A:$A),"-")</f>
        <v>-</v>
      </c>
      <c r="G61" s="40" t="str">
        <f>IFERROR(AVERAGEIFS(#REF!,#REF!,A:A),"-")</f>
        <v>-</v>
      </c>
      <c r="H61" s="40" t="str">
        <f>IFERROR(AVERAGEIFS(#REF!,#REF!,$A:$A),"-")</f>
        <v>-</v>
      </c>
      <c r="I61" s="40" t="str">
        <f>IFERROR(AVERAGEIFS(#REF!,#REF!,$A:$A),"-")</f>
        <v>-</v>
      </c>
      <c r="J61" s="40" t="str">
        <f>IFERROR(AVERAGEIFS(#REF!,#REF!,$A:$A),"-")</f>
        <v>-</v>
      </c>
      <c r="K61" s="40" t="str">
        <f>IFERROR(AVERAGEIFS(#REF!,#REF!,$A:$A),"-")</f>
        <v>-</v>
      </c>
      <c r="L61" s="40" t="str">
        <f>IFERROR(AVERAGEIFS(#REF!,#REF!,$A:$A),"-")</f>
        <v>-</v>
      </c>
      <c r="M61" s="40" t="str">
        <f>IFERROR(AVERAGEIFS(#REF!,#REF!,$A:$A),"-")</f>
        <v>-</v>
      </c>
      <c r="N61" s="40" t="str">
        <f>IFERROR(AVERAGEIFS(#REF!,#REF!,$A:$A),"-")</f>
        <v>-</v>
      </c>
      <c r="O61" s="40" t="str">
        <f>IFERROR(AVERAGEIFS(#REF!,#REF!,$A:$A),"-")</f>
        <v>-</v>
      </c>
      <c r="P61" s="40" t="str">
        <f>IFERROR(AVERAGEIFS(#REF!,#REF!,$A:$A),"-")</f>
        <v>-</v>
      </c>
      <c r="Q61" s="40" t="str">
        <f>IFERROR(AVERAGEIFS(#REF!,#REF!,$A:$A),"-")</f>
        <v>-</v>
      </c>
      <c r="R61" s="40" t="str">
        <f>IFERROR(AVERAGEIFS(#REF!,#REF!,$A:$A),"-")</f>
        <v>-</v>
      </c>
      <c r="S61" s="40" t="str">
        <f>IFERROR(AVERAGEIFS(#REF!,#REF!,$A:$A),"-")</f>
        <v>-</v>
      </c>
      <c r="T61" s="40" t="str">
        <f>IFERROR(AVERAGEIFS(#REF!,#REF!,$A:$A),"-")</f>
        <v>-</v>
      </c>
      <c r="U61" s="40" t="str">
        <f>IFERROR(AVERAGEIFS(#REF!,#REF!,$A:$A),"-")</f>
        <v>-</v>
      </c>
      <c r="V61" s="40" t="str">
        <f>IFERROR(AVERAGEIFS(#REF!,#REF!,$A:$A),"-")</f>
        <v>-</v>
      </c>
      <c r="W61" s="40" t="str">
        <f t="shared" si="0"/>
        <v>-</v>
      </c>
      <c r="X61" s="40" t="str">
        <f t="shared" si="1"/>
        <v>-</v>
      </c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ht="12.75">
      <c r="A62" s="42" t="s">
        <v>95</v>
      </c>
      <c r="B62" s="40">
        <f>IFERROR(AVERAGEIFS('сентябрь 2024- июнь 2026'!$K:$K,'сентябрь 2024- июнь 2026'!$E:$E,$A:$A),"-")</f>
        <v>2.08</v>
      </c>
      <c r="C62" s="40" t="str">
        <f>IFERROR(AVERAGEIFS(#REF!,#REF!,$A:$A),"-")</f>
        <v>-</v>
      </c>
      <c r="D62" s="40" t="str">
        <f>IFERROR(AVERAGEIFS(#REF!,#REF!,$A:$A),"-")</f>
        <v>-</v>
      </c>
      <c r="E62" s="40" t="str">
        <f>IFERROR(AVERAGEIFS(#REF!,#REF!,$A:$A),"-")</f>
        <v>-</v>
      </c>
      <c r="F62" s="40" t="str">
        <f>IFERROR(AVERAGEIFS(#REF!,#REF!,$A:$A),"-")</f>
        <v>-</v>
      </c>
      <c r="G62" s="40" t="str">
        <f>IFERROR(AVERAGEIFS(#REF!,#REF!,A:A),"-")</f>
        <v>-</v>
      </c>
      <c r="H62" s="40" t="str">
        <f>IFERROR(AVERAGEIFS(#REF!,#REF!,$A:$A),"-")</f>
        <v>-</v>
      </c>
      <c r="I62" s="40" t="str">
        <f>IFERROR(AVERAGEIFS(#REF!,#REF!,$A:$A),"-")</f>
        <v>-</v>
      </c>
      <c r="J62" s="40" t="str">
        <f>IFERROR(AVERAGEIFS(#REF!,#REF!,$A:$A),"-")</f>
        <v>-</v>
      </c>
      <c r="K62" s="40" t="str">
        <f>IFERROR(AVERAGEIFS(#REF!,#REF!,$A:$A),"-")</f>
        <v>-</v>
      </c>
      <c r="L62" s="40" t="str">
        <f>IFERROR(AVERAGEIFS(#REF!,#REF!,$A:$A),"-")</f>
        <v>-</v>
      </c>
      <c r="M62" s="40" t="str">
        <f>IFERROR(AVERAGEIFS(#REF!,#REF!,$A:$A),"-")</f>
        <v>-</v>
      </c>
      <c r="N62" s="40" t="str">
        <f>IFERROR(AVERAGEIFS(#REF!,#REF!,$A:$A),"-")</f>
        <v>-</v>
      </c>
      <c r="O62" s="40" t="str">
        <f>IFERROR(AVERAGEIFS(#REF!,#REF!,$A:$A),"-")</f>
        <v>-</v>
      </c>
      <c r="P62" s="40" t="str">
        <f>IFERROR(AVERAGEIFS(#REF!,#REF!,$A:$A),"-")</f>
        <v>-</v>
      </c>
      <c r="Q62" s="40" t="str">
        <f>IFERROR(AVERAGEIFS(#REF!,#REF!,$A:$A),"-")</f>
        <v>-</v>
      </c>
      <c r="R62" s="40" t="str">
        <f>IFERROR(AVERAGEIFS(#REF!,#REF!,$A:$A),"-")</f>
        <v>-</v>
      </c>
      <c r="S62" s="40" t="str">
        <f>IFERROR(AVERAGEIFS(#REF!,#REF!,$A:$A),"-")</f>
        <v>-</v>
      </c>
      <c r="T62" s="40" t="str">
        <f>IFERROR(AVERAGEIFS(#REF!,#REF!,$A:$A),"-")</f>
        <v>-</v>
      </c>
      <c r="U62" s="40" t="str">
        <f>IFERROR(AVERAGEIFS(#REF!,#REF!,$A:$A),"-")</f>
        <v>-</v>
      </c>
      <c r="V62" s="40" t="str">
        <f>IFERROR(AVERAGEIFS(#REF!,#REF!,$A:$A),"-")</f>
        <v>-</v>
      </c>
      <c r="W62" s="40" t="str">
        <f t="shared" si="0"/>
        <v>-</v>
      </c>
      <c r="X62" s="40" t="str">
        <f t="shared" si="1"/>
        <v>-</v>
      </c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ht="12.75">
      <c r="A63" s="42" t="s">
        <v>52</v>
      </c>
      <c r="B63" s="40">
        <f>IFERROR(AVERAGEIFS('сентябрь 2024- июнь 2026'!$K:$K,'сентябрь 2024- июнь 2026'!$E:$E,$A:$A),"-")</f>
        <v>2.7052941176470595</v>
      </c>
      <c r="C63" s="40" t="str">
        <f>IFERROR(AVERAGEIFS(#REF!,#REF!,$A:$A),"-")</f>
        <v>-</v>
      </c>
      <c r="D63" s="40" t="str">
        <f>IFERROR(AVERAGEIFS(#REF!,#REF!,$A:$A),"-")</f>
        <v>-</v>
      </c>
      <c r="E63" s="40" t="str">
        <f>IFERROR(AVERAGEIFS(#REF!,#REF!,$A:$A),"-")</f>
        <v>-</v>
      </c>
      <c r="F63" s="40" t="str">
        <f>IFERROR(AVERAGEIFS(#REF!,#REF!,$A:$A),"-")</f>
        <v>-</v>
      </c>
      <c r="G63" s="40" t="str">
        <f>IFERROR(AVERAGEIFS(#REF!,#REF!,A:A),"-")</f>
        <v>-</v>
      </c>
      <c r="H63" s="40" t="str">
        <f>IFERROR(AVERAGEIFS(#REF!,#REF!,$A:$A),"-")</f>
        <v>-</v>
      </c>
      <c r="I63" s="40" t="str">
        <f>IFERROR(AVERAGEIFS(#REF!,#REF!,$A:$A),"-")</f>
        <v>-</v>
      </c>
      <c r="J63" s="40" t="str">
        <f>IFERROR(AVERAGEIFS(#REF!,#REF!,$A:$A),"-")</f>
        <v>-</v>
      </c>
      <c r="K63" s="40" t="str">
        <f>IFERROR(AVERAGEIFS(#REF!,#REF!,$A:$A),"-")</f>
        <v>-</v>
      </c>
      <c r="L63" s="40" t="str">
        <f>IFERROR(AVERAGEIFS(#REF!,#REF!,$A:$A),"-")</f>
        <v>-</v>
      </c>
      <c r="M63" s="40" t="str">
        <f>IFERROR(AVERAGEIFS(#REF!,#REF!,$A:$A),"-")</f>
        <v>-</v>
      </c>
      <c r="N63" s="40" t="str">
        <f>IFERROR(AVERAGEIFS(#REF!,#REF!,$A:$A),"-")</f>
        <v>-</v>
      </c>
      <c r="O63" s="40" t="str">
        <f>IFERROR(AVERAGEIFS(#REF!,#REF!,$A:$A),"-")</f>
        <v>-</v>
      </c>
      <c r="P63" s="40" t="str">
        <f>IFERROR(AVERAGEIFS(#REF!,#REF!,$A:$A),"-")</f>
        <v>-</v>
      </c>
      <c r="Q63" s="40" t="str">
        <f>IFERROR(AVERAGEIFS(#REF!,#REF!,$A:$A),"-")</f>
        <v>-</v>
      </c>
      <c r="R63" s="40" t="str">
        <f>IFERROR(AVERAGEIFS(#REF!,#REF!,$A:$A),"-")</f>
        <v>-</v>
      </c>
      <c r="S63" s="40" t="str">
        <f>IFERROR(AVERAGEIFS(#REF!,#REF!,$A:$A),"-")</f>
        <v>-</v>
      </c>
      <c r="T63" s="40" t="str">
        <f>IFERROR(AVERAGEIFS(#REF!,#REF!,$A:$A),"-")</f>
        <v>-</v>
      </c>
      <c r="U63" s="40" t="str">
        <f>IFERROR(AVERAGEIFS(#REF!,#REF!,$A:$A),"-")</f>
        <v>-</v>
      </c>
      <c r="V63" s="40" t="str">
        <f>IFERROR(AVERAGEIFS(#REF!,#REF!,$A:$A),"-")</f>
        <v>-</v>
      </c>
      <c r="W63" s="40" t="str">
        <f t="shared" si="0"/>
        <v>-</v>
      </c>
      <c r="X63" s="40" t="str">
        <f t="shared" si="1"/>
        <v>-</v>
      </c>
      <c r="Y63" s="39"/>
      <c r="Z63" s="39"/>
      <c r="AA63" s="39"/>
      <c r="AB63" s="39"/>
      <c r="AC63" s="39"/>
      <c r="AD63" s="39"/>
      <c r="AE63" s="39"/>
      <c r="AF63" s="39"/>
      <c r="AG63" s="39"/>
      <c r="AH63" s="39"/>
    </row>
    <row r="64" spans="1:34" ht="12.75">
      <c r="A64" s="42" t="s">
        <v>66</v>
      </c>
      <c r="B64" s="40">
        <f>IFERROR(AVERAGEIFS('сентябрь 2024- июнь 2026'!$K:$K,'сентябрь 2024- июнь 2026'!$E:$E,$A:$A),"-")</f>
        <v>2.1657142857142859</v>
      </c>
      <c r="C64" s="40" t="str">
        <f>IFERROR(AVERAGEIFS(#REF!,#REF!,$A:$A),"-")</f>
        <v>-</v>
      </c>
      <c r="D64" s="40" t="str">
        <f>IFERROR(AVERAGEIFS(#REF!,#REF!,$A:$A),"-")</f>
        <v>-</v>
      </c>
      <c r="E64" s="40" t="str">
        <f>IFERROR(AVERAGEIFS(#REF!,#REF!,$A:$A),"-")</f>
        <v>-</v>
      </c>
      <c r="F64" s="40" t="str">
        <f>IFERROR(AVERAGEIFS(#REF!,#REF!,$A:$A),"-")</f>
        <v>-</v>
      </c>
      <c r="G64" s="40" t="str">
        <f>IFERROR(AVERAGEIFS(#REF!,#REF!,A:A),"-")</f>
        <v>-</v>
      </c>
      <c r="H64" s="40" t="str">
        <f>IFERROR(AVERAGEIFS(#REF!,#REF!,$A:$A),"-")</f>
        <v>-</v>
      </c>
      <c r="I64" s="40" t="str">
        <f>IFERROR(AVERAGEIFS(#REF!,#REF!,$A:$A),"-")</f>
        <v>-</v>
      </c>
      <c r="J64" s="40" t="str">
        <f>IFERROR(AVERAGEIFS(#REF!,#REF!,$A:$A),"-")</f>
        <v>-</v>
      </c>
      <c r="K64" s="40" t="str">
        <f>IFERROR(AVERAGEIFS(#REF!,#REF!,$A:$A),"-")</f>
        <v>-</v>
      </c>
      <c r="L64" s="40" t="str">
        <f>IFERROR(AVERAGEIFS(#REF!,#REF!,$A:$A),"-")</f>
        <v>-</v>
      </c>
      <c r="M64" s="40" t="str">
        <f>IFERROR(AVERAGEIFS(#REF!,#REF!,$A:$A),"-")</f>
        <v>-</v>
      </c>
      <c r="N64" s="40" t="str">
        <f>IFERROR(AVERAGEIFS(#REF!,#REF!,$A:$A),"-")</f>
        <v>-</v>
      </c>
      <c r="O64" s="40" t="str">
        <f>IFERROR(AVERAGEIFS(#REF!,#REF!,$A:$A),"-")</f>
        <v>-</v>
      </c>
      <c r="P64" s="40" t="str">
        <f>IFERROR(AVERAGEIFS(#REF!,#REF!,$A:$A),"-")</f>
        <v>-</v>
      </c>
      <c r="Q64" s="40" t="str">
        <f>IFERROR(AVERAGEIFS(#REF!,#REF!,$A:$A),"-")</f>
        <v>-</v>
      </c>
      <c r="R64" s="40" t="str">
        <f>IFERROR(AVERAGEIFS(#REF!,#REF!,$A:$A),"-")</f>
        <v>-</v>
      </c>
      <c r="S64" s="40" t="str">
        <f>IFERROR(AVERAGEIFS(#REF!,#REF!,$A:$A),"-")</f>
        <v>-</v>
      </c>
      <c r="T64" s="40" t="str">
        <f>IFERROR(AVERAGEIFS(#REF!,#REF!,$A:$A),"-")</f>
        <v>-</v>
      </c>
      <c r="U64" s="40" t="str">
        <f>IFERROR(AVERAGEIFS(#REF!,#REF!,$A:$A),"-")</f>
        <v>-</v>
      </c>
      <c r="V64" s="40" t="str">
        <f>IFERROR(AVERAGEIFS(#REF!,#REF!,$A:$A),"-")</f>
        <v>-</v>
      </c>
      <c r="W64" s="40" t="str">
        <f t="shared" si="0"/>
        <v>-</v>
      </c>
      <c r="X64" s="40" t="str">
        <f t="shared" si="1"/>
        <v>-</v>
      </c>
      <c r="Y64" s="39"/>
      <c r="Z64" s="39"/>
      <c r="AA64" s="39"/>
      <c r="AB64" s="39"/>
      <c r="AC64" s="39"/>
      <c r="AD64" s="39"/>
      <c r="AE64" s="39"/>
      <c r="AF64" s="39"/>
      <c r="AG64" s="39"/>
      <c r="AH64" s="39"/>
    </row>
    <row r="65" spans="1:34" ht="12.75">
      <c r="A65" s="26" t="s">
        <v>106</v>
      </c>
      <c r="B65" s="40">
        <f>IFERROR(AVERAGEIFS('сентябрь 2024- июнь 2026'!$K:$K,'сентябрь 2024- июнь 2026'!$E:$E,$A:$A),"-")</f>
        <v>2.54</v>
      </c>
      <c r="C65" s="40" t="str">
        <f>IFERROR(AVERAGEIFS(#REF!,#REF!,$A:$A),"-")</f>
        <v>-</v>
      </c>
      <c r="D65" s="40" t="str">
        <f>IFERROR(AVERAGEIFS(#REF!,#REF!,$A:$A),"-")</f>
        <v>-</v>
      </c>
      <c r="E65" s="40" t="str">
        <f>IFERROR(AVERAGEIFS(#REF!,#REF!,$A:$A),"-")</f>
        <v>-</v>
      </c>
      <c r="F65" s="40" t="str">
        <f>IFERROR(AVERAGEIFS(#REF!,#REF!,$A:$A),"-")</f>
        <v>-</v>
      </c>
      <c r="G65" s="40" t="str">
        <f>IFERROR(AVERAGEIFS(#REF!,#REF!,A:A),"-")</f>
        <v>-</v>
      </c>
      <c r="H65" s="40" t="str">
        <f>IFERROR(AVERAGEIFS(#REF!,#REF!,$A:$A),"-")</f>
        <v>-</v>
      </c>
      <c r="I65" s="40" t="str">
        <f>IFERROR(AVERAGEIFS(#REF!,#REF!,$A:$A),"-")</f>
        <v>-</v>
      </c>
      <c r="J65" s="40" t="str">
        <f>IFERROR(AVERAGEIFS(#REF!,#REF!,$A:$A),"-")</f>
        <v>-</v>
      </c>
      <c r="K65" s="40" t="str">
        <f>IFERROR(AVERAGEIFS(#REF!,#REF!,$A:$A),"-")</f>
        <v>-</v>
      </c>
      <c r="L65" s="40" t="str">
        <f>IFERROR(AVERAGEIFS(#REF!,#REF!,$A:$A),"-")</f>
        <v>-</v>
      </c>
      <c r="M65" s="40" t="str">
        <f>IFERROR(AVERAGEIFS(#REF!,#REF!,$A:$A),"-")</f>
        <v>-</v>
      </c>
      <c r="N65" s="40" t="str">
        <f>IFERROR(AVERAGEIFS(#REF!,#REF!,$A:$A),"-")</f>
        <v>-</v>
      </c>
      <c r="O65" s="40" t="str">
        <f>IFERROR(AVERAGEIFS(#REF!,#REF!,$A:$A),"-")</f>
        <v>-</v>
      </c>
      <c r="P65" s="40" t="str">
        <f>IFERROR(AVERAGEIFS(#REF!,#REF!,$A:$A),"-")</f>
        <v>-</v>
      </c>
      <c r="Q65" s="40" t="str">
        <f>IFERROR(AVERAGEIFS(#REF!,#REF!,$A:$A),"-")</f>
        <v>-</v>
      </c>
      <c r="R65" s="40" t="str">
        <f>IFERROR(AVERAGEIFS(#REF!,#REF!,$A:$A),"-")</f>
        <v>-</v>
      </c>
      <c r="S65" s="40" t="str">
        <f>IFERROR(AVERAGEIFS(#REF!,#REF!,$A:$A),"-")</f>
        <v>-</v>
      </c>
      <c r="T65" s="40" t="str">
        <f>IFERROR(AVERAGEIFS(#REF!,#REF!,$A:$A),"-")</f>
        <v>-</v>
      </c>
      <c r="U65" s="40" t="str">
        <f>IFERROR(AVERAGEIFS(#REF!,#REF!,$A:$A),"-")</f>
        <v>-</v>
      </c>
      <c r="V65" s="40" t="str">
        <f>IFERROR(AVERAGEIFS(#REF!,#REF!,$A:$A),"-")</f>
        <v>-</v>
      </c>
      <c r="W65" s="40" t="str">
        <f t="shared" si="0"/>
        <v>-</v>
      </c>
      <c r="X65" s="40" t="str">
        <f t="shared" si="1"/>
        <v>-</v>
      </c>
      <c r="Y65" s="39"/>
      <c r="Z65" s="39"/>
      <c r="AA65" s="39"/>
      <c r="AB65" s="39"/>
      <c r="AC65" s="39"/>
      <c r="AD65" s="39"/>
      <c r="AE65" s="39"/>
      <c r="AF65" s="39"/>
      <c r="AG65" s="39"/>
      <c r="AH65" s="39"/>
    </row>
    <row r="66" spans="1:34" ht="12.75">
      <c r="A66" s="43" t="s">
        <v>107</v>
      </c>
      <c r="B66" s="40">
        <f>IFERROR(AVERAGEIFS('сентябрь 2024- июнь 2026'!$K:$K,'сентябрь 2024- июнь 2026'!$E:$E,$A:$A),"-")</f>
        <v>2.67</v>
      </c>
      <c r="C66" s="40" t="str">
        <f>IFERROR(AVERAGEIFS(#REF!,#REF!,$A:$A),"-")</f>
        <v>-</v>
      </c>
      <c r="D66" s="40" t="str">
        <f>IFERROR(AVERAGEIFS(#REF!,#REF!,$A:$A),"-")</f>
        <v>-</v>
      </c>
      <c r="E66" s="40" t="str">
        <f>IFERROR(AVERAGEIFS(#REF!,#REF!,$A:$A),"-")</f>
        <v>-</v>
      </c>
      <c r="F66" s="40" t="str">
        <f>IFERROR(AVERAGEIFS(#REF!,#REF!,$A:$A),"-")</f>
        <v>-</v>
      </c>
      <c r="G66" s="40" t="str">
        <f>IFERROR(AVERAGEIFS(#REF!,#REF!,A:A),"-")</f>
        <v>-</v>
      </c>
      <c r="H66" s="40" t="str">
        <f>IFERROR(AVERAGEIFS(#REF!,#REF!,$A:$A),"-")</f>
        <v>-</v>
      </c>
      <c r="I66" s="40" t="str">
        <f>IFERROR(AVERAGEIFS(#REF!,#REF!,$A:$A),"-")</f>
        <v>-</v>
      </c>
      <c r="J66" s="40" t="str">
        <f>IFERROR(AVERAGEIFS(#REF!,#REF!,$A:$A),"-")</f>
        <v>-</v>
      </c>
      <c r="K66" s="40" t="str">
        <f>IFERROR(AVERAGEIFS(#REF!,#REF!,$A:$A),"-")</f>
        <v>-</v>
      </c>
      <c r="L66" s="40" t="str">
        <f>IFERROR(AVERAGEIFS(#REF!,#REF!,$A:$A),"-")</f>
        <v>-</v>
      </c>
      <c r="M66" s="40" t="str">
        <f>IFERROR(AVERAGEIFS(#REF!,#REF!,$A:$A),"-")</f>
        <v>-</v>
      </c>
      <c r="N66" s="40" t="str">
        <f>IFERROR(AVERAGEIFS(#REF!,#REF!,$A:$A),"-")</f>
        <v>-</v>
      </c>
      <c r="O66" s="40" t="str">
        <f>IFERROR(AVERAGEIFS(#REF!,#REF!,$A:$A),"-")</f>
        <v>-</v>
      </c>
      <c r="P66" s="40" t="str">
        <f>IFERROR(AVERAGEIFS(#REF!,#REF!,$A:$A),"-")</f>
        <v>-</v>
      </c>
      <c r="Q66" s="40" t="str">
        <f>IFERROR(AVERAGEIFS(#REF!,#REF!,$A:$A),"-")</f>
        <v>-</v>
      </c>
      <c r="R66" s="40" t="str">
        <f>IFERROR(AVERAGEIFS(#REF!,#REF!,$A:$A),"-")</f>
        <v>-</v>
      </c>
      <c r="S66" s="40" t="str">
        <f>IFERROR(AVERAGEIFS(#REF!,#REF!,$A:$A),"-")</f>
        <v>-</v>
      </c>
      <c r="T66" s="40" t="str">
        <f>IFERROR(AVERAGEIFS(#REF!,#REF!,$A:$A),"-")</f>
        <v>-</v>
      </c>
      <c r="U66" s="40" t="str">
        <f>IFERROR(AVERAGEIFS(#REF!,#REF!,$A:$A),"-")</f>
        <v>-</v>
      </c>
      <c r="V66" s="40" t="str">
        <f>IFERROR(AVERAGEIFS(#REF!,#REF!,$A:$A),"-")</f>
        <v>-</v>
      </c>
      <c r="W66" s="40" t="str">
        <f t="shared" si="0"/>
        <v>-</v>
      </c>
      <c r="X66" s="40" t="str">
        <f t="shared" si="1"/>
        <v>-</v>
      </c>
      <c r="Y66" s="39"/>
      <c r="Z66" s="39"/>
      <c r="AA66" s="39"/>
      <c r="AB66" s="39"/>
      <c r="AC66" s="39"/>
      <c r="AD66" s="39"/>
      <c r="AE66" s="39"/>
      <c r="AF66" s="39"/>
      <c r="AG66" s="39"/>
      <c r="AH66" s="39"/>
    </row>
    <row r="67" spans="1:34" ht="12.75">
      <c r="A67" s="26" t="s">
        <v>108</v>
      </c>
      <c r="B67" s="40">
        <f>IFERROR(AVERAGEIFS('сентябрь 2024- июнь 2026'!$K:$K,'сентябрь 2024- июнь 2026'!$E:$E,$A:$A),"-")</f>
        <v>2.8666666666666667</v>
      </c>
      <c r="C67" s="40" t="str">
        <f>IFERROR(AVERAGEIFS(#REF!,#REF!,$A:$A),"-")</f>
        <v>-</v>
      </c>
      <c r="D67" s="40" t="str">
        <f>IFERROR(AVERAGEIFS(#REF!,#REF!,$A:$A),"-")</f>
        <v>-</v>
      </c>
      <c r="E67" s="40" t="str">
        <f>IFERROR(AVERAGEIFS(#REF!,#REF!,$A:$A),"-")</f>
        <v>-</v>
      </c>
      <c r="F67" s="40" t="str">
        <f>IFERROR(AVERAGEIFS(#REF!,#REF!,$A:$A),"-")</f>
        <v>-</v>
      </c>
      <c r="G67" s="40" t="str">
        <f>IFERROR(AVERAGEIFS(#REF!,#REF!,A:A),"-")</f>
        <v>-</v>
      </c>
      <c r="H67" s="40" t="str">
        <f>IFERROR(AVERAGEIFS(#REF!,#REF!,$A:$A),"-")</f>
        <v>-</v>
      </c>
      <c r="I67" s="40" t="str">
        <f>IFERROR(AVERAGEIFS(#REF!,#REF!,$A:$A),"-")</f>
        <v>-</v>
      </c>
      <c r="J67" s="40" t="str">
        <f>IFERROR(AVERAGEIFS(#REF!,#REF!,$A:$A),"-")</f>
        <v>-</v>
      </c>
      <c r="K67" s="40" t="str">
        <f>IFERROR(AVERAGEIFS(#REF!,#REF!,$A:$A),"-")</f>
        <v>-</v>
      </c>
      <c r="L67" s="40" t="str">
        <f>IFERROR(AVERAGEIFS(#REF!,#REF!,$A:$A),"-")</f>
        <v>-</v>
      </c>
      <c r="M67" s="40" t="str">
        <f>IFERROR(AVERAGEIFS(#REF!,#REF!,$A:$A),"-")</f>
        <v>-</v>
      </c>
      <c r="N67" s="40" t="str">
        <f>IFERROR(AVERAGEIFS(#REF!,#REF!,$A:$A),"-")</f>
        <v>-</v>
      </c>
      <c r="O67" s="40" t="str">
        <f>IFERROR(AVERAGEIFS(#REF!,#REF!,$A:$A),"-")</f>
        <v>-</v>
      </c>
      <c r="P67" s="40" t="str">
        <f>IFERROR(AVERAGEIFS(#REF!,#REF!,$A:$A),"-")</f>
        <v>-</v>
      </c>
      <c r="Q67" s="40" t="str">
        <f>IFERROR(AVERAGEIFS(#REF!,#REF!,$A:$A),"-")</f>
        <v>-</v>
      </c>
      <c r="R67" s="40" t="str">
        <f>IFERROR(AVERAGEIFS(#REF!,#REF!,$A:$A),"-")</f>
        <v>-</v>
      </c>
      <c r="S67" s="40" t="str">
        <f>IFERROR(AVERAGEIFS(#REF!,#REF!,$A:$A),"-")</f>
        <v>-</v>
      </c>
      <c r="T67" s="40" t="str">
        <f>IFERROR(AVERAGEIFS(#REF!,#REF!,$A:$A),"-")</f>
        <v>-</v>
      </c>
      <c r="U67" s="40" t="str">
        <f>IFERROR(AVERAGEIFS(#REF!,#REF!,$A:$A),"-")</f>
        <v>-</v>
      </c>
      <c r="V67" s="40" t="str">
        <f>IFERROR(AVERAGEIFS(#REF!,#REF!,$A:$A),"-")</f>
        <v>-</v>
      </c>
      <c r="W67" s="40" t="str">
        <f t="shared" si="0"/>
        <v>-</v>
      </c>
      <c r="X67" s="40" t="str">
        <f t="shared" si="1"/>
        <v>-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</row>
    <row r="68" spans="1:34" ht="12.75">
      <c r="A68" s="26" t="s">
        <v>109</v>
      </c>
      <c r="B68" s="40">
        <f>IFERROR(AVERAGEIFS('сентябрь 2024- июнь 2026'!$K:$K,'сентябрь 2024- июнь 2026'!$E:$E,$A:$A),"-")</f>
        <v>2.76</v>
      </c>
      <c r="C68" s="40" t="str">
        <f>IFERROR(AVERAGEIFS(#REF!,#REF!,$A:$A),"-")</f>
        <v>-</v>
      </c>
      <c r="D68" s="40" t="str">
        <f>IFERROR(AVERAGEIFS(#REF!,#REF!,$A:$A),"-")</f>
        <v>-</v>
      </c>
      <c r="E68" s="40" t="str">
        <f>IFERROR(AVERAGEIFS(#REF!,#REF!,$A:$A),"-")</f>
        <v>-</v>
      </c>
      <c r="F68" s="40" t="str">
        <f>IFERROR(AVERAGEIFS(#REF!,#REF!,$A:$A),"-")</f>
        <v>-</v>
      </c>
      <c r="G68" s="40" t="str">
        <f>IFERROR(AVERAGEIFS(#REF!,#REF!,A:A),"-")</f>
        <v>-</v>
      </c>
      <c r="H68" s="40" t="str">
        <f>IFERROR(AVERAGEIFS(#REF!,#REF!,$A:$A),"-")</f>
        <v>-</v>
      </c>
      <c r="I68" s="40" t="str">
        <f>IFERROR(AVERAGEIFS(#REF!,#REF!,$A:$A),"-")</f>
        <v>-</v>
      </c>
      <c r="J68" s="40" t="str">
        <f>IFERROR(AVERAGEIFS(#REF!,#REF!,$A:$A),"-")</f>
        <v>-</v>
      </c>
      <c r="K68" s="40" t="str">
        <f>IFERROR(AVERAGEIFS(#REF!,#REF!,$A:$A),"-")</f>
        <v>-</v>
      </c>
      <c r="L68" s="40" t="str">
        <f>IFERROR(AVERAGEIFS(#REF!,#REF!,$A:$A),"-")</f>
        <v>-</v>
      </c>
      <c r="M68" s="40" t="str">
        <f>IFERROR(AVERAGEIFS(#REF!,#REF!,$A:$A),"-")</f>
        <v>-</v>
      </c>
      <c r="N68" s="40" t="str">
        <f>IFERROR(AVERAGEIFS(#REF!,#REF!,$A:$A),"-")</f>
        <v>-</v>
      </c>
      <c r="O68" s="40" t="str">
        <f>IFERROR(AVERAGEIFS(#REF!,#REF!,$A:$A),"-")</f>
        <v>-</v>
      </c>
      <c r="P68" s="40" t="str">
        <f>IFERROR(AVERAGEIFS(#REF!,#REF!,$A:$A),"-")</f>
        <v>-</v>
      </c>
      <c r="Q68" s="40" t="str">
        <f>IFERROR(AVERAGEIFS(#REF!,#REF!,$A:$A),"-")</f>
        <v>-</v>
      </c>
      <c r="R68" s="40" t="str">
        <f>IFERROR(AVERAGEIFS(#REF!,#REF!,$A:$A),"-")</f>
        <v>-</v>
      </c>
      <c r="S68" s="40" t="str">
        <f>IFERROR(AVERAGEIFS(#REF!,#REF!,$A:$A),"-")</f>
        <v>-</v>
      </c>
      <c r="T68" s="40" t="str">
        <f>IFERROR(AVERAGEIFS(#REF!,#REF!,$A:$A),"-")</f>
        <v>-</v>
      </c>
      <c r="U68" s="40" t="str">
        <f>IFERROR(AVERAGEIFS(#REF!,#REF!,$A:$A),"-")</f>
        <v>-</v>
      </c>
      <c r="V68" s="40" t="str">
        <f>IFERROR(AVERAGEIFS(#REF!,#REF!,$A:$A),"-")</f>
        <v>-</v>
      </c>
      <c r="W68" s="40" t="str">
        <f t="shared" si="0"/>
        <v>-</v>
      </c>
      <c r="X68" s="40" t="str">
        <f t="shared" si="1"/>
        <v>-</v>
      </c>
      <c r="Y68" s="39"/>
      <c r="Z68" s="39"/>
      <c r="AA68" s="39"/>
      <c r="AB68" s="39"/>
      <c r="AC68" s="39"/>
      <c r="AD68" s="39"/>
      <c r="AE68" s="39"/>
      <c r="AF68" s="39"/>
      <c r="AG68" s="39"/>
      <c r="AH68" s="39"/>
    </row>
    <row r="69" spans="1:34" ht="12.75">
      <c r="A69" s="26" t="s">
        <v>110</v>
      </c>
      <c r="B69" s="40">
        <f>IFERROR(AVERAGEIFS('сентябрь 2024- июнь 2026'!$K:$K,'сентябрь 2024- июнь 2026'!$E:$E,$A:$A),"-")</f>
        <v>2.4300000000000002</v>
      </c>
      <c r="C69" s="40" t="str">
        <f>IFERROR(AVERAGEIFS(#REF!,#REF!,$A:$A),"-")</f>
        <v>-</v>
      </c>
      <c r="D69" s="40" t="str">
        <f>IFERROR(AVERAGEIFS(#REF!,#REF!,$A:$A),"-")</f>
        <v>-</v>
      </c>
      <c r="E69" s="40" t="str">
        <f>IFERROR(AVERAGEIFS(#REF!,#REF!,$A:$A),"-")</f>
        <v>-</v>
      </c>
      <c r="F69" s="40" t="str">
        <f>IFERROR(AVERAGEIFS(#REF!,#REF!,$A:$A),"-")</f>
        <v>-</v>
      </c>
      <c r="G69" s="40" t="str">
        <f>IFERROR(AVERAGEIFS(#REF!,#REF!,A:A),"-")</f>
        <v>-</v>
      </c>
      <c r="H69" s="40" t="str">
        <f>IFERROR(AVERAGEIFS(#REF!,#REF!,$A:$A),"-")</f>
        <v>-</v>
      </c>
      <c r="I69" s="40" t="str">
        <f>IFERROR(AVERAGEIFS(#REF!,#REF!,$A:$A),"-")</f>
        <v>-</v>
      </c>
      <c r="J69" s="40" t="str">
        <f>IFERROR(AVERAGEIFS(#REF!,#REF!,$A:$A),"-")</f>
        <v>-</v>
      </c>
      <c r="K69" s="40" t="str">
        <f>IFERROR(AVERAGEIFS(#REF!,#REF!,$A:$A),"-")</f>
        <v>-</v>
      </c>
      <c r="L69" s="40" t="str">
        <f>IFERROR(AVERAGEIFS(#REF!,#REF!,$A:$A),"-")</f>
        <v>-</v>
      </c>
      <c r="M69" s="40" t="str">
        <f>IFERROR(AVERAGEIFS(#REF!,#REF!,$A:$A),"-")</f>
        <v>-</v>
      </c>
      <c r="N69" s="40" t="str">
        <f>IFERROR(AVERAGEIFS(#REF!,#REF!,$A:$A),"-")</f>
        <v>-</v>
      </c>
      <c r="O69" s="40" t="str">
        <f>IFERROR(AVERAGEIFS(#REF!,#REF!,$A:$A),"-")</f>
        <v>-</v>
      </c>
      <c r="P69" s="40" t="str">
        <f>IFERROR(AVERAGEIFS(#REF!,#REF!,$A:$A),"-")</f>
        <v>-</v>
      </c>
      <c r="Q69" s="40" t="str">
        <f>IFERROR(AVERAGEIFS(#REF!,#REF!,$A:$A),"-")</f>
        <v>-</v>
      </c>
      <c r="R69" s="40" t="str">
        <f>IFERROR(AVERAGEIFS(#REF!,#REF!,$A:$A),"-")</f>
        <v>-</v>
      </c>
      <c r="S69" s="40" t="str">
        <f>IFERROR(AVERAGEIFS(#REF!,#REF!,$A:$A),"-")</f>
        <v>-</v>
      </c>
      <c r="T69" s="40" t="str">
        <f>IFERROR(AVERAGEIFS(#REF!,#REF!,$A:$A),"-")</f>
        <v>-</v>
      </c>
      <c r="U69" s="40" t="str">
        <f>IFERROR(AVERAGEIFS(#REF!,#REF!,$A:$A),"-")</f>
        <v>-</v>
      </c>
      <c r="V69" s="40" t="str">
        <f>IFERROR(AVERAGEIFS(#REF!,#REF!,$A:$A),"-")</f>
        <v>-</v>
      </c>
      <c r="W69" s="40" t="str">
        <f t="shared" si="0"/>
        <v>-</v>
      </c>
      <c r="X69" s="40" t="str">
        <f t="shared" si="1"/>
        <v>-</v>
      </c>
      <c r="Y69" s="39"/>
      <c r="Z69" s="39"/>
      <c r="AA69" s="39"/>
      <c r="AB69" s="39"/>
      <c r="AC69" s="39"/>
      <c r="AD69" s="39"/>
      <c r="AE69" s="39"/>
      <c r="AF69" s="39"/>
      <c r="AG69" s="39"/>
      <c r="AH69" s="39"/>
    </row>
    <row r="70" spans="1:34" ht="12.75">
      <c r="A70" s="12" t="s">
        <v>111</v>
      </c>
      <c r="B70" s="40">
        <f>IFERROR(AVERAGEIFS('сентябрь 2024- июнь 2026'!$K:$K,'сентябрь 2024- июнь 2026'!$E:$E,$A:$A),"-")</f>
        <v>5.44</v>
      </c>
      <c r="C70" s="40" t="str">
        <f>IFERROR(AVERAGEIFS(#REF!,#REF!,$A:$A),"-")</f>
        <v>-</v>
      </c>
      <c r="D70" s="40" t="str">
        <f>IFERROR(AVERAGEIFS(#REF!,#REF!,$A:$A),"-")</f>
        <v>-</v>
      </c>
      <c r="E70" s="40" t="str">
        <f>IFERROR(AVERAGEIFS(#REF!,#REF!,$A:$A),"-")</f>
        <v>-</v>
      </c>
      <c r="F70" s="40" t="str">
        <f>IFERROR(AVERAGEIFS(#REF!,#REF!,$A:$A),"-")</f>
        <v>-</v>
      </c>
      <c r="G70" s="40" t="str">
        <f>IFERROR(AVERAGEIFS(#REF!,#REF!,A:A),"-")</f>
        <v>-</v>
      </c>
      <c r="H70" s="40" t="str">
        <f>IFERROR(AVERAGEIFS(#REF!,#REF!,$A:$A),"-")</f>
        <v>-</v>
      </c>
      <c r="I70" s="40" t="str">
        <f>IFERROR(AVERAGEIFS(#REF!,#REF!,$A:$A),"-")</f>
        <v>-</v>
      </c>
      <c r="J70" s="40" t="str">
        <f>IFERROR(AVERAGEIFS(#REF!,#REF!,$A:$A),"-")</f>
        <v>-</v>
      </c>
      <c r="K70" s="40" t="str">
        <f>IFERROR(AVERAGEIFS(#REF!,#REF!,$A:$A),"-")</f>
        <v>-</v>
      </c>
      <c r="L70" s="40" t="str">
        <f>IFERROR(AVERAGEIFS(#REF!,#REF!,$A:$A),"-")</f>
        <v>-</v>
      </c>
      <c r="M70" s="40" t="str">
        <f>IFERROR(AVERAGEIFS(#REF!,#REF!,$A:$A),"-")</f>
        <v>-</v>
      </c>
      <c r="N70" s="40" t="str">
        <f>IFERROR(AVERAGEIFS(#REF!,#REF!,$A:$A),"-")</f>
        <v>-</v>
      </c>
      <c r="O70" s="40" t="str">
        <f>IFERROR(AVERAGEIFS(#REF!,#REF!,$A:$A),"-")</f>
        <v>-</v>
      </c>
      <c r="P70" s="40" t="str">
        <f>IFERROR(AVERAGEIFS(#REF!,#REF!,$A:$A),"-")</f>
        <v>-</v>
      </c>
      <c r="Q70" s="40" t="str">
        <f>IFERROR(AVERAGEIFS(#REF!,#REF!,$A:$A),"-")</f>
        <v>-</v>
      </c>
      <c r="R70" s="40" t="str">
        <f>IFERROR(AVERAGEIFS(#REF!,#REF!,$A:$A),"-")</f>
        <v>-</v>
      </c>
      <c r="S70" s="40" t="str">
        <f>IFERROR(AVERAGEIFS(#REF!,#REF!,$A:$A),"-")</f>
        <v>-</v>
      </c>
      <c r="T70" s="40" t="str">
        <f>IFERROR(AVERAGEIFS(#REF!,#REF!,$A:$A),"-")</f>
        <v>-</v>
      </c>
      <c r="U70" s="40" t="str">
        <f>IFERROR(AVERAGEIFS(#REF!,#REF!,$A:$A),"-")</f>
        <v>-</v>
      </c>
      <c r="V70" s="40" t="str">
        <f>IFERROR(AVERAGEIFS(#REF!,#REF!,$A:$A),"-")</f>
        <v>-</v>
      </c>
      <c r="W70" s="40" t="str">
        <f t="shared" si="0"/>
        <v>-</v>
      </c>
      <c r="X70" s="40" t="str">
        <f t="shared" si="1"/>
        <v>-</v>
      </c>
      <c r="Y70" s="39"/>
      <c r="Z70" s="39"/>
      <c r="AA70" s="39"/>
      <c r="AB70" s="39"/>
      <c r="AC70" s="39"/>
      <c r="AD70" s="39"/>
      <c r="AE70" s="39"/>
      <c r="AF70" s="39"/>
      <c r="AG70" s="39"/>
      <c r="AH70" s="39"/>
    </row>
    <row r="71" spans="1:34" ht="12.75">
      <c r="A71" s="44" t="s">
        <v>112</v>
      </c>
      <c r="B71" s="40">
        <f>IFERROR(AVERAGEIFS('сентябрь 2024- июнь 2026'!$K:$K,'сентябрь 2024- июнь 2026'!$E:$E,$A:$A),"-")</f>
        <v>3.1350000000000002</v>
      </c>
      <c r="C71" s="40" t="str">
        <f>IFERROR(AVERAGEIFS(#REF!,#REF!,$A:$A),"-")</f>
        <v>-</v>
      </c>
      <c r="D71" s="40" t="str">
        <f>IFERROR(AVERAGEIFS(#REF!,#REF!,$A:$A),"-")</f>
        <v>-</v>
      </c>
      <c r="E71" s="40" t="str">
        <f>IFERROR(AVERAGEIFS(#REF!,#REF!,$A:$A),"-")</f>
        <v>-</v>
      </c>
      <c r="F71" s="40" t="str">
        <f>IFERROR(AVERAGEIFS(#REF!,#REF!,$A:$A),"-")</f>
        <v>-</v>
      </c>
      <c r="G71" s="40" t="str">
        <f>IFERROR(AVERAGEIFS(#REF!,#REF!,A:A),"-")</f>
        <v>-</v>
      </c>
      <c r="H71" s="40" t="str">
        <f>IFERROR(AVERAGEIFS(#REF!,#REF!,$A:$A),"-")</f>
        <v>-</v>
      </c>
      <c r="I71" s="40" t="str">
        <f>IFERROR(AVERAGEIFS(#REF!,#REF!,$A:$A),"-")</f>
        <v>-</v>
      </c>
      <c r="J71" s="40" t="str">
        <f>IFERROR(AVERAGEIFS(#REF!,#REF!,$A:$A),"-")</f>
        <v>-</v>
      </c>
      <c r="K71" s="40" t="str">
        <f>IFERROR(AVERAGEIFS(#REF!,#REF!,$A:$A),"-")</f>
        <v>-</v>
      </c>
      <c r="L71" s="40" t="str">
        <f>IFERROR(AVERAGEIFS(#REF!,#REF!,$A:$A),"-")</f>
        <v>-</v>
      </c>
      <c r="M71" s="40" t="str">
        <f>IFERROR(AVERAGEIFS(#REF!,#REF!,$A:$A),"-")</f>
        <v>-</v>
      </c>
      <c r="N71" s="40" t="str">
        <f>IFERROR(AVERAGEIFS(#REF!,#REF!,$A:$A),"-")</f>
        <v>-</v>
      </c>
      <c r="O71" s="40" t="str">
        <f>IFERROR(AVERAGEIFS(#REF!,#REF!,$A:$A),"-")</f>
        <v>-</v>
      </c>
      <c r="P71" s="40" t="str">
        <f>IFERROR(AVERAGEIFS(#REF!,#REF!,$A:$A),"-")</f>
        <v>-</v>
      </c>
      <c r="Q71" s="40" t="str">
        <f>IFERROR(AVERAGEIFS(#REF!,#REF!,$A:$A),"-")</f>
        <v>-</v>
      </c>
      <c r="R71" s="40" t="str">
        <f>IFERROR(AVERAGEIFS(#REF!,#REF!,$A:$A),"-")</f>
        <v>-</v>
      </c>
      <c r="S71" s="40" t="str">
        <f>IFERROR(AVERAGEIFS(#REF!,#REF!,$A:$A),"-")</f>
        <v>-</v>
      </c>
      <c r="T71" s="40" t="str">
        <f>IFERROR(AVERAGEIFS(#REF!,#REF!,$A:$A),"-")</f>
        <v>-</v>
      </c>
      <c r="U71" s="40" t="str">
        <f>IFERROR(AVERAGEIFS(#REF!,#REF!,$A:$A),"-")</f>
        <v>-</v>
      </c>
      <c r="V71" s="40" t="str">
        <f>IFERROR(AVERAGEIFS(#REF!,#REF!,$A:$A),"-")</f>
        <v>-</v>
      </c>
      <c r="W71" s="40" t="str">
        <f t="shared" si="0"/>
        <v>-</v>
      </c>
      <c r="X71" s="40" t="str">
        <f t="shared" si="1"/>
        <v>-</v>
      </c>
      <c r="Y71" s="39"/>
      <c r="Z71" s="39"/>
      <c r="AA71" s="39"/>
      <c r="AB71" s="39"/>
      <c r="AC71" s="39"/>
      <c r="AD71" s="39"/>
      <c r="AE71" s="39"/>
      <c r="AF71" s="39"/>
      <c r="AG71" s="39"/>
      <c r="AH71" s="39"/>
    </row>
    <row r="72" spans="1:34" ht="12.75">
      <c r="A72" s="42" t="s">
        <v>113</v>
      </c>
      <c r="B72" s="40">
        <f>IFERROR(AVERAGEIFS('сентябрь 2024- июнь 2026'!$K:$K,'сентябрь 2024- июнь 2026'!$E:$E,$A:$A),"-")</f>
        <v>2.63</v>
      </c>
      <c r="C72" s="40" t="str">
        <f>IFERROR(AVERAGEIFS(#REF!,#REF!,$A:$A),"-")</f>
        <v>-</v>
      </c>
      <c r="D72" s="40" t="str">
        <f>IFERROR(AVERAGEIFS(#REF!,#REF!,$A:$A),"-")</f>
        <v>-</v>
      </c>
      <c r="E72" s="40" t="str">
        <f>IFERROR(AVERAGEIFS(#REF!,#REF!,$A:$A),"-")</f>
        <v>-</v>
      </c>
      <c r="F72" s="40" t="str">
        <f>IFERROR(AVERAGEIFS(#REF!,#REF!,$A:$A),"-")</f>
        <v>-</v>
      </c>
      <c r="G72" s="40" t="str">
        <f>IFERROR(AVERAGEIFS(#REF!,#REF!,A:A),"-")</f>
        <v>-</v>
      </c>
      <c r="H72" s="40" t="str">
        <f>IFERROR(AVERAGEIFS(#REF!,#REF!,$A:$A),"-")</f>
        <v>-</v>
      </c>
      <c r="I72" s="40" t="str">
        <f>IFERROR(AVERAGEIFS(#REF!,#REF!,$A:$A),"-")</f>
        <v>-</v>
      </c>
      <c r="J72" s="40" t="str">
        <f>IFERROR(AVERAGEIFS(#REF!,#REF!,$A:$A),"-")</f>
        <v>-</v>
      </c>
      <c r="K72" s="40" t="str">
        <f>IFERROR(AVERAGEIFS(#REF!,#REF!,$A:$A),"-")</f>
        <v>-</v>
      </c>
      <c r="L72" s="40" t="str">
        <f>IFERROR(AVERAGEIFS(#REF!,#REF!,$A:$A),"-")</f>
        <v>-</v>
      </c>
      <c r="M72" s="40" t="str">
        <f>IFERROR(AVERAGEIFS(#REF!,#REF!,$A:$A),"-")</f>
        <v>-</v>
      </c>
      <c r="N72" s="40" t="str">
        <f>IFERROR(AVERAGEIFS(#REF!,#REF!,$A:$A),"-")</f>
        <v>-</v>
      </c>
      <c r="O72" s="40" t="str">
        <f>IFERROR(AVERAGEIFS(#REF!,#REF!,$A:$A),"-")</f>
        <v>-</v>
      </c>
      <c r="P72" s="40" t="str">
        <f>IFERROR(AVERAGEIFS(#REF!,#REF!,$A:$A),"-")</f>
        <v>-</v>
      </c>
      <c r="Q72" s="40" t="str">
        <f>IFERROR(AVERAGEIFS(#REF!,#REF!,$A:$A),"-")</f>
        <v>-</v>
      </c>
      <c r="R72" s="40" t="str">
        <f>IFERROR(AVERAGEIFS(#REF!,#REF!,$A:$A),"-")</f>
        <v>-</v>
      </c>
      <c r="S72" s="40" t="str">
        <f>IFERROR(AVERAGEIFS(#REF!,#REF!,$A:$A),"-")</f>
        <v>-</v>
      </c>
      <c r="T72" s="40" t="str">
        <f>IFERROR(AVERAGEIFS(#REF!,#REF!,$A:$A),"-")</f>
        <v>-</v>
      </c>
      <c r="U72" s="40" t="str">
        <f>IFERROR(AVERAGEIFS(#REF!,#REF!,$A:$A),"-")</f>
        <v>-</v>
      </c>
      <c r="V72" s="40" t="str">
        <f>IFERROR(AVERAGEIFS(#REF!,#REF!,$A:$A),"-")</f>
        <v>-</v>
      </c>
      <c r="W72" s="40" t="str">
        <f t="shared" si="0"/>
        <v>-</v>
      </c>
      <c r="X72" s="40" t="str">
        <f t="shared" si="1"/>
        <v>-</v>
      </c>
      <c r="Y72" s="39"/>
      <c r="Z72" s="39"/>
      <c r="AA72" s="39"/>
      <c r="AB72" s="39"/>
      <c r="AC72" s="39"/>
      <c r="AD72" s="39"/>
      <c r="AE72" s="39"/>
      <c r="AF72" s="39"/>
      <c r="AG72" s="39"/>
      <c r="AH72" s="39"/>
    </row>
    <row r="73" spans="1:34" ht="12.75">
      <c r="A73" s="42" t="s">
        <v>114</v>
      </c>
      <c r="B73" s="40">
        <f>IFERROR(AVERAGEIFS('сентябрь 2024- июнь 2026'!$K:$K,'сентябрь 2024- июнь 2026'!$E:$E,$A:$A),"-")</f>
        <v>3.08</v>
      </c>
      <c r="C73" s="40" t="str">
        <f>IFERROR(AVERAGEIFS(#REF!,#REF!,$A:$A),"-")</f>
        <v>-</v>
      </c>
      <c r="D73" s="40" t="str">
        <f>IFERROR(AVERAGEIFS(#REF!,#REF!,$A:$A),"-")</f>
        <v>-</v>
      </c>
      <c r="E73" s="40" t="str">
        <f>IFERROR(AVERAGEIFS(#REF!,#REF!,$A:$A),"-")</f>
        <v>-</v>
      </c>
      <c r="F73" s="40" t="str">
        <f>IFERROR(AVERAGEIFS(#REF!,#REF!,$A:$A),"-")</f>
        <v>-</v>
      </c>
      <c r="G73" s="40" t="str">
        <f>IFERROR(AVERAGEIFS(#REF!,#REF!,A:A),"-")</f>
        <v>-</v>
      </c>
      <c r="H73" s="40" t="str">
        <f>IFERROR(AVERAGEIFS(#REF!,#REF!,$A:$A),"-")</f>
        <v>-</v>
      </c>
      <c r="I73" s="40" t="str">
        <f>IFERROR(AVERAGEIFS(#REF!,#REF!,$A:$A),"-")</f>
        <v>-</v>
      </c>
      <c r="J73" s="40" t="str">
        <f>IFERROR(AVERAGEIFS(#REF!,#REF!,$A:$A),"-")</f>
        <v>-</v>
      </c>
      <c r="K73" s="40" t="str">
        <f>IFERROR(AVERAGEIFS(#REF!,#REF!,$A:$A),"-")</f>
        <v>-</v>
      </c>
      <c r="L73" s="40" t="str">
        <f>IFERROR(AVERAGEIFS(#REF!,#REF!,$A:$A),"-")</f>
        <v>-</v>
      </c>
      <c r="M73" s="40" t="str">
        <f>IFERROR(AVERAGEIFS(#REF!,#REF!,$A:$A),"-")</f>
        <v>-</v>
      </c>
      <c r="N73" s="40" t="str">
        <f>IFERROR(AVERAGEIFS(#REF!,#REF!,$A:$A),"-")</f>
        <v>-</v>
      </c>
      <c r="O73" s="40" t="str">
        <f>IFERROR(AVERAGEIFS(#REF!,#REF!,$A:$A),"-")</f>
        <v>-</v>
      </c>
      <c r="P73" s="40" t="str">
        <f>IFERROR(AVERAGEIFS(#REF!,#REF!,$A:$A),"-")</f>
        <v>-</v>
      </c>
      <c r="Q73" s="40" t="str">
        <f>IFERROR(AVERAGEIFS(#REF!,#REF!,$A:$A),"-")</f>
        <v>-</v>
      </c>
      <c r="R73" s="40" t="str">
        <f>IFERROR(AVERAGEIFS(#REF!,#REF!,$A:$A),"-")</f>
        <v>-</v>
      </c>
      <c r="S73" s="40" t="str">
        <f>IFERROR(AVERAGEIFS(#REF!,#REF!,$A:$A),"-")</f>
        <v>-</v>
      </c>
      <c r="T73" s="40" t="str">
        <f>IFERROR(AVERAGEIFS(#REF!,#REF!,$A:$A),"-")</f>
        <v>-</v>
      </c>
      <c r="U73" s="40" t="str">
        <f>IFERROR(AVERAGEIFS(#REF!,#REF!,$A:$A),"-")</f>
        <v>-</v>
      </c>
      <c r="V73" s="40" t="str">
        <f>IFERROR(AVERAGEIFS(#REF!,#REF!,$A:$A),"-")</f>
        <v>-</v>
      </c>
      <c r="W73" s="40" t="str">
        <f t="shared" si="0"/>
        <v>-</v>
      </c>
      <c r="X73" s="40" t="str">
        <f t="shared" si="1"/>
        <v>-</v>
      </c>
      <c r="Y73" s="39"/>
      <c r="Z73" s="39"/>
      <c r="AA73" s="39"/>
      <c r="AB73" s="39"/>
      <c r="AC73" s="39"/>
      <c r="AD73" s="39"/>
      <c r="AE73" s="39"/>
      <c r="AF73" s="39"/>
      <c r="AG73" s="39"/>
      <c r="AH73" s="39"/>
    </row>
    <row r="74" spans="1:34" ht="12.75">
      <c r="A74" s="42" t="s">
        <v>115</v>
      </c>
      <c r="B74" s="40">
        <f>IFERROR(AVERAGEIFS('сентябрь 2024- июнь 2026'!$K:$K,'сентябрь 2024- июнь 2026'!$E:$E,$A:$A),"-")</f>
        <v>1.7174999999999996</v>
      </c>
      <c r="C74" s="40" t="str">
        <f>IFERROR(AVERAGEIFS(#REF!,#REF!,$A:$A),"-")</f>
        <v>-</v>
      </c>
      <c r="D74" s="40" t="str">
        <f>IFERROR(AVERAGEIFS(#REF!,#REF!,$A:$A),"-")</f>
        <v>-</v>
      </c>
      <c r="E74" s="40" t="str">
        <f>IFERROR(AVERAGEIFS(#REF!,#REF!,$A:$A),"-")</f>
        <v>-</v>
      </c>
      <c r="F74" s="40" t="str">
        <f>IFERROR(AVERAGEIFS(#REF!,#REF!,$A:$A),"-")</f>
        <v>-</v>
      </c>
      <c r="G74" s="40" t="str">
        <f>IFERROR(AVERAGEIFS(#REF!,#REF!,A:A),"-")</f>
        <v>-</v>
      </c>
      <c r="H74" s="40" t="str">
        <f>IFERROR(AVERAGEIFS(#REF!,#REF!,$A:$A),"-")</f>
        <v>-</v>
      </c>
      <c r="I74" s="40" t="str">
        <f>IFERROR(AVERAGEIFS(#REF!,#REF!,$A:$A),"-")</f>
        <v>-</v>
      </c>
      <c r="J74" s="40" t="str">
        <f>IFERROR(AVERAGEIFS(#REF!,#REF!,$A:$A),"-")</f>
        <v>-</v>
      </c>
      <c r="K74" s="40" t="str">
        <f>IFERROR(AVERAGEIFS(#REF!,#REF!,$A:$A),"-")</f>
        <v>-</v>
      </c>
      <c r="L74" s="40" t="str">
        <f>IFERROR(AVERAGEIFS(#REF!,#REF!,$A:$A),"-")</f>
        <v>-</v>
      </c>
      <c r="M74" s="40" t="str">
        <f>IFERROR(AVERAGEIFS(#REF!,#REF!,$A:$A),"-")</f>
        <v>-</v>
      </c>
      <c r="N74" s="40" t="str">
        <f>IFERROR(AVERAGEIFS(#REF!,#REF!,$A:$A),"-")</f>
        <v>-</v>
      </c>
      <c r="O74" s="40" t="str">
        <f>IFERROR(AVERAGEIFS(#REF!,#REF!,$A:$A),"-")</f>
        <v>-</v>
      </c>
      <c r="P74" s="40" t="str">
        <f>IFERROR(AVERAGEIFS(#REF!,#REF!,$A:$A),"-")</f>
        <v>-</v>
      </c>
      <c r="Q74" s="40" t="str">
        <f>IFERROR(AVERAGEIFS(#REF!,#REF!,$A:$A),"-")</f>
        <v>-</v>
      </c>
      <c r="R74" s="40" t="str">
        <f>IFERROR(AVERAGEIFS(#REF!,#REF!,$A:$A),"-")</f>
        <v>-</v>
      </c>
      <c r="S74" s="40" t="str">
        <f>IFERROR(AVERAGEIFS(#REF!,#REF!,$A:$A),"-")</f>
        <v>-</v>
      </c>
      <c r="T74" s="40" t="str">
        <f>IFERROR(AVERAGEIFS(#REF!,#REF!,$A:$A),"-")</f>
        <v>-</v>
      </c>
      <c r="U74" s="40" t="str">
        <f>IFERROR(AVERAGEIFS(#REF!,#REF!,$A:$A),"-")</f>
        <v>-</v>
      </c>
      <c r="V74" s="40" t="str">
        <f>IFERROR(AVERAGEIFS(#REF!,#REF!,$A:$A),"-")</f>
        <v>-</v>
      </c>
      <c r="W74" s="40" t="str">
        <f t="shared" si="0"/>
        <v>-</v>
      </c>
      <c r="X74" s="40" t="str">
        <f t="shared" si="1"/>
        <v>-</v>
      </c>
      <c r="Y74" s="39"/>
      <c r="Z74" s="39"/>
      <c r="AA74" s="39"/>
      <c r="AB74" s="39"/>
      <c r="AC74" s="39"/>
      <c r="AD74" s="39"/>
      <c r="AE74" s="39"/>
      <c r="AF74" s="39"/>
      <c r="AG74" s="39"/>
      <c r="AH74" s="39"/>
    </row>
    <row r="75" spans="1:34" ht="12.75">
      <c r="A75" s="42" t="s">
        <v>116</v>
      </c>
      <c r="B75" s="40">
        <f>IFERROR(AVERAGEIFS('сентябрь 2024- июнь 2026'!$K:$K,'сентябрь 2024- июнь 2026'!$E:$E,$A:$A),"-")</f>
        <v>2.31</v>
      </c>
      <c r="C75" s="40" t="str">
        <f>IFERROR(AVERAGEIFS(#REF!,#REF!,$A:$A),"-")</f>
        <v>-</v>
      </c>
      <c r="D75" s="40" t="str">
        <f>IFERROR(AVERAGEIFS(#REF!,#REF!,$A:$A),"-")</f>
        <v>-</v>
      </c>
      <c r="E75" s="40" t="str">
        <f>IFERROR(AVERAGEIFS(#REF!,#REF!,$A:$A),"-")</f>
        <v>-</v>
      </c>
      <c r="F75" s="40" t="str">
        <f>IFERROR(AVERAGEIFS(#REF!,#REF!,$A:$A),"-")</f>
        <v>-</v>
      </c>
      <c r="G75" s="40" t="str">
        <f>IFERROR(AVERAGEIFS(#REF!,#REF!,A:A),"-")</f>
        <v>-</v>
      </c>
      <c r="H75" s="40" t="str">
        <f>IFERROR(AVERAGEIFS(#REF!,#REF!,$A:$A),"-")</f>
        <v>-</v>
      </c>
      <c r="I75" s="40" t="str">
        <f>IFERROR(AVERAGEIFS(#REF!,#REF!,$A:$A),"-")</f>
        <v>-</v>
      </c>
      <c r="J75" s="40" t="str">
        <f>IFERROR(AVERAGEIFS(#REF!,#REF!,$A:$A),"-")</f>
        <v>-</v>
      </c>
      <c r="K75" s="40" t="str">
        <f>IFERROR(AVERAGEIFS(#REF!,#REF!,$A:$A),"-")</f>
        <v>-</v>
      </c>
      <c r="L75" s="40" t="str">
        <f>IFERROR(AVERAGEIFS(#REF!,#REF!,$A:$A),"-")</f>
        <v>-</v>
      </c>
      <c r="M75" s="40" t="str">
        <f>IFERROR(AVERAGEIFS(#REF!,#REF!,$A:$A),"-")</f>
        <v>-</v>
      </c>
      <c r="N75" s="40" t="str">
        <f>IFERROR(AVERAGEIFS(#REF!,#REF!,$A:$A),"-")</f>
        <v>-</v>
      </c>
      <c r="O75" s="40" t="str">
        <f>IFERROR(AVERAGEIFS(#REF!,#REF!,$A:$A),"-")</f>
        <v>-</v>
      </c>
      <c r="P75" s="40" t="str">
        <f>IFERROR(AVERAGEIFS(#REF!,#REF!,$A:$A),"-")</f>
        <v>-</v>
      </c>
      <c r="Q75" s="40" t="str">
        <f>IFERROR(AVERAGEIFS(#REF!,#REF!,$A:$A),"-")</f>
        <v>-</v>
      </c>
      <c r="R75" s="40" t="str">
        <f>IFERROR(AVERAGEIFS(#REF!,#REF!,$A:$A),"-")</f>
        <v>-</v>
      </c>
      <c r="S75" s="40" t="str">
        <f>IFERROR(AVERAGEIFS(#REF!,#REF!,$A:$A),"-")</f>
        <v>-</v>
      </c>
      <c r="T75" s="40" t="str">
        <f>IFERROR(AVERAGEIFS(#REF!,#REF!,$A:$A),"-")</f>
        <v>-</v>
      </c>
      <c r="U75" s="40" t="str">
        <f>IFERROR(AVERAGEIFS(#REF!,#REF!,$A:$A),"-")</f>
        <v>-</v>
      </c>
      <c r="V75" s="40" t="str">
        <f>IFERROR(AVERAGEIFS(#REF!,#REF!,$A:$A),"-")</f>
        <v>-</v>
      </c>
      <c r="W75" s="40" t="str">
        <f t="shared" si="0"/>
        <v>-</v>
      </c>
      <c r="X75" s="40" t="str">
        <f t="shared" si="1"/>
        <v>-</v>
      </c>
      <c r="Y75" s="39"/>
      <c r="Z75" s="39"/>
      <c r="AA75" s="39"/>
      <c r="AB75" s="39"/>
      <c r="AC75" s="39"/>
      <c r="AD75" s="39"/>
      <c r="AE75" s="39"/>
      <c r="AF75" s="39"/>
      <c r="AG75" s="39"/>
      <c r="AH75" s="39"/>
    </row>
    <row r="76" spans="1:34" ht="12.75">
      <c r="A76" s="42" t="s">
        <v>117</v>
      </c>
      <c r="B76" s="40">
        <f>IFERROR(AVERAGEIFS('сентябрь 2024- июнь 2026'!$K:$K,'сентябрь 2024- июнь 2026'!$E:$E,$A:$A),"-")</f>
        <v>3.8540000000000001</v>
      </c>
      <c r="C76" s="40" t="str">
        <f>IFERROR(AVERAGEIFS(#REF!,#REF!,$A:$A),"-")</f>
        <v>-</v>
      </c>
      <c r="D76" s="40" t="str">
        <f>IFERROR(AVERAGEIFS(#REF!,#REF!,$A:$A),"-")</f>
        <v>-</v>
      </c>
      <c r="E76" s="40" t="str">
        <f>IFERROR(AVERAGEIFS(#REF!,#REF!,$A:$A),"-")</f>
        <v>-</v>
      </c>
      <c r="F76" s="40" t="str">
        <f>IFERROR(AVERAGEIFS(#REF!,#REF!,$A:$A),"-")</f>
        <v>-</v>
      </c>
      <c r="G76" s="40" t="str">
        <f>IFERROR(AVERAGEIFS(#REF!,#REF!,A:A),"-")</f>
        <v>-</v>
      </c>
      <c r="H76" s="40" t="str">
        <f>IFERROR(AVERAGEIFS(#REF!,#REF!,$A:$A),"-")</f>
        <v>-</v>
      </c>
      <c r="I76" s="40" t="str">
        <f>IFERROR(AVERAGEIFS(#REF!,#REF!,$A:$A),"-")</f>
        <v>-</v>
      </c>
      <c r="J76" s="40" t="str">
        <f>IFERROR(AVERAGEIFS(#REF!,#REF!,$A:$A),"-")</f>
        <v>-</v>
      </c>
      <c r="K76" s="40" t="str">
        <f>IFERROR(AVERAGEIFS(#REF!,#REF!,$A:$A),"-")</f>
        <v>-</v>
      </c>
      <c r="L76" s="40" t="str">
        <f>IFERROR(AVERAGEIFS(#REF!,#REF!,$A:$A),"-")</f>
        <v>-</v>
      </c>
      <c r="M76" s="40" t="str">
        <f>IFERROR(AVERAGEIFS(#REF!,#REF!,$A:$A),"-")</f>
        <v>-</v>
      </c>
      <c r="N76" s="40" t="str">
        <f>IFERROR(AVERAGEIFS(#REF!,#REF!,$A:$A),"-")</f>
        <v>-</v>
      </c>
      <c r="O76" s="40" t="str">
        <f>IFERROR(AVERAGEIFS(#REF!,#REF!,$A:$A),"-")</f>
        <v>-</v>
      </c>
      <c r="P76" s="40" t="str">
        <f>IFERROR(AVERAGEIFS(#REF!,#REF!,$A:$A),"-")</f>
        <v>-</v>
      </c>
      <c r="Q76" s="40" t="str">
        <f>IFERROR(AVERAGEIFS(#REF!,#REF!,$A:$A),"-")</f>
        <v>-</v>
      </c>
      <c r="R76" s="40" t="str">
        <f>IFERROR(AVERAGEIFS(#REF!,#REF!,$A:$A),"-")</f>
        <v>-</v>
      </c>
      <c r="S76" s="40" t="str">
        <f>IFERROR(AVERAGEIFS(#REF!,#REF!,$A:$A),"-")</f>
        <v>-</v>
      </c>
      <c r="T76" s="40" t="str">
        <f>IFERROR(AVERAGEIFS(#REF!,#REF!,$A:$A),"-")</f>
        <v>-</v>
      </c>
      <c r="U76" s="40" t="str">
        <f>IFERROR(AVERAGEIFS(#REF!,#REF!,$A:$A),"-")</f>
        <v>-</v>
      </c>
      <c r="V76" s="40" t="str">
        <f>IFERROR(AVERAGEIFS(#REF!,#REF!,$A:$A),"-")</f>
        <v>-</v>
      </c>
      <c r="W76" s="40" t="str">
        <f t="shared" si="0"/>
        <v>-</v>
      </c>
      <c r="X76" s="40" t="str">
        <f t="shared" si="1"/>
        <v>-</v>
      </c>
      <c r="Y76" s="39"/>
      <c r="Z76" s="39"/>
      <c r="AA76" s="39"/>
      <c r="AB76" s="39"/>
      <c r="AC76" s="39"/>
      <c r="AD76" s="39"/>
      <c r="AE76" s="39"/>
      <c r="AF76" s="39"/>
      <c r="AG76" s="39"/>
      <c r="AH76" s="39"/>
    </row>
    <row r="77" spans="1:34" ht="12.75">
      <c r="A77" s="42" t="s">
        <v>118</v>
      </c>
      <c r="B77" s="40" t="str">
        <f>IFERROR(AVERAGEIFS('сентябрь 2024- июнь 2026'!$K:$K,'сентябрь 2024- июнь 2026'!$E:$E,$A:$A),"-")</f>
        <v>-</v>
      </c>
      <c r="C77" s="40" t="str">
        <f>IFERROR(AVERAGEIFS(#REF!,#REF!,$A:$A),"-")</f>
        <v>-</v>
      </c>
      <c r="D77" s="40" t="str">
        <f>IFERROR(AVERAGEIFS(#REF!,#REF!,$A:$A),"-")</f>
        <v>-</v>
      </c>
      <c r="E77" s="40" t="str">
        <f>IFERROR(AVERAGEIFS(#REF!,#REF!,$A:$A),"-")</f>
        <v>-</v>
      </c>
      <c r="F77" s="40" t="str">
        <f>IFERROR(AVERAGEIFS(#REF!,#REF!,$A:$A),"-")</f>
        <v>-</v>
      </c>
      <c r="G77" s="40" t="str">
        <f>IFERROR(AVERAGEIFS(#REF!,#REF!,A:A),"-")</f>
        <v>-</v>
      </c>
      <c r="H77" s="40" t="str">
        <f>IFERROR(AVERAGEIFS(#REF!,#REF!,$A:$A),"-")</f>
        <v>-</v>
      </c>
      <c r="I77" s="40" t="str">
        <f>IFERROR(AVERAGEIFS(#REF!,#REF!,$A:$A),"-")</f>
        <v>-</v>
      </c>
      <c r="J77" s="40" t="str">
        <f>IFERROR(AVERAGEIFS(#REF!,#REF!,$A:$A),"-")</f>
        <v>-</v>
      </c>
      <c r="K77" s="40" t="str">
        <f>IFERROR(AVERAGEIFS(#REF!,#REF!,$A:$A),"-")</f>
        <v>-</v>
      </c>
      <c r="L77" s="40" t="str">
        <f>IFERROR(AVERAGEIFS(#REF!,#REF!,$A:$A),"-")</f>
        <v>-</v>
      </c>
      <c r="M77" s="40" t="str">
        <f>IFERROR(AVERAGEIFS(#REF!,#REF!,$A:$A),"-")</f>
        <v>-</v>
      </c>
      <c r="N77" s="40" t="str">
        <f>IFERROR(AVERAGEIFS(#REF!,#REF!,$A:$A),"-")</f>
        <v>-</v>
      </c>
      <c r="O77" s="40" t="str">
        <f>IFERROR(AVERAGEIFS(#REF!,#REF!,$A:$A),"-")</f>
        <v>-</v>
      </c>
      <c r="P77" s="40" t="str">
        <f>IFERROR(AVERAGEIFS(#REF!,#REF!,$A:$A),"-")</f>
        <v>-</v>
      </c>
      <c r="Q77" s="40" t="str">
        <f>IFERROR(AVERAGEIFS(#REF!,#REF!,$A:$A),"-")</f>
        <v>-</v>
      </c>
      <c r="R77" s="40" t="str">
        <f>IFERROR(AVERAGEIFS(#REF!,#REF!,$A:$A),"-")</f>
        <v>-</v>
      </c>
      <c r="S77" s="40" t="str">
        <f>IFERROR(AVERAGEIFS(#REF!,#REF!,$A:$A),"-")</f>
        <v>-</v>
      </c>
      <c r="T77" s="40" t="str">
        <f>IFERROR(AVERAGEIFS(#REF!,#REF!,$A:$A),"-")</f>
        <v>-</v>
      </c>
      <c r="U77" s="40" t="str">
        <f>IFERROR(AVERAGEIFS(#REF!,#REF!,$A:$A),"-")</f>
        <v>-</v>
      </c>
      <c r="V77" s="40" t="str">
        <f>IFERROR(AVERAGEIFS(#REF!,#REF!,$A:$A),"-")</f>
        <v>-</v>
      </c>
      <c r="W77" s="40" t="str">
        <f t="shared" si="0"/>
        <v>-</v>
      </c>
      <c r="X77" s="40" t="str">
        <f t="shared" si="1"/>
        <v>-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</row>
    <row r="78" spans="1:34" ht="12.75">
      <c r="A78" s="42" t="s">
        <v>119</v>
      </c>
      <c r="B78" s="40">
        <f>IFERROR(AVERAGEIFS('сентябрь 2024- июнь 2026'!$K:$K,'сентябрь 2024- июнь 2026'!$E:$E,$A:$A),"-")</f>
        <v>2.0966666666666667</v>
      </c>
      <c r="C78" s="40" t="str">
        <f>IFERROR(AVERAGEIFS(#REF!,#REF!,$A:$A),"-")</f>
        <v>-</v>
      </c>
      <c r="D78" s="40" t="str">
        <f>IFERROR(AVERAGEIFS(#REF!,#REF!,$A:$A),"-")</f>
        <v>-</v>
      </c>
      <c r="E78" s="40" t="str">
        <f>IFERROR(AVERAGEIFS(#REF!,#REF!,$A:$A),"-")</f>
        <v>-</v>
      </c>
      <c r="F78" s="40" t="str">
        <f>IFERROR(AVERAGEIFS(#REF!,#REF!,$A:$A),"-")</f>
        <v>-</v>
      </c>
      <c r="G78" s="40" t="str">
        <f>IFERROR(AVERAGEIFS(#REF!,#REF!,A:A),"-")</f>
        <v>-</v>
      </c>
      <c r="H78" s="40" t="str">
        <f>IFERROR(AVERAGEIFS(#REF!,#REF!,$A:$A),"-")</f>
        <v>-</v>
      </c>
      <c r="I78" s="40" t="str">
        <f>IFERROR(AVERAGEIFS(#REF!,#REF!,$A:$A),"-")</f>
        <v>-</v>
      </c>
      <c r="J78" s="40" t="str">
        <f>IFERROR(AVERAGEIFS(#REF!,#REF!,$A:$A),"-")</f>
        <v>-</v>
      </c>
      <c r="K78" s="40" t="str">
        <f>IFERROR(AVERAGEIFS(#REF!,#REF!,$A:$A),"-")</f>
        <v>-</v>
      </c>
      <c r="L78" s="40" t="str">
        <f>IFERROR(AVERAGEIFS(#REF!,#REF!,$A:$A),"-")</f>
        <v>-</v>
      </c>
      <c r="M78" s="40" t="str">
        <f>IFERROR(AVERAGEIFS(#REF!,#REF!,$A:$A),"-")</f>
        <v>-</v>
      </c>
      <c r="N78" s="40" t="str">
        <f>IFERROR(AVERAGEIFS(#REF!,#REF!,$A:$A),"-")</f>
        <v>-</v>
      </c>
      <c r="O78" s="40" t="str">
        <f>IFERROR(AVERAGEIFS(#REF!,#REF!,$A:$A),"-")</f>
        <v>-</v>
      </c>
      <c r="P78" s="40" t="str">
        <f>IFERROR(AVERAGEIFS(#REF!,#REF!,$A:$A),"-")</f>
        <v>-</v>
      </c>
      <c r="Q78" s="40" t="str">
        <f>IFERROR(AVERAGEIFS(#REF!,#REF!,$A:$A),"-")</f>
        <v>-</v>
      </c>
      <c r="R78" s="40" t="str">
        <f>IFERROR(AVERAGEIFS(#REF!,#REF!,$A:$A),"-")</f>
        <v>-</v>
      </c>
      <c r="S78" s="40" t="str">
        <f>IFERROR(AVERAGEIFS(#REF!,#REF!,$A:$A),"-")</f>
        <v>-</v>
      </c>
      <c r="T78" s="40" t="str">
        <f>IFERROR(AVERAGEIFS(#REF!,#REF!,$A:$A),"-")</f>
        <v>-</v>
      </c>
      <c r="U78" s="40" t="str">
        <f>IFERROR(AVERAGEIFS(#REF!,#REF!,$A:$A),"-")</f>
        <v>-</v>
      </c>
      <c r="V78" s="40" t="str">
        <f>IFERROR(AVERAGEIFS(#REF!,#REF!,$A:$A),"-")</f>
        <v>-</v>
      </c>
      <c r="W78" s="40" t="str">
        <f t="shared" si="0"/>
        <v>-</v>
      </c>
      <c r="X78" s="40" t="str">
        <f t="shared" si="1"/>
        <v>-</v>
      </c>
      <c r="Y78" s="39"/>
      <c r="Z78" s="39"/>
      <c r="AA78" s="39"/>
      <c r="AB78" s="39"/>
      <c r="AC78" s="39"/>
      <c r="AD78" s="39"/>
      <c r="AE78" s="39"/>
      <c r="AF78" s="39"/>
      <c r="AG78" s="39"/>
      <c r="AH78" s="39"/>
    </row>
    <row r="79" spans="1:34" ht="12.75">
      <c r="A79" s="42" t="s">
        <v>120</v>
      </c>
      <c r="B79" s="40">
        <f>IFERROR(AVERAGEIFS('сентябрь 2024- июнь 2026'!$K:$K,'сентябрь 2024- июнь 2026'!$E:$E,$A:$A),"-")</f>
        <v>2.4</v>
      </c>
      <c r="C79" s="40" t="str">
        <f>IFERROR(AVERAGEIFS(#REF!,#REF!,$A:$A),"-")</f>
        <v>-</v>
      </c>
      <c r="D79" s="40" t="str">
        <f>IFERROR(AVERAGEIFS(#REF!,#REF!,$A:$A),"-")</f>
        <v>-</v>
      </c>
      <c r="E79" s="40" t="str">
        <f>IFERROR(AVERAGEIFS(#REF!,#REF!,$A:$A),"-")</f>
        <v>-</v>
      </c>
      <c r="F79" s="40" t="str">
        <f>IFERROR(AVERAGEIFS(#REF!,#REF!,$A:$A),"-")</f>
        <v>-</v>
      </c>
      <c r="G79" s="40" t="str">
        <f>IFERROR(AVERAGEIFS(#REF!,#REF!,A:A),"-")</f>
        <v>-</v>
      </c>
      <c r="H79" s="40" t="str">
        <f>IFERROR(AVERAGEIFS(#REF!,#REF!,$A:$A),"-")</f>
        <v>-</v>
      </c>
      <c r="I79" s="40" t="str">
        <f>IFERROR(AVERAGEIFS(#REF!,#REF!,$A:$A),"-")</f>
        <v>-</v>
      </c>
      <c r="J79" s="40" t="str">
        <f>IFERROR(AVERAGEIFS(#REF!,#REF!,$A:$A),"-")</f>
        <v>-</v>
      </c>
      <c r="K79" s="40" t="str">
        <f>IFERROR(AVERAGEIFS(#REF!,#REF!,$A:$A),"-")</f>
        <v>-</v>
      </c>
      <c r="L79" s="40" t="str">
        <f>IFERROR(AVERAGEIFS(#REF!,#REF!,$A:$A),"-")</f>
        <v>-</v>
      </c>
      <c r="M79" s="40" t="str">
        <f>IFERROR(AVERAGEIFS(#REF!,#REF!,$A:$A),"-")</f>
        <v>-</v>
      </c>
      <c r="N79" s="40" t="str">
        <f>IFERROR(AVERAGEIFS(#REF!,#REF!,$A:$A),"-")</f>
        <v>-</v>
      </c>
      <c r="O79" s="40" t="str">
        <f>IFERROR(AVERAGEIFS(#REF!,#REF!,$A:$A),"-")</f>
        <v>-</v>
      </c>
      <c r="P79" s="40" t="str">
        <f>IFERROR(AVERAGEIFS(#REF!,#REF!,$A:$A),"-")</f>
        <v>-</v>
      </c>
      <c r="Q79" s="40" t="str">
        <f>IFERROR(AVERAGEIFS(#REF!,#REF!,$A:$A),"-")</f>
        <v>-</v>
      </c>
      <c r="R79" s="40" t="str">
        <f>IFERROR(AVERAGEIFS(#REF!,#REF!,$A:$A),"-")</f>
        <v>-</v>
      </c>
      <c r="S79" s="40" t="str">
        <f>IFERROR(AVERAGEIFS(#REF!,#REF!,$A:$A),"-")</f>
        <v>-</v>
      </c>
      <c r="T79" s="40" t="str">
        <f>IFERROR(AVERAGEIFS(#REF!,#REF!,$A:$A),"-")</f>
        <v>-</v>
      </c>
      <c r="U79" s="40" t="str">
        <f>IFERROR(AVERAGEIFS(#REF!,#REF!,$A:$A),"-")</f>
        <v>-</v>
      </c>
      <c r="V79" s="40" t="str">
        <f>IFERROR(AVERAGEIFS(#REF!,#REF!,$A:$A),"-")</f>
        <v>-</v>
      </c>
      <c r="W79" s="40" t="str">
        <f t="shared" si="0"/>
        <v>-</v>
      </c>
      <c r="X79" s="40" t="str">
        <f t="shared" si="1"/>
        <v>-</v>
      </c>
      <c r="Y79" s="39"/>
      <c r="Z79" s="39"/>
      <c r="AA79" s="39"/>
      <c r="AB79" s="39"/>
      <c r="AC79" s="39"/>
      <c r="AD79" s="39"/>
      <c r="AE79" s="39"/>
      <c r="AF79" s="39"/>
      <c r="AG79" s="39"/>
      <c r="AH79" s="39"/>
    </row>
    <row r="80" spans="1:34" ht="12.75">
      <c r="A80" s="42" t="s">
        <v>121</v>
      </c>
      <c r="B80" s="40">
        <f>IFERROR(AVERAGEIFS('сентябрь 2024- июнь 2026'!$K:$K,'сентябрь 2024- июнь 2026'!$E:$E,$A:$A),"-")</f>
        <v>2.0099999999999998</v>
      </c>
      <c r="C80" s="40" t="str">
        <f>IFERROR(AVERAGEIFS(#REF!,#REF!,$A:$A),"-")</f>
        <v>-</v>
      </c>
      <c r="D80" s="40" t="str">
        <f>IFERROR(AVERAGEIFS(#REF!,#REF!,$A:$A),"-")</f>
        <v>-</v>
      </c>
      <c r="E80" s="40" t="str">
        <f>IFERROR(AVERAGEIFS(#REF!,#REF!,$A:$A),"-")</f>
        <v>-</v>
      </c>
      <c r="F80" s="40" t="str">
        <f>IFERROR(AVERAGEIFS(#REF!,#REF!,$A:$A),"-")</f>
        <v>-</v>
      </c>
      <c r="G80" s="40" t="str">
        <f>IFERROR(AVERAGEIFS(#REF!,#REF!,A:A),"-")</f>
        <v>-</v>
      </c>
      <c r="H80" s="40" t="str">
        <f>IFERROR(AVERAGEIFS(#REF!,#REF!,$A:$A),"-")</f>
        <v>-</v>
      </c>
      <c r="I80" s="40" t="str">
        <f>IFERROR(AVERAGEIFS(#REF!,#REF!,$A:$A),"-")</f>
        <v>-</v>
      </c>
      <c r="J80" s="40" t="str">
        <f>IFERROR(AVERAGEIFS(#REF!,#REF!,$A:$A),"-")</f>
        <v>-</v>
      </c>
      <c r="K80" s="40" t="str">
        <f>IFERROR(AVERAGEIFS(#REF!,#REF!,$A:$A),"-")</f>
        <v>-</v>
      </c>
      <c r="L80" s="40" t="str">
        <f>IFERROR(AVERAGEIFS(#REF!,#REF!,$A:$A),"-")</f>
        <v>-</v>
      </c>
      <c r="M80" s="40" t="str">
        <f>IFERROR(AVERAGEIFS(#REF!,#REF!,$A:$A),"-")</f>
        <v>-</v>
      </c>
      <c r="N80" s="40" t="str">
        <f>IFERROR(AVERAGEIFS(#REF!,#REF!,$A:$A),"-")</f>
        <v>-</v>
      </c>
      <c r="O80" s="40" t="str">
        <f>IFERROR(AVERAGEIFS(#REF!,#REF!,$A:$A),"-")</f>
        <v>-</v>
      </c>
      <c r="P80" s="40" t="str">
        <f>IFERROR(AVERAGEIFS(#REF!,#REF!,$A:$A),"-")</f>
        <v>-</v>
      </c>
      <c r="Q80" s="40" t="str">
        <f>IFERROR(AVERAGEIFS(#REF!,#REF!,$A:$A),"-")</f>
        <v>-</v>
      </c>
      <c r="R80" s="40" t="str">
        <f>IFERROR(AVERAGEIFS(#REF!,#REF!,$A:$A),"-")</f>
        <v>-</v>
      </c>
      <c r="S80" s="40" t="str">
        <f>IFERROR(AVERAGEIFS(#REF!,#REF!,$A:$A),"-")</f>
        <v>-</v>
      </c>
      <c r="T80" s="40" t="str">
        <f>IFERROR(AVERAGEIFS(#REF!,#REF!,$A:$A),"-")</f>
        <v>-</v>
      </c>
      <c r="U80" s="40" t="str">
        <f>IFERROR(AVERAGEIFS(#REF!,#REF!,$A:$A),"-")</f>
        <v>-</v>
      </c>
      <c r="V80" s="40" t="str">
        <f>IFERROR(AVERAGEIFS(#REF!,#REF!,$A:$A),"-")</f>
        <v>-</v>
      </c>
      <c r="W80" s="40" t="str">
        <f t="shared" si="0"/>
        <v>-</v>
      </c>
      <c r="X80" s="40" t="str">
        <f t="shared" si="1"/>
        <v>-</v>
      </c>
      <c r="Y80" s="39"/>
      <c r="Z80" s="39"/>
      <c r="AA80" s="39"/>
      <c r="AB80" s="39"/>
      <c r="AC80" s="39"/>
      <c r="AD80" s="39"/>
      <c r="AE80" s="39"/>
      <c r="AF80" s="39"/>
      <c r="AG80" s="39"/>
      <c r="AH80" s="39"/>
    </row>
    <row r="81" spans="1:34" ht="12.75">
      <c r="A81" s="42" t="s">
        <v>122</v>
      </c>
      <c r="B81" s="40">
        <f>IFERROR(AVERAGEIFS('сентябрь 2024- июнь 2026'!$K:$K,'сентябрь 2024- июнь 2026'!$E:$E,$A:$A),"-")</f>
        <v>3.48</v>
      </c>
      <c r="C81" s="40" t="str">
        <f>IFERROR(AVERAGEIFS(#REF!,#REF!,$A:$A),"-")</f>
        <v>-</v>
      </c>
      <c r="D81" s="40" t="str">
        <f>IFERROR(AVERAGEIFS(#REF!,#REF!,$A:$A),"-")</f>
        <v>-</v>
      </c>
      <c r="E81" s="40" t="str">
        <f>IFERROR(AVERAGEIFS(#REF!,#REF!,$A:$A),"-")</f>
        <v>-</v>
      </c>
      <c r="F81" s="40" t="str">
        <f>IFERROR(AVERAGEIFS(#REF!,#REF!,$A:$A),"-")</f>
        <v>-</v>
      </c>
      <c r="G81" s="40" t="str">
        <f>IFERROR(AVERAGEIFS(#REF!,#REF!,A:A),"-")</f>
        <v>-</v>
      </c>
      <c r="H81" s="40" t="str">
        <f>IFERROR(AVERAGEIFS(#REF!,#REF!,$A:$A),"-")</f>
        <v>-</v>
      </c>
      <c r="I81" s="40" t="str">
        <f>IFERROR(AVERAGEIFS(#REF!,#REF!,$A:$A),"-")</f>
        <v>-</v>
      </c>
      <c r="J81" s="40" t="str">
        <f>IFERROR(AVERAGEIFS(#REF!,#REF!,$A:$A),"-")</f>
        <v>-</v>
      </c>
      <c r="K81" s="40" t="str">
        <f>IFERROR(AVERAGEIFS(#REF!,#REF!,$A:$A),"-")</f>
        <v>-</v>
      </c>
      <c r="L81" s="40" t="str">
        <f>IFERROR(AVERAGEIFS(#REF!,#REF!,$A:$A),"-")</f>
        <v>-</v>
      </c>
      <c r="M81" s="40" t="str">
        <f>IFERROR(AVERAGEIFS(#REF!,#REF!,$A:$A),"-")</f>
        <v>-</v>
      </c>
      <c r="N81" s="40" t="str">
        <f>IFERROR(AVERAGEIFS(#REF!,#REF!,$A:$A),"-")</f>
        <v>-</v>
      </c>
      <c r="O81" s="40" t="str">
        <f>IFERROR(AVERAGEIFS(#REF!,#REF!,$A:$A),"-")</f>
        <v>-</v>
      </c>
      <c r="P81" s="40" t="str">
        <f>IFERROR(AVERAGEIFS(#REF!,#REF!,$A:$A),"-")</f>
        <v>-</v>
      </c>
      <c r="Q81" s="40" t="str">
        <f>IFERROR(AVERAGEIFS(#REF!,#REF!,$A:$A),"-")</f>
        <v>-</v>
      </c>
      <c r="R81" s="40" t="str">
        <f>IFERROR(AVERAGEIFS(#REF!,#REF!,$A:$A),"-")</f>
        <v>-</v>
      </c>
      <c r="S81" s="40" t="str">
        <f>IFERROR(AVERAGEIFS(#REF!,#REF!,$A:$A),"-")</f>
        <v>-</v>
      </c>
      <c r="T81" s="40" t="str">
        <f>IFERROR(AVERAGEIFS(#REF!,#REF!,$A:$A),"-")</f>
        <v>-</v>
      </c>
      <c r="U81" s="40" t="str">
        <f>IFERROR(AVERAGEIFS(#REF!,#REF!,$A:$A),"-")</f>
        <v>-</v>
      </c>
      <c r="V81" s="40" t="str">
        <f>IFERROR(AVERAGEIFS(#REF!,#REF!,$A:$A),"-")</f>
        <v>-</v>
      </c>
      <c r="W81" s="40" t="str">
        <f t="shared" si="0"/>
        <v>-</v>
      </c>
      <c r="X81" s="40" t="str">
        <f t="shared" si="1"/>
        <v>-</v>
      </c>
      <c r="Y81" s="39"/>
      <c r="Z81" s="39"/>
      <c r="AA81" s="39"/>
      <c r="AB81" s="39"/>
      <c r="AC81" s="39"/>
      <c r="AD81" s="39"/>
      <c r="AE81" s="39"/>
      <c r="AF81" s="39"/>
      <c r="AG81" s="39"/>
      <c r="AH81" s="39"/>
    </row>
    <row r="82" spans="1:34" ht="12.75">
      <c r="A82" s="42" t="s">
        <v>123</v>
      </c>
      <c r="B82" s="40">
        <f>IFERROR(AVERAGEIFS('сентябрь 2024- июнь 2026'!$K:$K,'сентябрь 2024- июнь 2026'!$E:$E,$A:$A),"-")</f>
        <v>2.08</v>
      </c>
      <c r="C82" s="40" t="str">
        <f>IFERROR(AVERAGEIFS(#REF!,#REF!,$A:$A),"-")</f>
        <v>-</v>
      </c>
      <c r="D82" s="40" t="str">
        <f>IFERROR(AVERAGEIFS(#REF!,#REF!,$A:$A),"-")</f>
        <v>-</v>
      </c>
      <c r="E82" s="40" t="str">
        <f>IFERROR(AVERAGEIFS(#REF!,#REF!,$A:$A),"-")</f>
        <v>-</v>
      </c>
      <c r="F82" s="40" t="str">
        <f>IFERROR(AVERAGEIFS(#REF!,#REF!,$A:$A),"-")</f>
        <v>-</v>
      </c>
      <c r="G82" s="40" t="str">
        <f>IFERROR(AVERAGEIFS(#REF!,#REF!,A:A),"-")</f>
        <v>-</v>
      </c>
      <c r="H82" s="40" t="str">
        <f>IFERROR(AVERAGEIFS(#REF!,#REF!,$A:$A),"-")</f>
        <v>-</v>
      </c>
      <c r="I82" s="40" t="str">
        <f>IFERROR(AVERAGEIFS(#REF!,#REF!,$A:$A),"-")</f>
        <v>-</v>
      </c>
      <c r="J82" s="40" t="str">
        <f>IFERROR(AVERAGEIFS(#REF!,#REF!,$A:$A),"-")</f>
        <v>-</v>
      </c>
      <c r="K82" s="40" t="str">
        <f>IFERROR(AVERAGEIFS(#REF!,#REF!,$A:$A),"-")</f>
        <v>-</v>
      </c>
      <c r="L82" s="40" t="str">
        <f>IFERROR(AVERAGEIFS(#REF!,#REF!,$A:$A),"-")</f>
        <v>-</v>
      </c>
      <c r="M82" s="40" t="str">
        <f>IFERROR(AVERAGEIFS(#REF!,#REF!,$A:$A),"-")</f>
        <v>-</v>
      </c>
      <c r="N82" s="40" t="str">
        <f>IFERROR(AVERAGEIFS(#REF!,#REF!,$A:$A),"-")</f>
        <v>-</v>
      </c>
      <c r="O82" s="40" t="str">
        <f>IFERROR(AVERAGEIFS(#REF!,#REF!,$A:$A),"-")</f>
        <v>-</v>
      </c>
      <c r="P82" s="40" t="str">
        <f>IFERROR(AVERAGEIFS(#REF!,#REF!,$A:$A),"-")</f>
        <v>-</v>
      </c>
      <c r="Q82" s="40" t="str">
        <f>IFERROR(AVERAGEIFS(#REF!,#REF!,$A:$A),"-")</f>
        <v>-</v>
      </c>
      <c r="R82" s="40" t="str">
        <f>IFERROR(AVERAGEIFS(#REF!,#REF!,$A:$A),"-")</f>
        <v>-</v>
      </c>
      <c r="S82" s="40" t="str">
        <f>IFERROR(AVERAGEIFS(#REF!,#REF!,$A:$A),"-")</f>
        <v>-</v>
      </c>
      <c r="T82" s="40" t="str">
        <f>IFERROR(AVERAGEIFS(#REF!,#REF!,$A:$A),"-")</f>
        <v>-</v>
      </c>
      <c r="U82" s="40" t="str">
        <f>IFERROR(AVERAGEIFS(#REF!,#REF!,$A:$A),"-")</f>
        <v>-</v>
      </c>
      <c r="V82" s="40" t="str">
        <f>IFERROR(AVERAGEIFS(#REF!,#REF!,$A:$A),"-")</f>
        <v>-</v>
      </c>
      <c r="W82" s="40" t="str">
        <f t="shared" si="0"/>
        <v>-</v>
      </c>
      <c r="X82" s="40" t="str">
        <f t="shared" si="1"/>
        <v>-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</row>
    <row r="83" spans="1:34" ht="12.75">
      <c r="A83" s="42" t="s">
        <v>124</v>
      </c>
      <c r="B83" s="40" t="str">
        <f>IFERROR(AVERAGEIFS('сентябрь 2024- июнь 2026'!$K:$K,'сентябрь 2024- июнь 2026'!$E:$E,$A:$A),"-")</f>
        <v>-</v>
      </c>
      <c r="C83" s="40" t="str">
        <f>IFERROR(AVERAGEIFS(#REF!,#REF!,$A:$A),"-")</f>
        <v>-</v>
      </c>
      <c r="D83" s="40" t="str">
        <f>IFERROR(AVERAGEIFS(#REF!,#REF!,$A:$A),"-")</f>
        <v>-</v>
      </c>
      <c r="E83" s="40" t="str">
        <f>IFERROR(AVERAGEIFS(#REF!,#REF!,$A:$A),"-")</f>
        <v>-</v>
      </c>
      <c r="F83" s="40" t="str">
        <f>IFERROR(AVERAGEIFS(#REF!,#REF!,$A:$A),"-")</f>
        <v>-</v>
      </c>
      <c r="G83" s="40" t="str">
        <f>IFERROR(AVERAGEIFS(#REF!,#REF!,A:A),"-")</f>
        <v>-</v>
      </c>
      <c r="H83" s="40" t="str">
        <f>IFERROR(AVERAGEIFS(#REF!,#REF!,$A:$A),"-")</f>
        <v>-</v>
      </c>
      <c r="I83" s="40" t="str">
        <f>IFERROR(AVERAGEIFS(#REF!,#REF!,$A:$A),"-")</f>
        <v>-</v>
      </c>
      <c r="J83" s="40" t="str">
        <f>IFERROR(AVERAGEIFS(#REF!,#REF!,$A:$A),"-")</f>
        <v>-</v>
      </c>
      <c r="K83" s="40" t="str">
        <f>IFERROR(AVERAGEIFS(#REF!,#REF!,$A:$A),"-")</f>
        <v>-</v>
      </c>
      <c r="L83" s="40" t="str">
        <f>IFERROR(AVERAGEIFS(#REF!,#REF!,$A:$A),"-")</f>
        <v>-</v>
      </c>
      <c r="M83" s="40" t="str">
        <f>IFERROR(AVERAGEIFS(#REF!,#REF!,$A:$A),"-")</f>
        <v>-</v>
      </c>
      <c r="N83" s="40" t="str">
        <f>IFERROR(AVERAGEIFS(#REF!,#REF!,$A:$A),"-")</f>
        <v>-</v>
      </c>
      <c r="O83" s="40" t="str">
        <f>IFERROR(AVERAGEIFS(#REF!,#REF!,$A:$A),"-")</f>
        <v>-</v>
      </c>
      <c r="P83" s="40" t="str">
        <f>IFERROR(AVERAGEIFS(#REF!,#REF!,$A:$A),"-")</f>
        <v>-</v>
      </c>
      <c r="Q83" s="40" t="str">
        <f>IFERROR(AVERAGEIFS(#REF!,#REF!,$A:$A),"-")</f>
        <v>-</v>
      </c>
      <c r="R83" s="40" t="str">
        <f>IFERROR(AVERAGEIFS(#REF!,#REF!,$A:$A),"-")</f>
        <v>-</v>
      </c>
      <c r="S83" s="40" t="str">
        <f>IFERROR(AVERAGEIFS(#REF!,#REF!,$A:$A),"-")</f>
        <v>-</v>
      </c>
      <c r="T83" s="40" t="str">
        <f>IFERROR(AVERAGEIFS(#REF!,#REF!,$A:$A),"-")</f>
        <v>-</v>
      </c>
      <c r="U83" s="40" t="str">
        <f>IFERROR(AVERAGEIFS(#REF!,#REF!,$A:$A),"-")</f>
        <v>-</v>
      </c>
      <c r="V83" s="40" t="str">
        <f>IFERROR(AVERAGEIFS(#REF!,#REF!,$A:$A),"-")</f>
        <v>-</v>
      </c>
      <c r="W83" s="40" t="str">
        <f t="shared" si="0"/>
        <v>-</v>
      </c>
      <c r="X83" s="40" t="str">
        <f t="shared" si="1"/>
        <v>-</v>
      </c>
      <c r="Y83" s="39"/>
      <c r="Z83" s="39"/>
      <c r="AA83" s="39"/>
      <c r="AB83" s="39"/>
      <c r="AC83" s="39"/>
      <c r="AD83" s="39"/>
      <c r="AE83" s="39"/>
      <c r="AF83" s="39"/>
      <c r="AG83" s="39"/>
      <c r="AH83" s="39"/>
    </row>
    <row r="84" spans="1:34" ht="12.75">
      <c r="A84" s="42" t="s">
        <v>125</v>
      </c>
      <c r="B84" s="40">
        <f>IFERROR(AVERAGEIFS('сентябрь 2024- июнь 2026'!$K:$K,'сентябрь 2024- июнь 2026'!$E:$E,$A:$A),"-")</f>
        <v>1.943684210526315</v>
      </c>
      <c r="C84" s="40" t="str">
        <f>IFERROR(AVERAGEIFS(#REF!,#REF!,$A:$A),"-")</f>
        <v>-</v>
      </c>
      <c r="D84" s="40" t="str">
        <f>IFERROR(AVERAGEIFS(#REF!,#REF!,$A:$A),"-")</f>
        <v>-</v>
      </c>
      <c r="E84" s="40" t="str">
        <f>IFERROR(AVERAGEIFS(#REF!,#REF!,$A:$A),"-")</f>
        <v>-</v>
      </c>
      <c r="F84" s="40" t="str">
        <f>IFERROR(AVERAGEIFS(#REF!,#REF!,$A:$A),"-")</f>
        <v>-</v>
      </c>
      <c r="G84" s="40" t="str">
        <f>IFERROR(AVERAGEIFS(#REF!,#REF!,A:A),"-")</f>
        <v>-</v>
      </c>
      <c r="H84" s="40" t="str">
        <f>IFERROR(AVERAGEIFS(#REF!,#REF!,$A:$A),"-")</f>
        <v>-</v>
      </c>
      <c r="I84" s="40" t="str">
        <f>IFERROR(AVERAGEIFS(#REF!,#REF!,$A:$A),"-")</f>
        <v>-</v>
      </c>
      <c r="J84" s="40" t="str">
        <f>IFERROR(AVERAGEIFS(#REF!,#REF!,$A:$A),"-")</f>
        <v>-</v>
      </c>
      <c r="K84" s="40" t="str">
        <f>IFERROR(AVERAGEIFS(#REF!,#REF!,$A:$A),"-")</f>
        <v>-</v>
      </c>
      <c r="L84" s="40" t="str">
        <f>IFERROR(AVERAGEIFS(#REF!,#REF!,$A:$A),"-")</f>
        <v>-</v>
      </c>
      <c r="M84" s="40" t="str">
        <f>IFERROR(AVERAGEIFS(#REF!,#REF!,$A:$A),"-")</f>
        <v>-</v>
      </c>
      <c r="N84" s="40" t="str">
        <f>IFERROR(AVERAGEIFS(#REF!,#REF!,$A:$A),"-")</f>
        <v>-</v>
      </c>
      <c r="O84" s="40" t="str">
        <f>IFERROR(AVERAGEIFS(#REF!,#REF!,$A:$A),"-")</f>
        <v>-</v>
      </c>
      <c r="P84" s="40" t="str">
        <f>IFERROR(AVERAGEIFS(#REF!,#REF!,$A:$A),"-")</f>
        <v>-</v>
      </c>
      <c r="Q84" s="40" t="str">
        <f>IFERROR(AVERAGEIFS(#REF!,#REF!,$A:$A),"-")</f>
        <v>-</v>
      </c>
      <c r="R84" s="40" t="str">
        <f>IFERROR(AVERAGEIFS(#REF!,#REF!,$A:$A),"-")</f>
        <v>-</v>
      </c>
      <c r="S84" s="40" t="str">
        <f>IFERROR(AVERAGEIFS(#REF!,#REF!,$A:$A),"-")</f>
        <v>-</v>
      </c>
      <c r="T84" s="40" t="str">
        <f>IFERROR(AVERAGEIFS(#REF!,#REF!,$A:$A),"-")</f>
        <v>-</v>
      </c>
      <c r="U84" s="40" t="str">
        <f>IFERROR(AVERAGEIFS(#REF!,#REF!,$A:$A),"-")</f>
        <v>-</v>
      </c>
      <c r="V84" s="40" t="str">
        <f>IFERROR(AVERAGEIFS(#REF!,#REF!,$A:$A),"-")</f>
        <v>-</v>
      </c>
      <c r="W84" s="40" t="str">
        <f t="shared" si="0"/>
        <v>-</v>
      </c>
      <c r="X84" s="40" t="str">
        <f t="shared" si="1"/>
        <v>-</v>
      </c>
      <c r="Y84" s="39"/>
      <c r="Z84" s="39"/>
      <c r="AA84" s="39"/>
      <c r="AB84" s="39"/>
      <c r="AC84" s="39"/>
      <c r="AD84" s="39"/>
      <c r="AE84" s="39"/>
      <c r="AF84" s="39"/>
      <c r="AG84" s="39"/>
      <c r="AH84" s="39"/>
    </row>
    <row r="85" spans="1:34" ht="12.75">
      <c r="A85" s="42" t="s">
        <v>126</v>
      </c>
      <c r="B85" s="40">
        <f>IFERROR(AVERAGEIFS('сентябрь 2024- июнь 2026'!$K:$K,'сентябрь 2024- июнь 2026'!$E:$E,$A:$A),"-")</f>
        <v>1.73</v>
      </c>
      <c r="C85" s="40" t="str">
        <f>IFERROR(AVERAGEIFS(#REF!,#REF!,$A:$A),"-")</f>
        <v>-</v>
      </c>
      <c r="D85" s="40" t="str">
        <f>IFERROR(AVERAGEIFS(#REF!,#REF!,$A:$A),"-")</f>
        <v>-</v>
      </c>
      <c r="E85" s="40" t="str">
        <f>IFERROR(AVERAGEIFS(#REF!,#REF!,$A:$A),"-")</f>
        <v>-</v>
      </c>
      <c r="F85" s="40" t="str">
        <f>IFERROR(AVERAGEIFS(#REF!,#REF!,$A:$A),"-")</f>
        <v>-</v>
      </c>
      <c r="G85" s="40" t="str">
        <f>IFERROR(AVERAGEIFS(#REF!,#REF!,A:A),"-")</f>
        <v>-</v>
      </c>
      <c r="H85" s="40" t="str">
        <f>IFERROR(AVERAGEIFS(#REF!,#REF!,$A:$A),"-")</f>
        <v>-</v>
      </c>
      <c r="I85" s="40" t="str">
        <f>IFERROR(AVERAGEIFS(#REF!,#REF!,$A:$A),"-")</f>
        <v>-</v>
      </c>
      <c r="J85" s="40" t="str">
        <f>IFERROR(AVERAGEIFS(#REF!,#REF!,$A:$A),"-")</f>
        <v>-</v>
      </c>
      <c r="K85" s="40" t="str">
        <f>IFERROR(AVERAGEIFS(#REF!,#REF!,$A:$A),"-")</f>
        <v>-</v>
      </c>
      <c r="L85" s="40" t="str">
        <f>IFERROR(AVERAGEIFS(#REF!,#REF!,$A:$A),"-")</f>
        <v>-</v>
      </c>
      <c r="M85" s="40" t="str">
        <f>IFERROR(AVERAGEIFS(#REF!,#REF!,$A:$A),"-")</f>
        <v>-</v>
      </c>
      <c r="N85" s="40" t="str">
        <f>IFERROR(AVERAGEIFS(#REF!,#REF!,$A:$A),"-")</f>
        <v>-</v>
      </c>
      <c r="O85" s="40" t="str">
        <f>IFERROR(AVERAGEIFS(#REF!,#REF!,$A:$A),"-")</f>
        <v>-</v>
      </c>
      <c r="P85" s="40" t="str">
        <f>IFERROR(AVERAGEIFS(#REF!,#REF!,$A:$A),"-")</f>
        <v>-</v>
      </c>
      <c r="Q85" s="40" t="str">
        <f>IFERROR(AVERAGEIFS(#REF!,#REF!,$A:$A),"-")</f>
        <v>-</v>
      </c>
      <c r="R85" s="40" t="str">
        <f>IFERROR(AVERAGEIFS(#REF!,#REF!,$A:$A),"-")</f>
        <v>-</v>
      </c>
      <c r="S85" s="40" t="str">
        <f>IFERROR(AVERAGEIFS(#REF!,#REF!,$A:$A),"-")</f>
        <v>-</v>
      </c>
      <c r="T85" s="40" t="str">
        <f>IFERROR(AVERAGEIFS(#REF!,#REF!,$A:$A),"-")</f>
        <v>-</v>
      </c>
      <c r="U85" s="40" t="str">
        <f>IFERROR(AVERAGEIFS(#REF!,#REF!,$A:$A),"-")</f>
        <v>-</v>
      </c>
      <c r="V85" s="40" t="str">
        <f>IFERROR(AVERAGEIFS(#REF!,#REF!,$A:$A),"-")</f>
        <v>-</v>
      </c>
      <c r="W85" s="40" t="str">
        <f t="shared" si="0"/>
        <v>-</v>
      </c>
      <c r="X85" s="40" t="str">
        <f t="shared" si="1"/>
        <v>-</v>
      </c>
      <c r="Y85" s="39"/>
      <c r="Z85" s="39"/>
      <c r="AA85" s="39"/>
      <c r="AB85" s="39"/>
      <c r="AC85" s="39"/>
      <c r="AD85" s="39"/>
      <c r="AE85" s="39"/>
      <c r="AF85" s="39"/>
      <c r="AG85" s="39"/>
      <c r="AH85" s="39"/>
    </row>
    <row r="86" spans="1:34" ht="12.75">
      <c r="B86" s="40" t="str">
        <f>IFERROR(AVERAGEIFS('сентябрь 2024- июнь 2026'!$K:$K,'сентябрь 2024- июнь 2026'!$E:$E,$A:$A),"-")</f>
        <v>-</v>
      </c>
      <c r="C86" s="40" t="str">
        <f>IFERROR(AVERAGEIFS(#REF!,#REF!,$A:$A),"-")</f>
        <v>-</v>
      </c>
      <c r="D86" s="40" t="str">
        <f>IFERROR(AVERAGEIFS(#REF!,#REF!,$A:$A),"-")</f>
        <v>-</v>
      </c>
      <c r="E86" s="40" t="str">
        <f>IFERROR(AVERAGEIFS(#REF!,#REF!,$A:$A),"-")</f>
        <v>-</v>
      </c>
      <c r="F86" s="40" t="str">
        <f>IFERROR(AVERAGEIFS(#REF!,#REF!,$A:$A),"-")</f>
        <v>-</v>
      </c>
      <c r="G86" s="40" t="str">
        <f>IFERROR(AVERAGEIFS(#REF!,#REF!,A:A),"-")</f>
        <v>-</v>
      </c>
      <c r="H86" s="40" t="str">
        <f>IFERROR(AVERAGEIFS(#REF!,#REF!,$A:$A),"-")</f>
        <v>-</v>
      </c>
      <c r="I86" s="40" t="str">
        <f>IFERROR(AVERAGEIFS(#REF!,#REF!,$A:$A),"-")</f>
        <v>-</v>
      </c>
      <c r="J86" s="40" t="str">
        <f>IFERROR(AVERAGEIFS(#REF!,#REF!,$A:$A),"-")</f>
        <v>-</v>
      </c>
      <c r="K86" s="40" t="str">
        <f>IFERROR(AVERAGEIFS(#REF!,#REF!,$A:$A),"-")</f>
        <v>-</v>
      </c>
      <c r="L86" s="40" t="str">
        <f>IFERROR(AVERAGEIFS(#REF!,#REF!,$A:$A),"-")</f>
        <v>-</v>
      </c>
      <c r="M86" s="40" t="str">
        <f>IFERROR(AVERAGEIFS(#REF!,#REF!,$A:$A),"-")</f>
        <v>-</v>
      </c>
      <c r="N86" s="40" t="str">
        <f>IFERROR(AVERAGEIFS(#REF!,#REF!,$A:$A),"-")</f>
        <v>-</v>
      </c>
      <c r="O86" s="40" t="str">
        <f>IFERROR(AVERAGEIFS(#REF!,#REF!,$A:$A),"-")</f>
        <v>-</v>
      </c>
      <c r="P86" s="40" t="str">
        <f>IFERROR(AVERAGEIFS(#REF!,#REF!,$A:$A),"-")</f>
        <v>-</v>
      </c>
      <c r="Q86" s="40" t="str">
        <f>IFERROR(AVERAGEIFS(#REF!,#REF!,$A:$A),"-")</f>
        <v>-</v>
      </c>
      <c r="R86" s="40" t="str">
        <f>IFERROR(AVERAGEIFS(#REF!,#REF!,$A:$A),"-")</f>
        <v>-</v>
      </c>
      <c r="S86" s="40" t="str">
        <f>IFERROR(AVERAGEIFS(#REF!,#REF!,$A:$A),"-")</f>
        <v>-</v>
      </c>
      <c r="T86" s="40" t="str">
        <f>IFERROR(AVERAGEIFS(#REF!,#REF!,$A:$A),"-")</f>
        <v>-</v>
      </c>
      <c r="U86" s="40" t="str">
        <f>IFERROR(AVERAGEIFS(#REF!,#REF!,$A:$A),"-")</f>
        <v>-</v>
      </c>
      <c r="V86" s="40" t="str">
        <f>IFERROR(AVERAGEIFS(#REF!,#REF!,$A:$A),"-")</f>
        <v>-</v>
      </c>
      <c r="W86" s="40" t="str">
        <f t="shared" si="0"/>
        <v>-</v>
      </c>
      <c r="X86" s="40" t="str">
        <f t="shared" si="1"/>
        <v>-</v>
      </c>
      <c r="Y86" s="39"/>
      <c r="Z86" s="39"/>
      <c r="AA86" s="39"/>
      <c r="AB86" s="39"/>
      <c r="AC86" s="39"/>
      <c r="AD86" s="39"/>
      <c r="AE86" s="39"/>
      <c r="AF86" s="39"/>
      <c r="AG86" s="39"/>
      <c r="AH86" s="39"/>
    </row>
    <row r="87" spans="1:34" ht="12.75">
      <c r="B87" s="40" t="str">
        <f>IFERROR(AVERAGEIFS('сентябрь 2024- июнь 2026'!$K:$K,'сентябрь 2024- июнь 2026'!$E:$E,$A:$A),"-")</f>
        <v>-</v>
      </c>
      <c r="C87" s="40" t="str">
        <f>IFERROR(AVERAGEIFS(#REF!,#REF!,$A:$A),"-")</f>
        <v>-</v>
      </c>
      <c r="D87" s="40" t="str">
        <f>IFERROR(AVERAGEIFS(#REF!,#REF!,$A:$A),"-")</f>
        <v>-</v>
      </c>
      <c r="E87" s="40" t="str">
        <f>IFERROR(AVERAGEIFS(#REF!,#REF!,$A:$A),"-")</f>
        <v>-</v>
      </c>
      <c r="F87" s="40" t="str">
        <f>IFERROR(AVERAGEIFS(#REF!,#REF!,$A:$A),"-")</f>
        <v>-</v>
      </c>
      <c r="G87" s="40" t="str">
        <f>IFERROR(AVERAGEIFS(#REF!,#REF!,A:A),"-")</f>
        <v>-</v>
      </c>
      <c r="H87" s="40" t="str">
        <f>IFERROR(AVERAGEIFS(#REF!,#REF!,$A:$A),"-")</f>
        <v>-</v>
      </c>
      <c r="I87" s="40" t="str">
        <f>IFERROR(AVERAGEIFS(#REF!,#REF!,$A:$A),"-")</f>
        <v>-</v>
      </c>
      <c r="J87" s="40" t="str">
        <f>IFERROR(AVERAGEIFS(#REF!,#REF!,$A:$A),"-")</f>
        <v>-</v>
      </c>
      <c r="K87" s="40" t="str">
        <f>IFERROR(AVERAGEIFS(#REF!,#REF!,$A:$A),"-")</f>
        <v>-</v>
      </c>
      <c r="L87" s="40" t="str">
        <f>IFERROR(AVERAGEIFS(#REF!,#REF!,$A:$A),"-")</f>
        <v>-</v>
      </c>
      <c r="M87" s="40" t="str">
        <f>IFERROR(AVERAGEIFS(#REF!,#REF!,$A:$A),"-")</f>
        <v>-</v>
      </c>
      <c r="N87" s="40" t="str">
        <f>IFERROR(AVERAGEIFS(#REF!,#REF!,$A:$A),"-")</f>
        <v>-</v>
      </c>
      <c r="O87" s="40" t="str">
        <f>IFERROR(AVERAGEIFS(#REF!,#REF!,$A:$A),"-")</f>
        <v>-</v>
      </c>
      <c r="P87" s="40" t="str">
        <f>IFERROR(AVERAGEIFS(#REF!,#REF!,$A:$A),"-")</f>
        <v>-</v>
      </c>
      <c r="Q87" s="40" t="str">
        <f>IFERROR(AVERAGEIFS(#REF!,#REF!,$A:$A),"-")</f>
        <v>-</v>
      </c>
      <c r="R87" s="40" t="str">
        <f>IFERROR(AVERAGEIFS(#REF!,#REF!,$A:$A),"-")</f>
        <v>-</v>
      </c>
      <c r="S87" s="40" t="str">
        <f>IFERROR(AVERAGEIFS(#REF!,#REF!,$A:$A),"-")</f>
        <v>-</v>
      </c>
      <c r="T87" s="40" t="str">
        <f>IFERROR(AVERAGEIFS(#REF!,#REF!,$A:$A),"-")</f>
        <v>-</v>
      </c>
      <c r="U87" s="40" t="str">
        <f>IFERROR(AVERAGEIFS(#REF!,#REF!,$A:$A),"-")</f>
        <v>-</v>
      </c>
      <c r="V87" s="40" t="str">
        <f>IFERROR(AVERAGEIFS(#REF!,#REF!,$A:$A),"-")</f>
        <v>-</v>
      </c>
      <c r="W87" s="40" t="str">
        <f t="shared" si="0"/>
        <v>-</v>
      </c>
      <c r="X87" s="40" t="str">
        <f t="shared" si="1"/>
        <v>-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</row>
    <row r="88" spans="1:34" ht="12.75">
      <c r="B88" s="40" t="str">
        <f>IFERROR(AVERAGEIFS('сентябрь 2024- июнь 2026'!$K:$K,'сентябрь 2024- июнь 2026'!$E:$E,$A:$A),"-")</f>
        <v>-</v>
      </c>
      <c r="C88" s="40" t="str">
        <f>IFERROR(AVERAGEIFS(#REF!,#REF!,$A:$A),"-")</f>
        <v>-</v>
      </c>
      <c r="D88" s="40" t="str">
        <f>IFERROR(AVERAGEIFS(#REF!,#REF!,$A:$A),"-")</f>
        <v>-</v>
      </c>
      <c r="E88" s="40" t="str">
        <f>IFERROR(AVERAGEIFS(#REF!,#REF!,$A:$A),"-")</f>
        <v>-</v>
      </c>
      <c r="F88" s="40" t="str">
        <f>IFERROR(AVERAGEIFS(#REF!,#REF!,$A:$A),"-")</f>
        <v>-</v>
      </c>
      <c r="G88" s="40" t="str">
        <f>IFERROR(AVERAGEIFS(#REF!,#REF!,A:A),"-")</f>
        <v>-</v>
      </c>
      <c r="H88" s="40" t="str">
        <f>IFERROR(AVERAGEIFS(#REF!,#REF!,$A:$A),"-")</f>
        <v>-</v>
      </c>
      <c r="I88" s="40" t="str">
        <f>IFERROR(AVERAGEIFS(#REF!,#REF!,$A:$A),"-")</f>
        <v>-</v>
      </c>
      <c r="J88" s="40" t="str">
        <f>IFERROR(AVERAGEIFS(#REF!,#REF!,$A:$A),"-")</f>
        <v>-</v>
      </c>
      <c r="K88" s="40" t="str">
        <f>IFERROR(AVERAGEIFS(#REF!,#REF!,$A:$A),"-")</f>
        <v>-</v>
      </c>
      <c r="L88" s="40" t="str">
        <f>IFERROR(AVERAGEIFS(#REF!,#REF!,$A:$A),"-")</f>
        <v>-</v>
      </c>
      <c r="M88" s="40" t="str">
        <f>IFERROR(AVERAGEIFS(#REF!,#REF!,$A:$A),"-")</f>
        <v>-</v>
      </c>
      <c r="N88" s="40" t="str">
        <f>IFERROR(AVERAGEIFS(#REF!,#REF!,$A:$A),"-")</f>
        <v>-</v>
      </c>
      <c r="O88" s="40" t="str">
        <f>IFERROR(AVERAGEIFS(#REF!,#REF!,$A:$A),"-")</f>
        <v>-</v>
      </c>
      <c r="P88" s="40" t="str">
        <f>IFERROR(AVERAGEIFS(#REF!,#REF!,$A:$A),"-")</f>
        <v>-</v>
      </c>
      <c r="Q88" s="40" t="str">
        <f>IFERROR(AVERAGEIFS(#REF!,#REF!,$A:$A),"-")</f>
        <v>-</v>
      </c>
      <c r="R88" s="40" t="str">
        <f>IFERROR(AVERAGEIFS(#REF!,#REF!,$A:$A),"-")</f>
        <v>-</v>
      </c>
      <c r="S88" s="40" t="str">
        <f>IFERROR(AVERAGEIFS(#REF!,#REF!,$A:$A),"-")</f>
        <v>-</v>
      </c>
      <c r="T88" s="40" t="str">
        <f>IFERROR(AVERAGEIFS(#REF!,#REF!,$A:$A),"-")</f>
        <v>-</v>
      </c>
      <c r="U88" s="40" t="str">
        <f>IFERROR(AVERAGEIFS(#REF!,#REF!,$A:$A),"-")</f>
        <v>-</v>
      </c>
      <c r="V88" s="40" t="str">
        <f>IFERROR(AVERAGEIFS(#REF!,#REF!,$A:$A),"-")</f>
        <v>-</v>
      </c>
      <c r="W88" s="40" t="str">
        <f t="shared" si="0"/>
        <v>-</v>
      </c>
      <c r="X88" s="40" t="str">
        <f t="shared" si="1"/>
        <v>-</v>
      </c>
      <c r="Y88" s="39"/>
      <c r="Z88" s="39"/>
      <c r="AA88" s="39"/>
      <c r="AB88" s="39"/>
      <c r="AC88" s="39"/>
      <c r="AD88" s="39"/>
      <c r="AE88" s="39"/>
      <c r="AF88" s="39"/>
      <c r="AG88" s="39"/>
      <c r="AH88" s="39"/>
    </row>
    <row r="89" spans="1:34" ht="12.75">
      <c r="B89" s="40" t="str">
        <f>IFERROR(AVERAGEIFS('сентябрь 2024- июнь 2026'!$K:$K,'сентябрь 2024- июнь 2026'!$E:$E,$A:$A),"-")</f>
        <v>-</v>
      </c>
      <c r="C89" s="40" t="str">
        <f>IFERROR(AVERAGEIFS(#REF!,#REF!,$A:$A),"-")</f>
        <v>-</v>
      </c>
      <c r="D89" s="40" t="str">
        <f>IFERROR(AVERAGEIFS(#REF!,#REF!,$A:$A),"-")</f>
        <v>-</v>
      </c>
      <c r="E89" s="40" t="str">
        <f>IFERROR(AVERAGEIFS(#REF!,#REF!,$A:$A),"-")</f>
        <v>-</v>
      </c>
      <c r="F89" s="40" t="str">
        <f>IFERROR(AVERAGEIFS(#REF!,#REF!,$A:$A),"-")</f>
        <v>-</v>
      </c>
      <c r="G89" s="40" t="str">
        <f>IFERROR(AVERAGEIFS(#REF!,#REF!,A:A),"-")</f>
        <v>-</v>
      </c>
      <c r="H89" s="40" t="str">
        <f>IFERROR(AVERAGEIFS(#REF!,#REF!,$A:$A),"-")</f>
        <v>-</v>
      </c>
      <c r="I89" s="40" t="str">
        <f>IFERROR(AVERAGEIFS(#REF!,#REF!,$A:$A),"-")</f>
        <v>-</v>
      </c>
      <c r="J89" s="40" t="str">
        <f>IFERROR(AVERAGEIFS(#REF!,#REF!,$A:$A),"-")</f>
        <v>-</v>
      </c>
      <c r="K89" s="40" t="str">
        <f>IFERROR(AVERAGEIFS(#REF!,#REF!,$A:$A),"-")</f>
        <v>-</v>
      </c>
      <c r="L89" s="40" t="str">
        <f>IFERROR(AVERAGEIFS(#REF!,#REF!,$A:$A),"-")</f>
        <v>-</v>
      </c>
      <c r="M89" s="40" t="str">
        <f>IFERROR(AVERAGEIFS(#REF!,#REF!,$A:$A),"-")</f>
        <v>-</v>
      </c>
      <c r="N89" s="40" t="str">
        <f>IFERROR(AVERAGEIFS(#REF!,#REF!,$A:$A),"-")</f>
        <v>-</v>
      </c>
      <c r="O89" s="40" t="str">
        <f>IFERROR(AVERAGEIFS(#REF!,#REF!,$A:$A),"-")</f>
        <v>-</v>
      </c>
      <c r="P89" s="40" t="str">
        <f>IFERROR(AVERAGEIFS(#REF!,#REF!,$A:$A),"-")</f>
        <v>-</v>
      </c>
      <c r="Q89" s="40" t="str">
        <f>IFERROR(AVERAGEIFS(#REF!,#REF!,$A:$A),"-")</f>
        <v>-</v>
      </c>
      <c r="R89" s="40" t="str">
        <f>IFERROR(AVERAGEIFS(#REF!,#REF!,$A:$A),"-")</f>
        <v>-</v>
      </c>
      <c r="S89" s="40" t="str">
        <f>IFERROR(AVERAGEIFS(#REF!,#REF!,$A:$A),"-")</f>
        <v>-</v>
      </c>
      <c r="T89" s="40" t="str">
        <f>IFERROR(AVERAGEIFS(#REF!,#REF!,$A:$A),"-")</f>
        <v>-</v>
      </c>
      <c r="U89" s="40" t="str">
        <f>IFERROR(AVERAGEIFS(#REF!,#REF!,$A:$A),"-")</f>
        <v>-</v>
      </c>
      <c r="V89" s="40" t="str">
        <f>IFERROR(AVERAGEIFS(#REF!,#REF!,$A:$A),"-")</f>
        <v>-</v>
      </c>
      <c r="W89" s="40" t="str">
        <f t="shared" si="0"/>
        <v>-</v>
      </c>
      <c r="X89" s="40" t="str">
        <f t="shared" si="1"/>
        <v>-</v>
      </c>
      <c r="Y89" s="39"/>
      <c r="Z89" s="39"/>
      <c r="AA89" s="39"/>
      <c r="AB89" s="39"/>
      <c r="AC89" s="39"/>
      <c r="AD89" s="39"/>
      <c r="AE89" s="39"/>
      <c r="AF89" s="39"/>
      <c r="AG89" s="39"/>
      <c r="AH89" s="39"/>
    </row>
    <row r="90" spans="1:34" ht="12.75">
      <c r="B90" s="40" t="str">
        <f>IFERROR(AVERAGEIFS('сентябрь 2024- июнь 2026'!$K:$K,'сентябрь 2024- июнь 2026'!$E:$E,$A:$A),"-")</f>
        <v>-</v>
      </c>
      <c r="C90" s="40" t="str">
        <f>IFERROR(AVERAGEIFS(#REF!,#REF!,$A:$A),"-")</f>
        <v>-</v>
      </c>
      <c r="D90" s="40" t="str">
        <f>IFERROR(AVERAGEIFS(#REF!,#REF!,$A:$A),"-")</f>
        <v>-</v>
      </c>
      <c r="E90" s="40" t="str">
        <f>IFERROR(AVERAGEIFS(#REF!,#REF!,$A:$A),"-")</f>
        <v>-</v>
      </c>
      <c r="F90" s="40" t="str">
        <f>IFERROR(AVERAGEIFS(#REF!,#REF!,$A:$A),"-")</f>
        <v>-</v>
      </c>
      <c r="G90" s="40" t="str">
        <f>IFERROR(AVERAGEIFS(#REF!,#REF!,A:A),"-")</f>
        <v>-</v>
      </c>
      <c r="H90" s="40" t="str">
        <f>IFERROR(AVERAGEIFS(#REF!,#REF!,$A:$A),"-")</f>
        <v>-</v>
      </c>
      <c r="I90" s="40" t="str">
        <f>IFERROR(AVERAGEIFS(#REF!,#REF!,$A:$A),"-")</f>
        <v>-</v>
      </c>
      <c r="J90" s="40" t="str">
        <f>IFERROR(AVERAGEIFS(#REF!,#REF!,$A:$A),"-")</f>
        <v>-</v>
      </c>
      <c r="K90" s="40" t="str">
        <f>IFERROR(AVERAGEIFS(#REF!,#REF!,$A:$A),"-")</f>
        <v>-</v>
      </c>
      <c r="L90" s="40" t="str">
        <f>IFERROR(AVERAGEIFS(#REF!,#REF!,$A:$A),"-")</f>
        <v>-</v>
      </c>
      <c r="M90" s="40" t="str">
        <f>IFERROR(AVERAGEIFS(#REF!,#REF!,$A:$A),"-")</f>
        <v>-</v>
      </c>
      <c r="N90" s="40" t="str">
        <f>IFERROR(AVERAGEIFS(#REF!,#REF!,$A:$A),"-")</f>
        <v>-</v>
      </c>
      <c r="O90" s="40" t="str">
        <f>IFERROR(AVERAGEIFS(#REF!,#REF!,$A:$A),"-")</f>
        <v>-</v>
      </c>
      <c r="P90" s="40" t="str">
        <f>IFERROR(AVERAGEIFS(#REF!,#REF!,$A:$A),"-")</f>
        <v>-</v>
      </c>
      <c r="Q90" s="40" t="str">
        <f>IFERROR(AVERAGEIFS(#REF!,#REF!,$A:$A),"-")</f>
        <v>-</v>
      </c>
      <c r="R90" s="40" t="str">
        <f>IFERROR(AVERAGEIFS(#REF!,#REF!,$A:$A),"-")</f>
        <v>-</v>
      </c>
      <c r="S90" s="40" t="str">
        <f>IFERROR(AVERAGEIFS(#REF!,#REF!,$A:$A),"-")</f>
        <v>-</v>
      </c>
      <c r="T90" s="40" t="str">
        <f>IFERROR(AVERAGEIFS(#REF!,#REF!,$A:$A),"-")</f>
        <v>-</v>
      </c>
      <c r="U90" s="40" t="str">
        <f>IFERROR(AVERAGEIFS(#REF!,#REF!,$A:$A),"-")</f>
        <v>-</v>
      </c>
      <c r="V90" s="40" t="str">
        <f>IFERROR(AVERAGEIFS(#REF!,#REF!,$A:$A),"-")</f>
        <v>-</v>
      </c>
      <c r="W90" s="40" t="str">
        <f t="shared" si="0"/>
        <v>-</v>
      </c>
      <c r="X90" s="40" t="str">
        <f t="shared" si="1"/>
        <v>-</v>
      </c>
      <c r="Y90" s="39"/>
      <c r="Z90" s="39"/>
      <c r="AA90" s="39"/>
      <c r="AB90" s="39"/>
      <c r="AC90" s="39"/>
      <c r="AD90" s="39"/>
      <c r="AE90" s="39"/>
      <c r="AF90" s="39"/>
      <c r="AG90" s="39"/>
      <c r="AH90" s="39"/>
    </row>
    <row r="91" spans="1:34" ht="12.75">
      <c r="B91" s="40" t="str">
        <f>IFERROR(AVERAGEIFS('сентябрь 2024- июнь 2026'!$K:$K,'сентябрь 2024- июнь 2026'!$E:$E,$A:$A),"-")</f>
        <v>-</v>
      </c>
      <c r="C91" s="40" t="str">
        <f>IFERROR(AVERAGEIFS(#REF!,#REF!,$A:$A),"-")</f>
        <v>-</v>
      </c>
      <c r="D91" s="40" t="str">
        <f>IFERROR(AVERAGEIFS(#REF!,#REF!,$A:$A),"-")</f>
        <v>-</v>
      </c>
      <c r="E91" s="40" t="str">
        <f>IFERROR(AVERAGEIFS(#REF!,#REF!,$A:$A),"-")</f>
        <v>-</v>
      </c>
      <c r="F91" s="40" t="str">
        <f>IFERROR(AVERAGEIFS(#REF!,#REF!,$A:$A),"-")</f>
        <v>-</v>
      </c>
      <c r="G91" s="40" t="str">
        <f>IFERROR(AVERAGEIFS(#REF!,#REF!,A:A),"-")</f>
        <v>-</v>
      </c>
      <c r="H91" s="40" t="str">
        <f>IFERROR(AVERAGEIFS(#REF!,#REF!,$A:$A),"-")</f>
        <v>-</v>
      </c>
      <c r="I91" s="40" t="str">
        <f>IFERROR(AVERAGEIFS(#REF!,#REF!,$A:$A),"-")</f>
        <v>-</v>
      </c>
      <c r="J91" s="40" t="str">
        <f>IFERROR(AVERAGEIFS(#REF!,#REF!,$A:$A),"-")</f>
        <v>-</v>
      </c>
      <c r="K91" s="40" t="str">
        <f>IFERROR(AVERAGEIFS(#REF!,#REF!,$A:$A),"-")</f>
        <v>-</v>
      </c>
      <c r="L91" s="40" t="str">
        <f>IFERROR(AVERAGEIFS(#REF!,#REF!,$A:$A),"-")</f>
        <v>-</v>
      </c>
      <c r="M91" s="40" t="str">
        <f>IFERROR(AVERAGEIFS(#REF!,#REF!,$A:$A),"-")</f>
        <v>-</v>
      </c>
      <c r="N91" s="40" t="str">
        <f>IFERROR(AVERAGEIFS(#REF!,#REF!,$A:$A),"-")</f>
        <v>-</v>
      </c>
      <c r="O91" s="40" t="str">
        <f>IFERROR(AVERAGEIFS(#REF!,#REF!,$A:$A),"-")</f>
        <v>-</v>
      </c>
      <c r="P91" s="40" t="str">
        <f>IFERROR(AVERAGEIFS(#REF!,#REF!,$A:$A),"-")</f>
        <v>-</v>
      </c>
      <c r="Q91" s="40" t="str">
        <f>IFERROR(AVERAGEIFS(#REF!,#REF!,$A:$A),"-")</f>
        <v>-</v>
      </c>
      <c r="R91" s="40" t="str">
        <f>IFERROR(AVERAGEIFS(#REF!,#REF!,$A:$A),"-")</f>
        <v>-</v>
      </c>
      <c r="S91" s="40" t="str">
        <f>IFERROR(AVERAGEIFS(#REF!,#REF!,$A:$A),"-")</f>
        <v>-</v>
      </c>
      <c r="T91" s="40" t="str">
        <f>IFERROR(AVERAGEIFS(#REF!,#REF!,$A:$A),"-")</f>
        <v>-</v>
      </c>
      <c r="U91" s="40" t="str">
        <f>IFERROR(AVERAGEIFS(#REF!,#REF!,$A:$A),"-")</f>
        <v>-</v>
      </c>
      <c r="V91" s="40" t="str">
        <f>IFERROR(AVERAGEIFS(#REF!,#REF!,$A:$A),"-")</f>
        <v>-</v>
      </c>
      <c r="W91" s="40" t="str">
        <f t="shared" si="0"/>
        <v>-</v>
      </c>
      <c r="X91" s="40" t="str">
        <f t="shared" si="1"/>
        <v>-</v>
      </c>
      <c r="Y91" s="39"/>
      <c r="Z91" s="39"/>
      <c r="AA91" s="39"/>
      <c r="AB91" s="39"/>
      <c r="AC91" s="39"/>
      <c r="AD91" s="39"/>
      <c r="AE91" s="39"/>
      <c r="AF91" s="39"/>
      <c r="AG91" s="39"/>
      <c r="AH91" s="39"/>
    </row>
    <row r="92" spans="1:34" ht="12.75">
      <c r="B92" s="40" t="str">
        <f>IFERROR(AVERAGEIFS('сентябрь 2024- июнь 2026'!$K:$K,'сентябрь 2024- июнь 2026'!$E:$E,$A:$A),"-")</f>
        <v>-</v>
      </c>
      <c r="C92" s="40" t="str">
        <f>IFERROR(AVERAGEIFS(#REF!,#REF!,$A:$A),"-")</f>
        <v>-</v>
      </c>
      <c r="D92" s="40" t="str">
        <f>IFERROR(AVERAGEIFS(#REF!,#REF!,$A:$A),"-")</f>
        <v>-</v>
      </c>
      <c r="E92" s="40" t="str">
        <f>IFERROR(AVERAGEIFS(#REF!,#REF!,$A:$A),"-")</f>
        <v>-</v>
      </c>
      <c r="F92" s="40" t="str">
        <f>IFERROR(AVERAGEIFS(#REF!,#REF!,$A:$A),"-")</f>
        <v>-</v>
      </c>
      <c r="G92" s="40" t="str">
        <f>IFERROR(AVERAGEIFS(#REF!,#REF!,A:A),"-")</f>
        <v>-</v>
      </c>
      <c r="H92" s="40" t="str">
        <f>IFERROR(AVERAGEIFS(#REF!,#REF!,$A:$A),"-")</f>
        <v>-</v>
      </c>
      <c r="I92" s="40" t="str">
        <f>IFERROR(AVERAGEIFS(#REF!,#REF!,$A:$A),"-")</f>
        <v>-</v>
      </c>
      <c r="J92" s="40" t="str">
        <f>IFERROR(AVERAGEIFS(#REF!,#REF!,$A:$A),"-")</f>
        <v>-</v>
      </c>
      <c r="K92" s="40" t="str">
        <f>IFERROR(AVERAGEIFS(#REF!,#REF!,$A:$A),"-")</f>
        <v>-</v>
      </c>
      <c r="L92" s="40" t="str">
        <f>IFERROR(AVERAGEIFS(#REF!,#REF!,$A:$A),"-")</f>
        <v>-</v>
      </c>
      <c r="M92" s="40" t="str">
        <f>IFERROR(AVERAGEIFS(#REF!,#REF!,$A:$A),"-")</f>
        <v>-</v>
      </c>
      <c r="N92" s="40" t="str">
        <f>IFERROR(AVERAGEIFS(#REF!,#REF!,$A:$A),"-")</f>
        <v>-</v>
      </c>
      <c r="O92" s="40" t="str">
        <f>IFERROR(AVERAGEIFS(#REF!,#REF!,$A:$A),"-")</f>
        <v>-</v>
      </c>
      <c r="P92" s="40" t="str">
        <f>IFERROR(AVERAGEIFS(#REF!,#REF!,$A:$A),"-")</f>
        <v>-</v>
      </c>
      <c r="Q92" s="40" t="str">
        <f>IFERROR(AVERAGEIFS(#REF!,#REF!,$A:$A),"-")</f>
        <v>-</v>
      </c>
      <c r="R92" s="40" t="str">
        <f>IFERROR(AVERAGEIFS(#REF!,#REF!,$A:$A),"-")</f>
        <v>-</v>
      </c>
      <c r="S92" s="40" t="str">
        <f>IFERROR(AVERAGEIFS(#REF!,#REF!,$A:$A),"-")</f>
        <v>-</v>
      </c>
      <c r="T92" s="40" t="str">
        <f>IFERROR(AVERAGEIFS(#REF!,#REF!,$A:$A),"-")</f>
        <v>-</v>
      </c>
      <c r="U92" s="40" t="str">
        <f>IFERROR(AVERAGEIFS(#REF!,#REF!,$A:$A),"-")</f>
        <v>-</v>
      </c>
      <c r="V92" s="40" t="str">
        <f>IFERROR(AVERAGEIFS(#REF!,#REF!,$A:$A),"-")</f>
        <v>-</v>
      </c>
      <c r="W92" s="40" t="str">
        <f t="shared" si="0"/>
        <v>-</v>
      </c>
      <c r="X92" s="40" t="str">
        <f t="shared" si="1"/>
        <v>-</v>
      </c>
      <c r="Y92" s="39"/>
      <c r="Z92" s="39"/>
      <c r="AA92" s="39"/>
      <c r="AB92" s="39"/>
      <c r="AC92" s="39"/>
      <c r="AD92" s="39"/>
      <c r="AE92" s="39"/>
      <c r="AF92" s="39"/>
      <c r="AG92" s="39"/>
      <c r="AH92" s="39"/>
    </row>
    <row r="93" spans="1:34" ht="12.75">
      <c r="B93" s="40" t="str">
        <f>IFERROR(AVERAGEIFS('сентябрь 2024- июнь 2026'!$K:$K,'сентябрь 2024- июнь 2026'!$E:$E,$A:$A),"-")</f>
        <v>-</v>
      </c>
      <c r="C93" s="40" t="str">
        <f>IFERROR(AVERAGEIFS(#REF!,#REF!,$A:$A),"-")</f>
        <v>-</v>
      </c>
      <c r="D93" s="40" t="str">
        <f>IFERROR(AVERAGEIFS(#REF!,#REF!,$A:$A),"-")</f>
        <v>-</v>
      </c>
      <c r="E93" s="40" t="str">
        <f>IFERROR(AVERAGEIFS(#REF!,#REF!,$A:$A),"-")</f>
        <v>-</v>
      </c>
      <c r="F93" s="40" t="str">
        <f>IFERROR(AVERAGEIFS(#REF!,#REF!,$A:$A),"-")</f>
        <v>-</v>
      </c>
      <c r="G93" s="40" t="str">
        <f>IFERROR(AVERAGEIFS(#REF!,#REF!,A:A),"-")</f>
        <v>-</v>
      </c>
      <c r="H93" s="40" t="str">
        <f>IFERROR(AVERAGEIFS(#REF!,#REF!,$A:$A),"-")</f>
        <v>-</v>
      </c>
      <c r="I93" s="40" t="str">
        <f>IFERROR(AVERAGEIFS(#REF!,#REF!,$A:$A),"-")</f>
        <v>-</v>
      </c>
      <c r="J93" s="40" t="str">
        <f>IFERROR(AVERAGEIFS(#REF!,#REF!,$A:$A),"-")</f>
        <v>-</v>
      </c>
      <c r="K93" s="40" t="str">
        <f>IFERROR(AVERAGEIFS(#REF!,#REF!,$A:$A),"-")</f>
        <v>-</v>
      </c>
      <c r="L93" s="40" t="str">
        <f>IFERROR(AVERAGEIFS(#REF!,#REF!,$A:$A),"-")</f>
        <v>-</v>
      </c>
      <c r="M93" s="40" t="str">
        <f>IFERROR(AVERAGEIFS(#REF!,#REF!,$A:$A),"-")</f>
        <v>-</v>
      </c>
      <c r="N93" s="40" t="str">
        <f>IFERROR(AVERAGEIFS(#REF!,#REF!,$A:$A),"-")</f>
        <v>-</v>
      </c>
      <c r="O93" s="40" t="str">
        <f>IFERROR(AVERAGEIFS(#REF!,#REF!,$A:$A),"-")</f>
        <v>-</v>
      </c>
      <c r="P93" s="40" t="str">
        <f>IFERROR(AVERAGEIFS(#REF!,#REF!,$A:$A),"-")</f>
        <v>-</v>
      </c>
      <c r="Q93" s="40" t="str">
        <f>IFERROR(AVERAGEIFS(#REF!,#REF!,$A:$A),"-")</f>
        <v>-</v>
      </c>
      <c r="R93" s="40" t="str">
        <f>IFERROR(AVERAGEIFS(#REF!,#REF!,$A:$A),"-")</f>
        <v>-</v>
      </c>
      <c r="S93" s="40" t="str">
        <f>IFERROR(AVERAGEIFS(#REF!,#REF!,$A:$A),"-")</f>
        <v>-</v>
      </c>
      <c r="T93" s="40" t="str">
        <f>IFERROR(AVERAGEIFS(#REF!,#REF!,$A:$A),"-")</f>
        <v>-</v>
      </c>
      <c r="U93" s="40" t="str">
        <f>IFERROR(AVERAGEIFS(#REF!,#REF!,$A:$A),"-")</f>
        <v>-</v>
      </c>
      <c r="V93" s="40" t="str">
        <f>IFERROR(AVERAGEIFS(#REF!,#REF!,$A:$A),"-")</f>
        <v>-</v>
      </c>
      <c r="W93" s="40" t="str">
        <f t="shared" si="0"/>
        <v>-</v>
      </c>
      <c r="X93" s="40" t="str">
        <f t="shared" si="1"/>
        <v>-</v>
      </c>
      <c r="Y93" s="39"/>
      <c r="Z93" s="39"/>
      <c r="AA93" s="39"/>
      <c r="AB93" s="39"/>
      <c r="AC93" s="39"/>
      <c r="AD93" s="39"/>
      <c r="AE93" s="39"/>
      <c r="AF93" s="39"/>
      <c r="AG93" s="39"/>
      <c r="AH93" s="39"/>
    </row>
    <row r="94" spans="1:34" ht="12.75">
      <c r="B94" s="40" t="str">
        <f>IFERROR(AVERAGEIFS('сентябрь 2024- июнь 2026'!$K:$K,'сентябрь 2024- июнь 2026'!$E:$E,$A:$A),"-")</f>
        <v>-</v>
      </c>
      <c r="C94" s="40" t="str">
        <f>IFERROR(AVERAGEIFS(#REF!,#REF!,$A:$A),"-")</f>
        <v>-</v>
      </c>
      <c r="D94" s="40" t="str">
        <f>IFERROR(AVERAGEIFS(#REF!,#REF!,$A:$A),"-")</f>
        <v>-</v>
      </c>
      <c r="E94" s="40" t="str">
        <f>IFERROR(AVERAGEIFS(#REF!,#REF!,$A:$A),"-")</f>
        <v>-</v>
      </c>
      <c r="F94" s="40" t="str">
        <f>IFERROR(AVERAGEIFS(#REF!,#REF!,$A:$A),"-")</f>
        <v>-</v>
      </c>
      <c r="G94" s="40" t="str">
        <f>IFERROR(AVERAGEIFS(#REF!,#REF!,A:A),"-")</f>
        <v>-</v>
      </c>
      <c r="H94" s="40" t="str">
        <f>IFERROR(AVERAGEIFS(#REF!,#REF!,$A:$A),"-")</f>
        <v>-</v>
      </c>
      <c r="I94" s="40" t="str">
        <f>IFERROR(AVERAGEIFS(#REF!,#REF!,$A:$A),"-")</f>
        <v>-</v>
      </c>
      <c r="J94" s="40" t="str">
        <f>IFERROR(AVERAGEIFS(#REF!,#REF!,$A:$A),"-")</f>
        <v>-</v>
      </c>
      <c r="K94" s="40" t="str">
        <f>IFERROR(AVERAGEIFS(#REF!,#REF!,$A:$A),"-")</f>
        <v>-</v>
      </c>
      <c r="L94" s="40" t="str">
        <f>IFERROR(AVERAGEIFS(#REF!,#REF!,$A:$A),"-")</f>
        <v>-</v>
      </c>
      <c r="M94" s="40" t="str">
        <f>IFERROR(AVERAGEIFS(#REF!,#REF!,$A:$A),"-")</f>
        <v>-</v>
      </c>
      <c r="N94" s="40" t="str">
        <f>IFERROR(AVERAGEIFS(#REF!,#REF!,$A:$A),"-")</f>
        <v>-</v>
      </c>
      <c r="O94" s="40" t="str">
        <f>IFERROR(AVERAGEIFS(#REF!,#REF!,$A:$A),"-")</f>
        <v>-</v>
      </c>
      <c r="P94" s="40" t="str">
        <f>IFERROR(AVERAGEIFS(#REF!,#REF!,$A:$A),"-")</f>
        <v>-</v>
      </c>
      <c r="Q94" s="40" t="str">
        <f>IFERROR(AVERAGEIFS(#REF!,#REF!,$A:$A),"-")</f>
        <v>-</v>
      </c>
      <c r="R94" s="40" t="str">
        <f>IFERROR(AVERAGEIFS(#REF!,#REF!,$A:$A),"-")</f>
        <v>-</v>
      </c>
      <c r="S94" s="40" t="str">
        <f>IFERROR(AVERAGEIFS(#REF!,#REF!,$A:$A),"-")</f>
        <v>-</v>
      </c>
      <c r="T94" s="40" t="str">
        <f>IFERROR(AVERAGEIFS(#REF!,#REF!,$A:$A),"-")</f>
        <v>-</v>
      </c>
      <c r="U94" s="40" t="str">
        <f>IFERROR(AVERAGEIFS(#REF!,#REF!,$A:$A),"-")</f>
        <v>-</v>
      </c>
      <c r="V94" s="40" t="str">
        <f>IFERROR(AVERAGEIFS(#REF!,#REF!,$A:$A),"-")</f>
        <v>-</v>
      </c>
      <c r="W94" s="40" t="str">
        <f t="shared" si="0"/>
        <v>-</v>
      </c>
      <c r="X94" s="40" t="str">
        <f t="shared" si="1"/>
        <v>-</v>
      </c>
      <c r="Y94" s="39"/>
      <c r="Z94" s="39"/>
      <c r="AA94" s="39"/>
      <c r="AB94" s="39"/>
      <c r="AC94" s="39"/>
      <c r="AD94" s="39"/>
      <c r="AE94" s="39"/>
      <c r="AF94" s="39"/>
      <c r="AG94" s="39"/>
      <c r="AH94" s="39"/>
    </row>
    <row r="95" spans="1:34" ht="12.75">
      <c r="B95" s="40" t="str">
        <f>IFERROR(AVERAGEIFS('сентябрь 2024- июнь 2026'!$K:$K,'сентябрь 2024- июнь 2026'!$E:$E,$A:$A),"-")</f>
        <v>-</v>
      </c>
      <c r="C95" s="40" t="str">
        <f>IFERROR(AVERAGEIFS(#REF!,#REF!,$A:$A),"-")</f>
        <v>-</v>
      </c>
      <c r="D95" s="40" t="str">
        <f>IFERROR(AVERAGEIFS(#REF!,#REF!,$A:$A),"-")</f>
        <v>-</v>
      </c>
      <c r="E95" s="40" t="str">
        <f>IFERROR(AVERAGEIFS(#REF!,#REF!,$A:$A),"-")</f>
        <v>-</v>
      </c>
      <c r="F95" s="40" t="str">
        <f>IFERROR(AVERAGEIFS(#REF!,#REF!,$A:$A),"-")</f>
        <v>-</v>
      </c>
      <c r="G95" s="40" t="str">
        <f>IFERROR(AVERAGEIFS(#REF!,#REF!,A:A),"-")</f>
        <v>-</v>
      </c>
      <c r="H95" s="40" t="str">
        <f>IFERROR(AVERAGEIFS(#REF!,#REF!,$A:$A),"-")</f>
        <v>-</v>
      </c>
      <c r="I95" s="40" t="str">
        <f>IFERROR(AVERAGEIFS(#REF!,#REF!,$A:$A),"-")</f>
        <v>-</v>
      </c>
      <c r="J95" s="40" t="str">
        <f>IFERROR(AVERAGEIFS(#REF!,#REF!,$A:$A),"-")</f>
        <v>-</v>
      </c>
      <c r="K95" s="40" t="str">
        <f>IFERROR(AVERAGEIFS(#REF!,#REF!,$A:$A),"-")</f>
        <v>-</v>
      </c>
      <c r="L95" s="40" t="str">
        <f>IFERROR(AVERAGEIFS(#REF!,#REF!,$A:$A),"-")</f>
        <v>-</v>
      </c>
      <c r="M95" s="40" t="str">
        <f>IFERROR(AVERAGEIFS(#REF!,#REF!,$A:$A),"-")</f>
        <v>-</v>
      </c>
      <c r="N95" s="40" t="str">
        <f>IFERROR(AVERAGEIFS(#REF!,#REF!,$A:$A),"-")</f>
        <v>-</v>
      </c>
      <c r="O95" s="40" t="str">
        <f>IFERROR(AVERAGEIFS(#REF!,#REF!,$A:$A),"-")</f>
        <v>-</v>
      </c>
      <c r="P95" s="40" t="str">
        <f>IFERROR(AVERAGEIFS(#REF!,#REF!,$A:$A),"-")</f>
        <v>-</v>
      </c>
      <c r="Q95" s="40" t="str">
        <f>IFERROR(AVERAGEIFS(#REF!,#REF!,$A:$A),"-")</f>
        <v>-</v>
      </c>
      <c r="R95" s="40" t="str">
        <f>IFERROR(AVERAGEIFS(#REF!,#REF!,$A:$A),"-")</f>
        <v>-</v>
      </c>
      <c r="S95" s="40" t="str">
        <f>IFERROR(AVERAGEIFS(#REF!,#REF!,$A:$A),"-")</f>
        <v>-</v>
      </c>
      <c r="T95" s="40" t="str">
        <f>IFERROR(AVERAGEIFS(#REF!,#REF!,$A:$A),"-")</f>
        <v>-</v>
      </c>
      <c r="U95" s="40" t="str">
        <f>IFERROR(AVERAGEIFS(#REF!,#REF!,$A:$A),"-")</f>
        <v>-</v>
      </c>
      <c r="V95" s="40" t="str">
        <f>IFERROR(AVERAGEIFS(#REF!,#REF!,$A:$A),"-")</f>
        <v>-</v>
      </c>
      <c r="W95" s="40" t="str">
        <f t="shared" si="0"/>
        <v>-</v>
      </c>
      <c r="X95" s="40" t="str">
        <f t="shared" si="1"/>
        <v>-</v>
      </c>
      <c r="Y95" s="39"/>
      <c r="Z95" s="39"/>
      <c r="AA95" s="39"/>
      <c r="AB95" s="39"/>
      <c r="AC95" s="39"/>
      <c r="AD95" s="39"/>
      <c r="AE95" s="39"/>
      <c r="AF95" s="39"/>
      <c r="AG95" s="39"/>
      <c r="AH95" s="39"/>
    </row>
    <row r="96" spans="1:34" ht="12.75">
      <c r="B96" s="40" t="str">
        <f>IFERROR(AVERAGEIFS('сентябрь 2024- июнь 2026'!$K:$K,'сентябрь 2024- июнь 2026'!$E:$E,$A:$A),"-")</f>
        <v>-</v>
      </c>
      <c r="C96" s="40" t="str">
        <f>IFERROR(AVERAGEIFS(#REF!,#REF!,$A:$A),"-")</f>
        <v>-</v>
      </c>
      <c r="D96" s="40" t="str">
        <f>IFERROR(AVERAGEIFS(#REF!,#REF!,$A:$A),"-")</f>
        <v>-</v>
      </c>
      <c r="E96" s="40" t="str">
        <f>IFERROR(AVERAGEIFS(#REF!,#REF!,$A:$A),"-")</f>
        <v>-</v>
      </c>
      <c r="F96" s="40" t="str">
        <f>IFERROR(AVERAGEIFS(#REF!,#REF!,$A:$A),"-")</f>
        <v>-</v>
      </c>
      <c r="G96" s="40" t="str">
        <f>IFERROR(AVERAGEIFS(#REF!,#REF!,A:A),"-")</f>
        <v>-</v>
      </c>
      <c r="H96" s="40" t="str">
        <f>IFERROR(AVERAGEIFS(#REF!,#REF!,$A:$A),"-")</f>
        <v>-</v>
      </c>
      <c r="I96" s="40" t="str">
        <f>IFERROR(AVERAGEIFS(#REF!,#REF!,$A:$A),"-")</f>
        <v>-</v>
      </c>
      <c r="J96" s="40" t="str">
        <f>IFERROR(AVERAGEIFS(#REF!,#REF!,$A:$A),"-")</f>
        <v>-</v>
      </c>
      <c r="K96" s="40" t="str">
        <f>IFERROR(AVERAGEIFS(#REF!,#REF!,$A:$A),"-")</f>
        <v>-</v>
      </c>
      <c r="L96" s="40" t="str">
        <f>IFERROR(AVERAGEIFS(#REF!,#REF!,$A:$A),"-")</f>
        <v>-</v>
      </c>
      <c r="M96" s="40" t="str">
        <f>IFERROR(AVERAGEIFS(#REF!,#REF!,$A:$A),"-")</f>
        <v>-</v>
      </c>
      <c r="N96" s="40" t="str">
        <f>IFERROR(AVERAGEIFS(#REF!,#REF!,$A:$A),"-")</f>
        <v>-</v>
      </c>
      <c r="O96" s="40" t="str">
        <f>IFERROR(AVERAGEIFS(#REF!,#REF!,$A:$A),"-")</f>
        <v>-</v>
      </c>
      <c r="P96" s="40" t="str">
        <f>IFERROR(AVERAGEIFS(#REF!,#REF!,$A:$A),"-")</f>
        <v>-</v>
      </c>
      <c r="Q96" s="40" t="str">
        <f>IFERROR(AVERAGEIFS(#REF!,#REF!,$A:$A),"-")</f>
        <v>-</v>
      </c>
      <c r="R96" s="40" t="str">
        <f>IFERROR(AVERAGEIFS(#REF!,#REF!,$A:$A),"-")</f>
        <v>-</v>
      </c>
      <c r="S96" s="40" t="str">
        <f>IFERROR(AVERAGEIFS(#REF!,#REF!,$A:$A),"-")</f>
        <v>-</v>
      </c>
      <c r="T96" s="40" t="str">
        <f>IFERROR(AVERAGEIFS(#REF!,#REF!,$A:$A),"-")</f>
        <v>-</v>
      </c>
      <c r="U96" s="40" t="str">
        <f>IFERROR(AVERAGEIFS(#REF!,#REF!,$A:$A),"-")</f>
        <v>-</v>
      </c>
      <c r="V96" s="40" t="str">
        <f t="shared" ref="V96:V123" si="2">IFERROR(AVERAGEIFS(#REF!,#REF!,$A:$A),"-")</f>
        <v>-</v>
      </c>
      <c r="W96" s="40" t="str">
        <f t="shared" si="0"/>
        <v>-</v>
      </c>
      <c r="X96" s="40" t="str">
        <f t="shared" si="1"/>
        <v>-</v>
      </c>
      <c r="Y96" s="39"/>
      <c r="Z96" s="39"/>
      <c r="AA96" s="39"/>
      <c r="AB96" s="39"/>
      <c r="AC96" s="39"/>
      <c r="AD96" s="39"/>
      <c r="AE96" s="39"/>
      <c r="AF96" s="39"/>
      <c r="AG96" s="39"/>
      <c r="AH96" s="39"/>
    </row>
    <row r="97" spans="2:34" ht="12.75">
      <c r="B97" s="40" t="str">
        <f>IFERROR(AVERAGEIFS('сентябрь 2024- июнь 2026'!$K:$K,'сентябрь 2024- июнь 2026'!$E:$E,$A:$A),"-")</f>
        <v>-</v>
      </c>
      <c r="C97" s="40" t="str">
        <f>IFERROR(AVERAGEIFS(#REF!,#REF!,$A:$A),"-")</f>
        <v>-</v>
      </c>
      <c r="D97" s="40" t="str">
        <f>IFERROR(AVERAGEIFS(#REF!,#REF!,$A:$A),"-")</f>
        <v>-</v>
      </c>
      <c r="E97" s="40" t="str">
        <f>IFERROR(AVERAGEIFS(#REF!,#REF!,$A:$A),"-")</f>
        <v>-</v>
      </c>
      <c r="F97" s="40" t="str">
        <f>IFERROR(AVERAGEIFS(#REF!,#REF!,$A:$A),"-")</f>
        <v>-</v>
      </c>
      <c r="G97" s="40" t="str">
        <f>IFERROR(AVERAGEIFS(#REF!,#REF!,A:A),"-")</f>
        <v>-</v>
      </c>
      <c r="H97" s="40" t="str">
        <f>IFERROR(AVERAGEIFS(#REF!,#REF!,$A:$A),"-")</f>
        <v>-</v>
      </c>
      <c r="I97" s="40" t="str">
        <f>IFERROR(AVERAGEIFS(#REF!,#REF!,$A:$A),"-")</f>
        <v>-</v>
      </c>
      <c r="J97" s="40" t="str">
        <f>IFERROR(AVERAGEIFS(#REF!,#REF!,$A:$A),"-")</f>
        <v>-</v>
      </c>
      <c r="K97" s="40" t="str">
        <f>IFERROR(AVERAGEIFS(#REF!,#REF!,$A:$A),"-")</f>
        <v>-</v>
      </c>
      <c r="L97" s="40" t="str">
        <f>IFERROR(AVERAGEIFS(#REF!,#REF!,$A:$A),"-")</f>
        <v>-</v>
      </c>
      <c r="M97" s="40" t="str">
        <f>IFERROR(AVERAGEIFS(#REF!,#REF!,$A:$A),"-")</f>
        <v>-</v>
      </c>
      <c r="N97" s="40" t="str">
        <f>IFERROR(AVERAGEIFS(#REF!,#REF!,$A:$A),"-")</f>
        <v>-</v>
      </c>
      <c r="O97" s="40" t="str">
        <f>IFERROR(AVERAGEIFS(#REF!,#REF!,$A:$A),"-")</f>
        <v>-</v>
      </c>
      <c r="P97" s="40" t="str">
        <f>IFERROR(AVERAGEIFS(#REF!,#REF!,$A:$A),"-")</f>
        <v>-</v>
      </c>
      <c r="Q97" s="40" t="str">
        <f>IFERROR(AVERAGEIFS(#REF!,#REF!,$A:$A),"-")</f>
        <v>-</v>
      </c>
      <c r="R97" s="40" t="str">
        <f>IFERROR(AVERAGEIFS(#REF!,#REF!,$A:$A),"-")</f>
        <v>-</v>
      </c>
      <c r="S97" s="40" t="str">
        <f>IFERROR(AVERAGEIFS(#REF!,#REF!,$A:$A),"-")</f>
        <v>-</v>
      </c>
      <c r="T97" s="40" t="str">
        <f>IFERROR(AVERAGEIFS(#REF!,#REF!,$A:$A),"-")</f>
        <v>-</v>
      </c>
      <c r="U97" s="40" t="str">
        <f>IFERROR(AVERAGEIFS(#REF!,#REF!,$A:$A),"-")</f>
        <v>-</v>
      </c>
      <c r="V97" s="40" t="str">
        <f t="shared" si="2"/>
        <v>-</v>
      </c>
      <c r="W97" s="40" t="str">
        <f t="shared" si="0"/>
        <v>-</v>
      </c>
      <c r="X97" s="40" t="str">
        <f t="shared" si="1"/>
        <v>-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</row>
    <row r="98" spans="2:34" ht="12.75">
      <c r="B98" s="40" t="str">
        <f>IFERROR(AVERAGEIFS('сентябрь 2024- июнь 2026'!$K:$K,'сентябрь 2024- июнь 2026'!$E:$E,$A:$A),"-")</f>
        <v>-</v>
      </c>
      <c r="C98" s="40" t="str">
        <f>IFERROR(AVERAGEIFS(#REF!,#REF!,$A:$A),"-")</f>
        <v>-</v>
      </c>
      <c r="D98" s="40" t="str">
        <f>IFERROR(AVERAGEIFS(#REF!,#REF!,$A:$A),"-")</f>
        <v>-</v>
      </c>
      <c r="E98" s="40" t="str">
        <f>IFERROR(AVERAGEIFS(#REF!,#REF!,$A:$A),"-")</f>
        <v>-</v>
      </c>
      <c r="F98" s="40" t="str">
        <f>IFERROR(AVERAGEIFS(#REF!,#REF!,$A:$A),"-")</f>
        <v>-</v>
      </c>
      <c r="G98" s="40" t="str">
        <f>IFERROR(AVERAGEIFS(#REF!,#REF!,A:A),"-")</f>
        <v>-</v>
      </c>
      <c r="H98" s="40" t="str">
        <f>IFERROR(AVERAGEIFS(#REF!,#REF!,$A:$A),"-")</f>
        <v>-</v>
      </c>
      <c r="I98" s="40" t="str">
        <f>IFERROR(AVERAGEIFS(#REF!,#REF!,$A:$A),"-")</f>
        <v>-</v>
      </c>
      <c r="J98" s="40" t="str">
        <f>IFERROR(AVERAGEIFS(#REF!,#REF!,$A:$A),"-")</f>
        <v>-</v>
      </c>
      <c r="K98" s="40" t="str">
        <f>IFERROR(AVERAGEIFS(#REF!,#REF!,$A:$A),"-")</f>
        <v>-</v>
      </c>
      <c r="L98" s="40" t="str">
        <f>IFERROR(AVERAGEIFS(#REF!,#REF!,$A:$A),"-")</f>
        <v>-</v>
      </c>
      <c r="M98" s="40" t="str">
        <f>IFERROR(AVERAGEIFS(#REF!,#REF!,$A:$A),"-")</f>
        <v>-</v>
      </c>
      <c r="N98" s="40" t="str">
        <f>IFERROR(AVERAGEIFS(#REF!,#REF!,$A:$A),"-")</f>
        <v>-</v>
      </c>
      <c r="O98" s="40" t="str">
        <f>IFERROR(AVERAGEIFS(#REF!,#REF!,$A:$A),"-")</f>
        <v>-</v>
      </c>
      <c r="P98" s="40" t="str">
        <f>IFERROR(AVERAGEIFS(#REF!,#REF!,$A:$A),"-")</f>
        <v>-</v>
      </c>
      <c r="Q98" s="40" t="str">
        <f>IFERROR(AVERAGEIFS(#REF!,#REF!,$A:$A),"-")</f>
        <v>-</v>
      </c>
      <c r="R98" s="40" t="str">
        <f>IFERROR(AVERAGEIFS(#REF!,#REF!,$A:$A),"-")</f>
        <v>-</v>
      </c>
      <c r="S98" s="40" t="str">
        <f>IFERROR(AVERAGEIFS(#REF!,#REF!,$A:$A),"-")</f>
        <v>-</v>
      </c>
      <c r="T98" s="40" t="str">
        <f>IFERROR(AVERAGEIFS(#REF!,#REF!,$A:$A),"-")</f>
        <v>-</v>
      </c>
      <c r="U98" s="40" t="str">
        <f>IFERROR(AVERAGEIFS(#REF!,#REF!,$A:$A),"-")</f>
        <v>-</v>
      </c>
      <c r="V98" s="40" t="str">
        <f t="shared" si="2"/>
        <v>-</v>
      </c>
      <c r="W98" s="40" t="str">
        <f t="shared" si="0"/>
        <v>-</v>
      </c>
      <c r="X98" s="40" t="str">
        <f t="shared" si="1"/>
        <v>-</v>
      </c>
      <c r="Y98" s="39"/>
      <c r="Z98" s="39"/>
      <c r="AA98" s="39"/>
      <c r="AB98" s="39"/>
      <c r="AC98" s="39"/>
      <c r="AD98" s="39"/>
      <c r="AE98" s="39"/>
      <c r="AF98" s="39"/>
      <c r="AG98" s="39"/>
      <c r="AH98" s="39"/>
    </row>
    <row r="99" spans="2:34" ht="12.75">
      <c r="B99" s="40" t="str">
        <f>IFERROR(AVERAGEIFS('сентябрь 2024- июнь 2026'!$K:$K,'сентябрь 2024- июнь 2026'!$E:$E,$A:$A),"-")</f>
        <v>-</v>
      </c>
      <c r="C99" s="40" t="str">
        <f>IFERROR(AVERAGEIFS(#REF!,#REF!,$A:$A),"-")</f>
        <v>-</v>
      </c>
      <c r="D99" s="40" t="str">
        <f>IFERROR(AVERAGEIFS(#REF!,#REF!,$A:$A),"-")</f>
        <v>-</v>
      </c>
      <c r="E99" s="40" t="str">
        <f>IFERROR(AVERAGEIFS(#REF!,#REF!,$A:$A),"-")</f>
        <v>-</v>
      </c>
      <c r="F99" s="40" t="str">
        <f>IFERROR(AVERAGEIFS(#REF!,#REF!,$A:$A),"-")</f>
        <v>-</v>
      </c>
      <c r="G99" s="40" t="str">
        <f>IFERROR(AVERAGEIFS(#REF!,#REF!,A:A),"-")</f>
        <v>-</v>
      </c>
      <c r="H99" s="40" t="str">
        <f>IFERROR(AVERAGEIFS(#REF!,#REF!,$A:$A),"-")</f>
        <v>-</v>
      </c>
      <c r="I99" s="40" t="str">
        <f>IFERROR(AVERAGEIFS(#REF!,#REF!,$A:$A),"-")</f>
        <v>-</v>
      </c>
      <c r="J99" s="40" t="str">
        <f>IFERROR(AVERAGEIFS(#REF!,#REF!,$A:$A),"-")</f>
        <v>-</v>
      </c>
      <c r="K99" s="40" t="str">
        <f>IFERROR(AVERAGEIFS(#REF!,#REF!,$A:$A),"-")</f>
        <v>-</v>
      </c>
      <c r="L99" s="40" t="str">
        <f>IFERROR(AVERAGEIFS(#REF!,#REF!,$A:$A),"-")</f>
        <v>-</v>
      </c>
      <c r="M99" s="40" t="str">
        <f>IFERROR(AVERAGEIFS(#REF!,#REF!,$A:$A),"-")</f>
        <v>-</v>
      </c>
      <c r="N99" s="40" t="str">
        <f>IFERROR(AVERAGEIFS(#REF!,#REF!,$A:$A),"-")</f>
        <v>-</v>
      </c>
      <c r="O99" s="40" t="str">
        <f>IFERROR(AVERAGEIFS(#REF!,#REF!,$A:$A),"-")</f>
        <v>-</v>
      </c>
      <c r="P99" s="40" t="str">
        <f>IFERROR(AVERAGEIFS(#REF!,#REF!,$A:$A),"-")</f>
        <v>-</v>
      </c>
      <c r="Q99" s="40" t="str">
        <f>IFERROR(AVERAGEIFS(#REF!,#REF!,$A:$A),"-")</f>
        <v>-</v>
      </c>
      <c r="R99" s="40" t="str">
        <f>IFERROR(AVERAGEIFS(#REF!,#REF!,$A:$A),"-")</f>
        <v>-</v>
      </c>
      <c r="S99" s="40" t="str">
        <f>IFERROR(AVERAGEIFS(#REF!,#REF!,$A:$A),"-")</f>
        <v>-</v>
      </c>
      <c r="T99" s="40" t="str">
        <f>IFERROR(AVERAGEIFS(#REF!,#REF!,$A:$A),"-")</f>
        <v>-</v>
      </c>
      <c r="U99" s="40" t="str">
        <f>IFERROR(AVERAGEIFS(#REF!,#REF!,$A:$A),"-")</f>
        <v>-</v>
      </c>
      <c r="V99" s="40" t="str">
        <f t="shared" si="2"/>
        <v>-</v>
      </c>
      <c r="W99" s="40" t="str">
        <f t="shared" si="0"/>
        <v>-</v>
      </c>
      <c r="X99" s="40" t="str">
        <f t="shared" si="1"/>
        <v>-</v>
      </c>
      <c r="Y99" s="39"/>
      <c r="Z99" s="39"/>
      <c r="AA99" s="39"/>
      <c r="AB99" s="39"/>
      <c r="AC99" s="39"/>
      <c r="AD99" s="39"/>
      <c r="AE99" s="39"/>
      <c r="AF99" s="39"/>
      <c r="AG99" s="39"/>
      <c r="AH99" s="39"/>
    </row>
    <row r="100" spans="2:34" ht="12.75">
      <c r="B100" s="40" t="str">
        <f>IFERROR(AVERAGEIFS('сентябрь 2024- июнь 2026'!$K:$K,'сентябрь 2024- июнь 2026'!$E:$E,$A:$A),"-")</f>
        <v>-</v>
      </c>
      <c r="C100" s="40" t="str">
        <f>IFERROR(AVERAGEIFS(#REF!,#REF!,$A:$A),"-")</f>
        <v>-</v>
      </c>
      <c r="D100" s="40" t="str">
        <f>IFERROR(AVERAGEIFS(#REF!,#REF!,$A:$A),"-")</f>
        <v>-</v>
      </c>
      <c r="E100" s="40" t="str">
        <f>IFERROR(AVERAGEIFS(#REF!,#REF!,$A:$A),"-")</f>
        <v>-</v>
      </c>
      <c r="F100" s="40" t="str">
        <f>IFERROR(AVERAGEIFS(#REF!,#REF!,$A:$A),"-")</f>
        <v>-</v>
      </c>
      <c r="G100" s="40" t="str">
        <f>IFERROR(AVERAGEIFS(#REF!,#REF!,A:A),"-")</f>
        <v>-</v>
      </c>
      <c r="H100" s="40" t="str">
        <f>IFERROR(AVERAGEIFS(#REF!,#REF!,$A:$A),"-")</f>
        <v>-</v>
      </c>
      <c r="I100" s="40" t="str">
        <f>IFERROR(AVERAGEIFS(#REF!,#REF!,$A:$A),"-")</f>
        <v>-</v>
      </c>
      <c r="J100" s="40" t="str">
        <f>IFERROR(AVERAGEIFS(#REF!,#REF!,$A:$A),"-")</f>
        <v>-</v>
      </c>
      <c r="K100" s="40" t="str">
        <f>IFERROR(AVERAGEIFS(#REF!,#REF!,$A:$A),"-")</f>
        <v>-</v>
      </c>
      <c r="L100" s="40" t="str">
        <f>IFERROR(AVERAGEIFS(#REF!,#REF!,$A:$A),"-")</f>
        <v>-</v>
      </c>
      <c r="M100" s="40" t="str">
        <f>IFERROR(AVERAGEIFS(#REF!,#REF!,$A:$A),"-")</f>
        <v>-</v>
      </c>
      <c r="N100" s="40" t="str">
        <f>IFERROR(AVERAGEIFS(#REF!,#REF!,$A:$A),"-")</f>
        <v>-</v>
      </c>
      <c r="O100" s="40" t="str">
        <f>IFERROR(AVERAGEIFS(#REF!,#REF!,$A:$A),"-")</f>
        <v>-</v>
      </c>
      <c r="P100" s="40" t="str">
        <f>IFERROR(AVERAGEIFS(#REF!,#REF!,$A:$A),"-")</f>
        <v>-</v>
      </c>
      <c r="Q100" s="40" t="str">
        <f>IFERROR(AVERAGEIFS(#REF!,#REF!,$A:$A),"-")</f>
        <v>-</v>
      </c>
      <c r="R100" s="40" t="str">
        <f>IFERROR(AVERAGEIFS(#REF!,#REF!,$A:$A),"-")</f>
        <v>-</v>
      </c>
      <c r="S100" s="40" t="str">
        <f>IFERROR(AVERAGEIFS(#REF!,#REF!,$A:$A),"-")</f>
        <v>-</v>
      </c>
      <c r="T100" s="40" t="str">
        <f>IFERROR(AVERAGEIFS(#REF!,#REF!,$A:$A),"-")</f>
        <v>-</v>
      </c>
      <c r="U100" s="40" t="str">
        <f>IFERROR(AVERAGEIFS(#REF!,#REF!,$A:$A),"-")</f>
        <v>-</v>
      </c>
      <c r="V100" s="40" t="str">
        <f t="shared" si="2"/>
        <v>-</v>
      </c>
      <c r="W100" s="40" t="str">
        <f t="shared" si="0"/>
        <v>-</v>
      </c>
      <c r="X100" s="40" t="str">
        <f t="shared" si="1"/>
        <v>-</v>
      </c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</row>
    <row r="101" spans="2:34" ht="12.75">
      <c r="B101" s="40" t="str">
        <f>IFERROR(AVERAGEIFS('сентябрь 2024- июнь 2026'!$K:$K,'сентябрь 2024- июнь 2026'!$E:$E,$A:$A),"-")</f>
        <v>-</v>
      </c>
      <c r="C101" s="40" t="str">
        <f>IFERROR(AVERAGEIFS(#REF!,#REF!,$A:$A),"-")</f>
        <v>-</v>
      </c>
      <c r="D101" s="40" t="str">
        <f>IFERROR(AVERAGEIFS(#REF!,#REF!,$A:$A),"-")</f>
        <v>-</v>
      </c>
      <c r="E101" s="40" t="str">
        <f>IFERROR(AVERAGEIFS(#REF!,#REF!,$A:$A),"-")</f>
        <v>-</v>
      </c>
      <c r="F101" s="40" t="str">
        <f>IFERROR(AVERAGEIFS(#REF!,#REF!,$A:$A),"-")</f>
        <v>-</v>
      </c>
      <c r="G101" s="40" t="str">
        <f>IFERROR(AVERAGEIFS(#REF!,#REF!,A:A),"-")</f>
        <v>-</v>
      </c>
      <c r="H101" s="40" t="str">
        <f>IFERROR(AVERAGEIFS(#REF!,#REF!,$A:$A),"-")</f>
        <v>-</v>
      </c>
      <c r="I101" s="40" t="str">
        <f>IFERROR(AVERAGEIFS(#REF!,#REF!,$A:$A),"-")</f>
        <v>-</v>
      </c>
      <c r="J101" s="40" t="str">
        <f>IFERROR(AVERAGEIFS(#REF!,#REF!,$A:$A),"-")</f>
        <v>-</v>
      </c>
      <c r="K101" s="40" t="str">
        <f>IFERROR(AVERAGEIFS(#REF!,#REF!,$A:$A),"-")</f>
        <v>-</v>
      </c>
      <c r="L101" s="40" t="str">
        <f>IFERROR(AVERAGEIFS(#REF!,#REF!,$A:$A),"-")</f>
        <v>-</v>
      </c>
      <c r="M101" s="40" t="str">
        <f>IFERROR(AVERAGEIFS(#REF!,#REF!,$A:$A),"-")</f>
        <v>-</v>
      </c>
      <c r="N101" s="40" t="str">
        <f>IFERROR(AVERAGEIFS(#REF!,#REF!,$A:$A),"-")</f>
        <v>-</v>
      </c>
      <c r="O101" s="40" t="str">
        <f>IFERROR(AVERAGEIFS(#REF!,#REF!,$A:$A),"-")</f>
        <v>-</v>
      </c>
      <c r="P101" s="40" t="str">
        <f>IFERROR(AVERAGEIFS(#REF!,#REF!,$A:$A),"-")</f>
        <v>-</v>
      </c>
      <c r="Q101" s="40" t="str">
        <f>IFERROR(AVERAGEIFS(#REF!,#REF!,$A:$A),"-")</f>
        <v>-</v>
      </c>
      <c r="R101" s="40" t="str">
        <f>IFERROR(AVERAGEIFS(#REF!,#REF!,$A:$A),"-")</f>
        <v>-</v>
      </c>
      <c r="S101" s="40" t="str">
        <f>IFERROR(AVERAGEIFS(#REF!,#REF!,$A:$A),"-")</f>
        <v>-</v>
      </c>
      <c r="T101" s="40" t="str">
        <f>IFERROR(AVERAGEIFS(#REF!,#REF!,$A:$A),"-")</f>
        <v>-</v>
      </c>
      <c r="U101" s="40" t="str">
        <f>IFERROR(AVERAGEIFS(#REF!,#REF!,$A:$A),"-")</f>
        <v>-</v>
      </c>
      <c r="V101" s="40" t="str">
        <f t="shared" si="2"/>
        <v>-</v>
      </c>
      <c r="W101" s="40" t="str">
        <f t="shared" si="0"/>
        <v>-</v>
      </c>
      <c r="X101" s="40" t="str">
        <f t="shared" si="1"/>
        <v>-</v>
      </c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</row>
    <row r="102" spans="2:34" ht="12.75">
      <c r="B102" s="40" t="str">
        <f>IFERROR(AVERAGEIFS('сентябрь 2024- июнь 2026'!$K:$K,'сентябрь 2024- июнь 2026'!$E:$E,$A:$A),"-")</f>
        <v>-</v>
      </c>
      <c r="C102" s="40" t="str">
        <f>IFERROR(AVERAGEIFS(#REF!,#REF!,$A:$A),"-")</f>
        <v>-</v>
      </c>
      <c r="D102" s="40" t="str">
        <f>IFERROR(AVERAGEIFS(#REF!,#REF!,$A:$A),"-")</f>
        <v>-</v>
      </c>
      <c r="E102" s="40" t="str">
        <f>IFERROR(AVERAGEIFS(#REF!,#REF!,$A:$A),"-")</f>
        <v>-</v>
      </c>
      <c r="F102" s="40" t="str">
        <f>IFERROR(AVERAGEIFS(#REF!,#REF!,$A:$A),"-")</f>
        <v>-</v>
      </c>
      <c r="G102" s="40" t="str">
        <f>IFERROR(AVERAGEIFS(#REF!,#REF!,A:A),"-")</f>
        <v>-</v>
      </c>
      <c r="H102" s="40" t="str">
        <f>IFERROR(AVERAGEIFS(#REF!,#REF!,$A:$A),"-")</f>
        <v>-</v>
      </c>
      <c r="I102" s="40" t="str">
        <f>IFERROR(AVERAGEIFS(#REF!,#REF!,$A:$A),"-")</f>
        <v>-</v>
      </c>
      <c r="J102" s="40" t="str">
        <f>IFERROR(AVERAGEIFS(#REF!,#REF!,$A:$A),"-")</f>
        <v>-</v>
      </c>
      <c r="K102" s="40" t="str">
        <f>IFERROR(AVERAGEIFS(#REF!,#REF!,$A:$A),"-")</f>
        <v>-</v>
      </c>
      <c r="L102" s="40" t="str">
        <f>IFERROR(AVERAGEIFS(#REF!,#REF!,$A:$A),"-")</f>
        <v>-</v>
      </c>
      <c r="M102" s="40" t="str">
        <f>IFERROR(AVERAGEIFS(#REF!,#REF!,$A:$A),"-")</f>
        <v>-</v>
      </c>
      <c r="N102" s="40" t="str">
        <f>IFERROR(AVERAGEIFS(#REF!,#REF!,$A:$A),"-")</f>
        <v>-</v>
      </c>
      <c r="O102" s="40" t="str">
        <f>IFERROR(AVERAGEIFS(#REF!,#REF!,$A:$A),"-")</f>
        <v>-</v>
      </c>
      <c r="P102" s="40" t="str">
        <f>IFERROR(AVERAGEIFS(#REF!,#REF!,$A:$A),"-")</f>
        <v>-</v>
      </c>
      <c r="Q102" s="40" t="str">
        <f>IFERROR(AVERAGEIFS(#REF!,#REF!,$A:$A),"-")</f>
        <v>-</v>
      </c>
      <c r="R102" s="40" t="str">
        <f>IFERROR(AVERAGEIFS(#REF!,#REF!,$A:$A),"-")</f>
        <v>-</v>
      </c>
      <c r="S102" s="40" t="str">
        <f>IFERROR(AVERAGEIFS(#REF!,#REF!,$A:$A),"-")</f>
        <v>-</v>
      </c>
      <c r="T102" s="40" t="str">
        <f>IFERROR(AVERAGEIFS(#REF!,#REF!,$A:$A),"-")</f>
        <v>-</v>
      </c>
      <c r="U102" s="40" t="str">
        <f>IFERROR(AVERAGEIFS(#REF!,#REF!,$A:$A),"-")</f>
        <v>-</v>
      </c>
      <c r="V102" s="40" t="str">
        <f t="shared" si="2"/>
        <v>-</v>
      </c>
      <c r="W102" s="40" t="str">
        <f t="shared" si="0"/>
        <v>-</v>
      </c>
      <c r="X102" s="40" t="str">
        <f t="shared" si="1"/>
        <v>-</v>
      </c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</row>
    <row r="103" spans="2:34" ht="12.75">
      <c r="B103" s="40" t="str">
        <f>IFERROR(AVERAGEIFS('сентябрь 2024- июнь 2026'!$K:$K,'сентябрь 2024- июнь 2026'!$E:$E,$A:$A),"-")</f>
        <v>-</v>
      </c>
      <c r="C103" s="40" t="str">
        <f>IFERROR(AVERAGEIFS(#REF!,#REF!,$A:$A),"-")</f>
        <v>-</v>
      </c>
      <c r="D103" s="40" t="str">
        <f>IFERROR(AVERAGEIFS(#REF!,#REF!,$A:$A),"-")</f>
        <v>-</v>
      </c>
      <c r="E103" s="40" t="str">
        <f>IFERROR(AVERAGEIFS(#REF!,#REF!,$A:$A),"-")</f>
        <v>-</v>
      </c>
      <c r="F103" s="40" t="str">
        <f>IFERROR(AVERAGEIFS(#REF!,#REF!,$A:$A),"-")</f>
        <v>-</v>
      </c>
      <c r="G103" s="40" t="str">
        <f>IFERROR(AVERAGEIFS(#REF!,#REF!,A:A),"-")</f>
        <v>-</v>
      </c>
      <c r="H103" s="40" t="str">
        <f>IFERROR(AVERAGEIFS(#REF!,#REF!,$A:$A),"-")</f>
        <v>-</v>
      </c>
      <c r="I103" s="40" t="str">
        <f>IFERROR(AVERAGEIFS(#REF!,#REF!,$A:$A),"-")</f>
        <v>-</v>
      </c>
      <c r="J103" s="40" t="str">
        <f>IFERROR(AVERAGEIFS(#REF!,#REF!,$A:$A),"-")</f>
        <v>-</v>
      </c>
      <c r="K103" s="40" t="str">
        <f>IFERROR(AVERAGEIFS(#REF!,#REF!,$A:$A),"-")</f>
        <v>-</v>
      </c>
      <c r="L103" s="40" t="str">
        <f>IFERROR(AVERAGEIFS(#REF!,#REF!,$A:$A),"-")</f>
        <v>-</v>
      </c>
      <c r="M103" s="40" t="str">
        <f>IFERROR(AVERAGEIFS(#REF!,#REF!,$A:$A),"-")</f>
        <v>-</v>
      </c>
      <c r="N103" s="40" t="str">
        <f>IFERROR(AVERAGEIFS(#REF!,#REF!,$A:$A),"-")</f>
        <v>-</v>
      </c>
      <c r="O103" s="40" t="str">
        <f>IFERROR(AVERAGEIFS(#REF!,#REF!,$A:$A),"-")</f>
        <v>-</v>
      </c>
      <c r="P103" s="40" t="str">
        <f>IFERROR(AVERAGEIFS(#REF!,#REF!,$A:$A),"-")</f>
        <v>-</v>
      </c>
      <c r="Q103" s="40" t="str">
        <f>IFERROR(AVERAGEIFS(#REF!,#REF!,$A:$A),"-")</f>
        <v>-</v>
      </c>
      <c r="R103" s="40" t="str">
        <f>IFERROR(AVERAGEIFS(#REF!,#REF!,$A:$A),"-")</f>
        <v>-</v>
      </c>
      <c r="S103" s="40" t="str">
        <f>IFERROR(AVERAGEIFS(#REF!,#REF!,$A:$A),"-")</f>
        <v>-</v>
      </c>
      <c r="T103" s="40" t="str">
        <f>IFERROR(AVERAGEIFS(#REF!,#REF!,$A:$A),"-")</f>
        <v>-</v>
      </c>
      <c r="U103" s="40" t="str">
        <f>IFERROR(AVERAGEIFS(#REF!,#REF!,$A:$A),"-")</f>
        <v>-</v>
      </c>
      <c r="V103" s="40" t="str">
        <f t="shared" si="2"/>
        <v>-</v>
      </c>
      <c r="W103" s="40" t="str">
        <f t="shared" si="0"/>
        <v>-</v>
      </c>
      <c r="X103" s="40" t="str">
        <f t="shared" si="1"/>
        <v>-</v>
      </c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</row>
    <row r="104" spans="2:34" ht="12.75">
      <c r="B104" s="40" t="str">
        <f>IFERROR(AVERAGEIFS('сентябрь 2024- июнь 2026'!$K:$K,'сентябрь 2024- июнь 2026'!$E:$E,$A:$A),"-")</f>
        <v>-</v>
      </c>
      <c r="C104" s="40" t="str">
        <f>IFERROR(AVERAGEIFS(#REF!,#REF!,$A:$A),"-")</f>
        <v>-</v>
      </c>
      <c r="D104" s="40" t="str">
        <f>IFERROR(AVERAGEIFS(#REF!,#REF!,$A:$A),"-")</f>
        <v>-</v>
      </c>
      <c r="E104" s="40" t="str">
        <f>IFERROR(AVERAGEIFS(#REF!,#REF!,$A:$A),"-")</f>
        <v>-</v>
      </c>
      <c r="F104" s="40" t="str">
        <f>IFERROR(AVERAGEIFS(#REF!,#REF!,$A:$A),"-")</f>
        <v>-</v>
      </c>
      <c r="G104" s="40" t="str">
        <f>IFERROR(AVERAGEIFS(#REF!,#REF!,A:A),"-")</f>
        <v>-</v>
      </c>
      <c r="H104" s="40" t="str">
        <f>IFERROR(AVERAGEIFS(#REF!,#REF!,$A:$A),"-")</f>
        <v>-</v>
      </c>
      <c r="I104" s="40" t="str">
        <f>IFERROR(AVERAGEIFS(#REF!,#REF!,$A:$A),"-")</f>
        <v>-</v>
      </c>
      <c r="J104" s="40" t="str">
        <f>IFERROR(AVERAGEIFS(#REF!,#REF!,$A:$A),"-")</f>
        <v>-</v>
      </c>
      <c r="K104" s="40" t="str">
        <f>IFERROR(AVERAGEIFS(#REF!,#REF!,$A:$A),"-")</f>
        <v>-</v>
      </c>
      <c r="L104" s="40" t="str">
        <f>IFERROR(AVERAGEIFS(#REF!,#REF!,$A:$A),"-")</f>
        <v>-</v>
      </c>
      <c r="M104" s="40" t="str">
        <f>IFERROR(AVERAGEIFS(#REF!,#REF!,$A:$A),"-")</f>
        <v>-</v>
      </c>
      <c r="N104" s="40" t="str">
        <f>IFERROR(AVERAGEIFS(#REF!,#REF!,$A:$A),"-")</f>
        <v>-</v>
      </c>
      <c r="O104" s="40" t="str">
        <f>IFERROR(AVERAGEIFS(#REF!,#REF!,$A:$A),"-")</f>
        <v>-</v>
      </c>
      <c r="P104" s="40" t="str">
        <f>IFERROR(AVERAGEIFS(#REF!,#REF!,$A:$A),"-")</f>
        <v>-</v>
      </c>
      <c r="Q104" s="40" t="str">
        <f>IFERROR(AVERAGEIFS(#REF!,#REF!,$A:$A),"-")</f>
        <v>-</v>
      </c>
      <c r="R104" s="40" t="str">
        <f>IFERROR(AVERAGEIFS(#REF!,#REF!,$A:$A),"-")</f>
        <v>-</v>
      </c>
      <c r="S104" s="40" t="str">
        <f>IFERROR(AVERAGEIFS(#REF!,#REF!,$A:$A),"-")</f>
        <v>-</v>
      </c>
      <c r="T104" s="40" t="str">
        <f>IFERROR(AVERAGEIFS(#REF!,#REF!,$A:$A),"-")</f>
        <v>-</v>
      </c>
      <c r="U104" s="40" t="str">
        <f>IFERROR(AVERAGEIFS(#REF!,#REF!,$A:$A),"-")</f>
        <v>-</v>
      </c>
      <c r="V104" s="40" t="str">
        <f t="shared" si="2"/>
        <v>-</v>
      </c>
      <c r="W104" s="40" t="str">
        <f t="shared" si="0"/>
        <v>-</v>
      </c>
      <c r="X104" s="40" t="str">
        <f t="shared" si="1"/>
        <v>-</v>
      </c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</row>
    <row r="105" spans="2:34" ht="12.75">
      <c r="B105" s="40" t="str">
        <f>IFERROR(AVERAGEIFS('сентябрь 2024- июнь 2026'!$K:$K,'сентябрь 2024- июнь 2026'!$E:$E,$A:$A),"-")</f>
        <v>-</v>
      </c>
      <c r="C105" s="40" t="str">
        <f>IFERROR(AVERAGEIFS(#REF!,#REF!,$A:$A),"-")</f>
        <v>-</v>
      </c>
      <c r="D105" s="40" t="str">
        <f>IFERROR(AVERAGEIFS(#REF!,#REF!,$A:$A),"-")</f>
        <v>-</v>
      </c>
      <c r="E105" s="40" t="str">
        <f>IFERROR(AVERAGEIFS(#REF!,#REF!,$A:$A),"-")</f>
        <v>-</v>
      </c>
      <c r="F105" s="40" t="str">
        <f>IFERROR(AVERAGEIFS(#REF!,#REF!,$A:$A),"-")</f>
        <v>-</v>
      </c>
      <c r="G105" s="40" t="str">
        <f>IFERROR(AVERAGEIFS(#REF!,#REF!,A:A),"-")</f>
        <v>-</v>
      </c>
      <c r="H105" s="40" t="str">
        <f>IFERROR(AVERAGEIFS(#REF!,#REF!,$A:$A),"-")</f>
        <v>-</v>
      </c>
      <c r="I105" s="40" t="str">
        <f>IFERROR(AVERAGEIFS(#REF!,#REF!,$A:$A),"-")</f>
        <v>-</v>
      </c>
      <c r="J105" s="40" t="str">
        <f>IFERROR(AVERAGEIFS(#REF!,#REF!,$A:$A),"-")</f>
        <v>-</v>
      </c>
      <c r="K105" s="40" t="str">
        <f>IFERROR(AVERAGEIFS(#REF!,#REF!,$A:$A),"-")</f>
        <v>-</v>
      </c>
      <c r="L105" s="40" t="str">
        <f>IFERROR(AVERAGEIFS(#REF!,#REF!,$A:$A),"-")</f>
        <v>-</v>
      </c>
      <c r="M105" s="40" t="str">
        <f>IFERROR(AVERAGEIFS(#REF!,#REF!,$A:$A),"-")</f>
        <v>-</v>
      </c>
      <c r="N105" s="40" t="str">
        <f>IFERROR(AVERAGEIFS(#REF!,#REF!,$A:$A),"-")</f>
        <v>-</v>
      </c>
      <c r="O105" s="40" t="str">
        <f>IFERROR(AVERAGEIFS(#REF!,#REF!,$A:$A),"-")</f>
        <v>-</v>
      </c>
      <c r="P105" s="40" t="str">
        <f>IFERROR(AVERAGEIFS(#REF!,#REF!,$A:$A),"-")</f>
        <v>-</v>
      </c>
      <c r="Q105" s="40" t="str">
        <f>IFERROR(AVERAGEIFS(#REF!,#REF!,$A:$A),"-")</f>
        <v>-</v>
      </c>
      <c r="R105" s="40" t="str">
        <f>IFERROR(AVERAGEIFS(#REF!,#REF!,$A:$A),"-")</f>
        <v>-</v>
      </c>
      <c r="S105" s="40" t="str">
        <f>IFERROR(AVERAGEIFS(#REF!,#REF!,$A:$A),"-")</f>
        <v>-</v>
      </c>
      <c r="T105" s="40" t="str">
        <f>IFERROR(AVERAGEIFS(#REF!,#REF!,$A:$A),"-")</f>
        <v>-</v>
      </c>
      <c r="U105" s="40" t="str">
        <f>IFERROR(AVERAGEIFS(#REF!,#REF!,$A:$A),"-")</f>
        <v>-</v>
      </c>
      <c r="V105" s="40" t="str">
        <f t="shared" si="2"/>
        <v>-</v>
      </c>
      <c r="W105" s="40" t="str">
        <f t="shared" si="0"/>
        <v>-</v>
      </c>
      <c r="X105" s="40" t="str">
        <f t="shared" si="1"/>
        <v>-</v>
      </c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</row>
    <row r="106" spans="2:34" ht="12.75">
      <c r="B106" s="40" t="str">
        <f>IFERROR(AVERAGEIFS('сентябрь 2024- июнь 2026'!$K:$K,'сентябрь 2024- июнь 2026'!$E:$E,$A:$A),"-")</f>
        <v>-</v>
      </c>
      <c r="C106" s="40" t="str">
        <f>IFERROR(AVERAGEIFS(#REF!,#REF!,$A:$A),"-")</f>
        <v>-</v>
      </c>
      <c r="D106" s="40" t="str">
        <f>IFERROR(AVERAGEIFS(#REF!,#REF!,$A:$A),"-")</f>
        <v>-</v>
      </c>
      <c r="E106" s="40" t="str">
        <f>IFERROR(AVERAGEIFS(#REF!,#REF!,$A:$A),"-")</f>
        <v>-</v>
      </c>
      <c r="F106" s="40" t="str">
        <f>IFERROR(AVERAGEIFS(#REF!,#REF!,$A:$A),"-")</f>
        <v>-</v>
      </c>
      <c r="G106" s="40" t="str">
        <f>IFERROR(AVERAGEIFS(#REF!,#REF!,A:A),"-")</f>
        <v>-</v>
      </c>
      <c r="H106" s="40" t="str">
        <f>IFERROR(AVERAGEIFS(#REF!,#REF!,$A:$A),"-")</f>
        <v>-</v>
      </c>
      <c r="I106" s="40" t="str">
        <f>IFERROR(AVERAGEIFS(#REF!,#REF!,$A:$A),"-")</f>
        <v>-</v>
      </c>
      <c r="J106" s="40" t="str">
        <f>IFERROR(AVERAGEIFS(#REF!,#REF!,$A:$A),"-")</f>
        <v>-</v>
      </c>
      <c r="K106" s="40" t="str">
        <f>IFERROR(AVERAGEIFS(#REF!,#REF!,$A:$A),"-")</f>
        <v>-</v>
      </c>
      <c r="L106" s="40" t="str">
        <f>IFERROR(AVERAGEIFS(#REF!,#REF!,$A:$A),"-")</f>
        <v>-</v>
      </c>
      <c r="M106" s="40" t="str">
        <f>IFERROR(AVERAGEIFS(#REF!,#REF!,$A:$A),"-")</f>
        <v>-</v>
      </c>
      <c r="N106" s="40" t="str">
        <f>IFERROR(AVERAGEIFS(#REF!,#REF!,$A:$A),"-")</f>
        <v>-</v>
      </c>
      <c r="O106" s="40" t="str">
        <f>IFERROR(AVERAGEIFS(#REF!,#REF!,$A:$A),"-")</f>
        <v>-</v>
      </c>
      <c r="P106" s="40" t="str">
        <f>IFERROR(AVERAGEIFS(#REF!,#REF!,$A:$A),"-")</f>
        <v>-</v>
      </c>
      <c r="Q106" s="40" t="str">
        <f>IFERROR(AVERAGEIFS(#REF!,#REF!,$A:$A),"-")</f>
        <v>-</v>
      </c>
      <c r="R106" s="40" t="str">
        <f>IFERROR(AVERAGEIFS(#REF!,#REF!,$A:$A),"-")</f>
        <v>-</v>
      </c>
      <c r="S106" s="40" t="str">
        <f>IFERROR(AVERAGEIFS(#REF!,#REF!,$A:$A),"-")</f>
        <v>-</v>
      </c>
      <c r="T106" s="40" t="str">
        <f>IFERROR(AVERAGEIFS(#REF!,#REF!,$A:$A),"-")</f>
        <v>-</v>
      </c>
      <c r="U106" s="40" t="str">
        <f>IFERROR(AVERAGEIFS(#REF!,#REF!,$A:$A),"-")</f>
        <v>-</v>
      </c>
      <c r="V106" s="40" t="str">
        <f t="shared" si="2"/>
        <v>-</v>
      </c>
      <c r="W106" s="40" t="str">
        <f t="shared" si="0"/>
        <v>-</v>
      </c>
      <c r="X106" s="40" t="str">
        <f t="shared" si="1"/>
        <v>-</v>
      </c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</row>
    <row r="107" spans="2:34" ht="12.75">
      <c r="B107" s="40" t="str">
        <f>IFERROR(AVERAGEIFS('сентябрь 2024- июнь 2026'!$K:$K,'сентябрь 2024- июнь 2026'!$E:$E,$A:$A),"-")</f>
        <v>-</v>
      </c>
      <c r="C107" s="40" t="str">
        <f>IFERROR(AVERAGEIFS(#REF!,#REF!,$A:$A),"-")</f>
        <v>-</v>
      </c>
      <c r="D107" s="40" t="str">
        <f>IFERROR(AVERAGEIFS(#REF!,#REF!,$A:$A),"-")</f>
        <v>-</v>
      </c>
      <c r="E107" s="40" t="str">
        <f>IFERROR(AVERAGEIFS(#REF!,#REF!,$A:$A),"-")</f>
        <v>-</v>
      </c>
      <c r="F107" s="40" t="str">
        <f>IFERROR(AVERAGEIFS(#REF!,#REF!,$A:$A),"-")</f>
        <v>-</v>
      </c>
      <c r="G107" s="40" t="str">
        <f>IFERROR(AVERAGEIFS(#REF!,#REF!,A:A),"-")</f>
        <v>-</v>
      </c>
      <c r="H107" s="40" t="str">
        <f>IFERROR(AVERAGEIFS(#REF!,#REF!,$A:$A),"-")</f>
        <v>-</v>
      </c>
      <c r="I107" s="40" t="str">
        <f>IFERROR(AVERAGEIFS(#REF!,#REF!,$A:$A),"-")</f>
        <v>-</v>
      </c>
      <c r="J107" s="40" t="str">
        <f>IFERROR(AVERAGEIFS(#REF!,#REF!,$A:$A),"-")</f>
        <v>-</v>
      </c>
      <c r="K107" s="40" t="str">
        <f>IFERROR(AVERAGEIFS(#REF!,#REF!,$A:$A),"-")</f>
        <v>-</v>
      </c>
      <c r="L107" s="40" t="str">
        <f>IFERROR(AVERAGEIFS(#REF!,#REF!,$A:$A),"-")</f>
        <v>-</v>
      </c>
      <c r="M107" s="40" t="str">
        <f>IFERROR(AVERAGEIFS(#REF!,#REF!,$A:$A),"-")</f>
        <v>-</v>
      </c>
      <c r="N107" s="40" t="str">
        <f>IFERROR(AVERAGEIFS(#REF!,#REF!,$A:$A),"-")</f>
        <v>-</v>
      </c>
      <c r="O107" s="40" t="str">
        <f>IFERROR(AVERAGEIFS(#REF!,#REF!,$A:$A),"-")</f>
        <v>-</v>
      </c>
      <c r="P107" s="40" t="str">
        <f>IFERROR(AVERAGEIFS(#REF!,#REF!,$A:$A),"-")</f>
        <v>-</v>
      </c>
      <c r="Q107" s="40" t="str">
        <f>IFERROR(AVERAGEIFS(#REF!,#REF!,$A:$A),"-")</f>
        <v>-</v>
      </c>
      <c r="R107" s="40" t="str">
        <f>IFERROR(AVERAGEIFS(#REF!,#REF!,$A:$A),"-")</f>
        <v>-</v>
      </c>
      <c r="S107" s="40" t="str">
        <f>IFERROR(AVERAGEIFS(#REF!,#REF!,$A:$A),"-")</f>
        <v>-</v>
      </c>
      <c r="T107" s="40" t="str">
        <f>IFERROR(AVERAGEIFS(#REF!,#REF!,$A:$A),"-")</f>
        <v>-</v>
      </c>
      <c r="U107" s="40" t="str">
        <f>IFERROR(AVERAGEIFS(#REF!,#REF!,$A:$A),"-")</f>
        <v>-</v>
      </c>
      <c r="V107" s="40" t="str">
        <f t="shared" si="2"/>
        <v>-</v>
      </c>
      <c r="W107" s="40" t="str">
        <f t="shared" si="0"/>
        <v>-</v>
      </c>
      <c r="X107" s="40" t="str">
        <f t="shared" si="1"/>
        <v>-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</row>
    <row r="108" spans="2:34" ht="12.75">
      <c r="B108" s="40" t="str">
        <f>IFERROR(AVERAGEIFS('сентябрь 2024- июнь 2026'!$K:$K,'сентябрь 2024- июнь 2026'!$E:$E,$A:$A),"-")</f>
        <v>-</v>
      </c>
      <c r="C108" s="40" t="str">
        <f>IFERROR(AVERAGEIFS(#REF!,#REF!,$A:$A),"-")</f>
        <v>-</v>
      </c>
      <c r="D108" s="40" t="str">
        <f>IFERROR(AVERAGEIFS(#REF!,#REF!,$A:$A),"-")</f>
        <v>-</v>
      </c>
      <c r="E108" s="40" t="str">
        <f>IFERROR(AVERAGEIFS(#REF!,#REF!,$A:$A),"-")</f>
        <v>-</v>
      </c>
      <c r="F108" s="40" t="str">
        <f>IFERROR(AVERAGEIFS(#REF!,#REF!,$A:$A),"-")</f>
        <v>-</v>
      </c>
      <c r="G108" s="40" t="str">
        <f>IFERROR(AVERAGEIFS(#REF!,#REF!,A:A),"-")</f>
        <v>-</v>
      </c>
      <c r="H108" s="40" t="str">
        <f>IFERROR(AVERAGEIFS(#REF!,#REF!,$A:$A),"-")</f>
        <v>-</v>
      </c>
      <c r="I108" s="40" t="str">
        <f>IFERROR(AVERAGEIFS(#REF!,#REF!,$A:$A),"-")</f>
        <v>-</v>
      </c>
      <c r="J108" s="40" t="str">
        <f>IFERROR(AVERAGEIFS(#REF!,#REF!,$A:$A),"-")</f>
        <v>-</v>
      </c>
      <c r="K108" s="40" t="str">
        <f>IFERROR(AVERAGEIFS(#REF!,#REF!,$A:$A),"-")</f>
        <v>-</v>
      </c>
      <c r="L108" s="40" t="str">
        <f>IFERROR(AVERAGEIFS(#REF!,#REF!,$A:$A),"-")</f>
        <v>-</v>
      </c>
      <c r="M108" s="40" t="str">
        <f>IFERROR(AVERAGEIFS(#REF!,#REF!,$A:$A),"-")</f>
        <v>-</v>
      </c>
      <c r="N108" s="40" t="str">
        <f>IFERROR(AVERAGEIFS(#REF!,#REF!,$A:$A),"-")</f>
        <v>-</v>
      </c>
      <c r="O108" s="40" t="str">
        <f>IFERROR(AVERAGEIFS(#REF!,#REF!,$A:$A),"-")</f>
        <v>-</v>
      </c>
      <c r="P108" s="40" t="str">
        <f>IFERROR(AVERAGEIFS(#REF!,#REF!,$A:$A),"-")</f>
        <v>-</v>
      </c>
      <c r="Q108" s="40" t="str">
        <f>IFERROR(AVERAGEIFS(#REF!,#REF!,$A:$A),"-")</f>
        <v>-</v>
      </c>
      <c r="R108" s="40" t="str">
        <f>IFERROR(AVERAGEIFS(#REF!,#REF!,$A:$A),"-")</f>
        <v>-</v>
      </c>
      <c r="S108" s="40" t="str">
        <f>IFERROR(AVERAGEIFS(#REF!,#REF!,$A:$A),"-")</f>
        <v>-</v>
      </c>
      <c r="T108" s="40" t="str">
        <f>IFERROR(AVERAGEIFS(#REF!,#REF!,$A:$A),"-")</f>
        <v>-</v>
      </c>
      <c r="U108" s="40" t="str">
        <f>IFERROR(AVERAGEIFS(#REF!,#REF!,$A:$A),"-")</f>
        <v>-</v>
      </c>
      <c r="V108" s="40" t="str">
        <f t="shared" si="2"/>
        <v>-</v>
      </c>
      <c r="W108" s="40" t="str">
        <f t="shared" si="0"/>
        <v>-</v>
      </c>
      <c r="X108" s="40" t="str">
        <f t="shared" si="1"/>
        <v>-</v>
      </c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</row>
    <row r="109" spans="2:34" ht="12.75">
      <c r="B109" s="40" t="str">
        <f>IFERROR(AVERAGEIFS('сентябрь 2024- июнь 2026'!$K:$K,'сентябрь 2024- июнь 2026'!$E:$E,$A:$A),"-")</f>
        <v>-</v>
      </c>
      <c r="C109" s="40" t="str">
        <f>IFERROR(AVERAGEIFS(#REF!,#REF!,$A:$A),"-")</f>
        <v>-</v>
      </c>
      <c r="D109" s="40" t="str">
        <f>IFERROR(AVERAGEIFS(#REF!,#REF!,$A:$A),"-")</f>
        <v>-</v>
      </c>
      <c r="E109" s="40" t="str">
        <f>IFERROR(AVERAGEIFS(#REF!,#REF!,$A:$A),"-")</f>
        <v>-</v>
      </c>
      <c r="F109" s="40" t="str">
        <f>IFERROR(AVERAGEIFS(#REF!,#REF!,$A:$A),"-")</f>
        <v>-</v>
      </c>
      <c r="G109" s="40" t="str">
        <f>IFERROR(AVERAGEIFS(#REF!,#REF!,A:A),"-")</f>
        <v>-</v>
      </c>
      <c r="H109" s="40" t="str">
        <f>IFERROR(AVERAGEIFS(#REF!,#REF!,$A:$A),"-")</f>
        <v>-</v>
      </c>
      <c r="I109" s="40" t="str">
        <f>IFERROR(AVERAGEIFS(#REF!,#REF!,$A:$A),"-")</f>
        <v>-</v>
      </c>
      <c r="J109" s="40" t="str">
        <f>IFERROR(AVERAGEIFS(#REF!,#REF!,$A:$A),"-")</f>
        <v>-</v>
      </c>
      <c r="K109" s="40" t="str">
        <f>IFERROR(AVERAGEIFS(#REF!,#REF!,$A:$A),"-")</f>
        <v>-</v>
      </c>
      <c r="L109" s="40" t="str">
        <f>IFERROR(AVERAGEIFS(#REF!,#REF!,$A:$A),"-")</f>
        <v>-</v>
      </c>
      <c r="M109" s="40" t="str">
        <f>IFERROR(AVERAGEIFS(#REF!,#REF!,$A:$A),"-")</f>
        <v>-</v>
      </c>
      <c r="N109" s="40" t="str">
        <f>IFERROR(AVERAGEIFS(#REF!,#REF!,$A:$A),"-")</f>
        <v>-</v>
      </c>
      <c r="O109" s="40" t="str">
        <f>IFERROR(AVERAGEIFS(#REF!,#REF!,$A:$A),"-")</f>
        <v>-</v>
      </c>
      <c r="P109" s="40" t="str">
        <f>IFERROR(AVERAGEIFS(#REF!,#REF!,$A:$A),"-")</f>
        <v>-</v>
      </c>
      <c r="Q109" s="40" t="str">
        <f>IFERROR(AVERAGEIFS(#REF!,#REF!,$A:$A),"-")</f>
        <v>-</v>
      </c>
      <c r="R109" s="40" t="str">
        <f>IFERROR(AVERAGEIFS(#REF!,#REF!,$A:$A),"-")</f>
        <v>-</v>
      </c>
      <c r="S109" s="40" t="str">
        <f>IFERROR(AVERAGEIFS(#REF!,#REF!,$A:$A),"-")</f>
        <v>-</v>
      </c>
      <c r="T109" s="40" t="str">
        <f>IFERROR(AVERAGEIFS(#REF!,#REF!,$A:$A),"-")</f>
        <v>-</v>
      </c>
      <c r="U109" s="40" t="str">
        <f>IFERROR(AVERAGEIFS(#REF!,#REF!,$A:$A),"-")</f>
        <v>-</v>
      </c>
      <c r="V109" s="40" t="str">
        <f t="shared" si="2"/>
        <v>-</v>
      </c>
      <c r="W109" s="40" t="str">
        <f t="shared" si="0"/>
        <v>-</v>
      </c>
      <c r="X109" s="40" t="str">
        <f t="shared" si="1"/>
        <v>-</v>
      </c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</row>
    <row r="110" spans="2:34" ht="12.75">
      <c r="B110" s="40" t="str">
        <f>IFERROR(AVERAGEIFS('сентябрь 2024- июнь 2026'!$K:$K,'сентябрь 2024- июнь 2026'!$E:$E,$A:$A),"-")</f>
        <v>-</v>
      </c>
      <c r="C110" s="40" t="str">
        <f>IFERROR(AVERAGEIFS(#REF!,#REF!,$A:$A),"-")</f>
        <v>-</v>
      </c>
      <c r="D110" s="40" t="str">
        <f>IFERROR(AVERAGEIFS(#REF!,#REF!,$A:$A),"-")</f>
        <v>-</v>
      </c>
      <c r="E110" s="40" t="str">
        <f>IFERROR(AVERAGEIFS(#REF!,#REF!,$A:$A),"-")</f>
        <v>-</v>
      </c>
      <c r="F110" s="40" t="str">
        <f>IFERROR(AVERAGEIFS(#REF!,#REF!,$A:$A),"-")</f>
        <v>-</v>
      </c>
      <c r="G110" s="40" t="str">
        <f>IFERROR(AVERAGEIFS(#REF!,#REF!,A:A),"-")</f>
        <v>-</v>
      </c>
      <c r="H110" s="40" t="str">
        <f>IFERROR(AVERAGEIFS(#REF!,#REF!,$A:$A),"-")</f>
        <v>-</v>
      </c>
      <c r="I110" s="40" t="str">
        <f>IFERROR(AVERAGEIFS(#REF!,#REF!,$A:$A),"-")</f>
        <v>-</v>
      </c>
      <c r="J110" s="40" t="str">
        <f>IFERROR(AVERAGEIFS(#REF!,#REF!,$A:$A),"-")</f>
        <v>-</v>
      </c>
      <c r="K110" s="40" t="str">
        <f>IFERROR(AVERAGEIFS(#REF!,#REF!,$A:$A),"-")</f>
        <v>-</v>
      </c>
      <c r="L110" s="40" t="str">
        <f>IFERROR(AVERAGEIFS(#REF!,#REF!,$A:$A),"-")</f>
        <v>-</v>
      </c>
      <c r="M110" s="40" t="str">
        <f>IFERROR(AVERAGEIFS(#REF!,#REF!,$A:$A),"-")</f>
        <v>-</v>
      </c>
      <c r="N110" s="40" t="str">
        <f>IFERROR(AVERAGEIFS(#REF!,#REF!,$A:$A),"-")</f>
        <v>-</v>
      </c>
      <c r="O110" s="40" t="str">
        <f>IFERROR(AVERAGEIFS(#REF!,#REF!,$A:$A),"-")</f>
        <v>-</v>
      </c>
      <c r="P110" s="40" t="str">
        <f>IFERROR(AVERAGEIFS(#REF!,#REF!,$A:$A),"-")</f>
        <v>-</v>
      </c>
      <c r="Q110" s="40" t="str">
        <f>IFERROR(AVERAGEIFS(#REF!,#REF!,$A:$A),"-")</f>
        <v>-</v>
      </c>
      <c r="R110" s="40" t="str">
        <f>IFERROR(AVERAGEIFS(#REF!,#REF!,$A:$A),"-")</f>
        <v>-</v>
      </c>
      <c r="S110" s="40" t="str">
        <f>IFERROR(AVERAGEIFS(#REF!,#REF!,$A:$A),"-")</f>
        <v>-</v>
      </c>
      <c r="T110" s="40" t="str">
        <f>IFERROR(AVERAGEIFS(#REF!,#REF!,$A:$A),"-")</f>
        <v>-</v>
      </c>
      <c r="U110" s="40" t="str">
        <f>IFERROR(AVERAGEIFS(#REF!,#REF!,$A:$A),"-")</f>
        <v>-</v>
      </c>
      <c r="V110" s="40" t="str">
        <f t="shared" si="2"/>
        <v>-</v>
      </c>
      <c r="W110" s="40" t="str">
        <f t="shared" ref="W110:X110" si="3">IFERROR(AVERAGEIFS(#REF!,#REF!,$A:$A),"-")</f>
        <v>-</v>
      </c>
      <c r="X110" s="40" t="str">
        <f t="shared" si="3"/>
        <v>-</v>
      </c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</row>
    <row r="111" spans="2:34" ht="12.75">
      <c r="B111" s="40" t="str">
        <f>IFERROR(AVERAGEIFS('сентябрь 2024- июнь 2026'!$K:$K,'сентябрь 2024- июнь 2026'!$E:$E,$A:$A),"-")</f>
        <v>-</v>
      </c>
      <c r="C111" s="40" t="str">
        <f>IFERROR(AVERAGEIFS(#REF!,#REF!,$A:$A),"-")</f>
        <v>-</v>
      </c>
      <c r="D111" s="40" t="str">
        <f>IFERROR(AVERAGEIFS(#REF!,#REF!,$A:$A),"-")</f>
        <v>-</v>
      </c>
      <c r="E111" s="40" t="str">
        <f>IFERROR(AVERAGEIFS(#REF!,#REF!,$A:$A),"-")</f>
        <v>-</v>
      </c>
      <c r="F111" s="40" t="str">
        <f>IFERROR(AVERAGEIFS(#REF!,#REF!,$A:$A),"-")</f>
        <v>-</v>
      </c>
      <c r="G111" s="40" t="str">
        <f>IFERROR(AVERAGEIFS(#REF!,#REF!,A:A),"-")</f>
        <v>-</v>
      </c>
      <c r="H111" s="40" t="str">
        <f>IFERROR(AVERAGEIFS(#REF!,#REF!,$A:$A),"-")</f>
        <v>-</v>
      </c>
      <c r="I111" s="40" t="str">
        <f>IFERROR(AVERAGEIFS(#REF!,#REF!,$A:$A),"-")</f>
        <v>-</v>
      </c>
      <c r="J111" s="40" t="str">
        <f>IFERROR(AVERAGEIFS(#REF!,#REF!,$A:$A),"-")</f>
        <v>-</v>
      </c>
      <c r="K111" s="40" t="str">
        <f>IFERROR(AVERAGEIFS(#REF!,#REF!,$A:$A),"-")</f>
        <v>-</v>
      </c>
      <c r="L111" s="40" t="str">
        <f>IFERROR(AVERAGEIFS(#REF!,#REF!,$A:$A),"-")</f>
        <v>-</v>
      </c>
      <c r="M111" s="40" t="str">
        <f>IFERROR(AVERAGEIFS(#REF!,#REF!,$A:$A),"-")</f>
        <v>-</v>
      </c>
      <c r="N111" s="40" t="str">
        <f>IFERROR(AVERAGEIFS(#REF!,#REF!,$A:$A),"-")</f>
        <v>-</v>
      </c>
      <c r="O111" s="40" t="str">
        <f>IFERROR(AVERAGEIFS(#REF!,#REF!,$A:$A),"-")</f>
        <v>-</v>
      </c>
      <c r="P111" s="40" t="str">
        <f>IFERROR(AVERAGEIFS(#REF!,#REF!,$A:$A),"-")</f>
        <v>-</v>
      </c>
      <c r="Q111" s="40" t="str">
        <f>IFERROR(AVERAGEIFS(#REF!,#REF!,$A:$A),"-")</f>
        <v>-</v>
      </c>
      <c r="R111" s="40" t="str">
        <f>IFERROR(AVERAGEIFS(#REF!,#REF!,$A:$A),"-")</f>
        <v>-</v>
      </c>
      <c r="S111" s="40" t="str">
        <f>IFERROR(AVERAGEIFS(#REF!,#REF!,$A:$A),"-")</f>
        <v>-</v>
      </c>
      <c r="T111" s="40" t="str">
        <f>IFERROR(AVERAGEIFS(#REF!,#REF!,$A:$A),"-")</f>
        <v>-</v>
      </c>
      <c r="U111" s="40" t="str">
        <f>IFERROR(AVERAGEIFS(#REF!,#REF!,$A:$A),"-")</f>
        <v>-</v>
      </c>
      <c r="V111" s="40" t="str">
        <f t="shared" si="2"/>
        <v>-</v>
      </c>
      <c r="W111" s="40" t="str">
        <f t="shared" ref="W111:X111" si="4">IFERROR(AVERAGEIFS(#REF!,#REF!,$A:$A),"-")</f>
        <v>-</v>
      </c>
      <c r="X111" s="40" t="str">
        <f t="shared" si="4"/>
        <v>-</v>
      </c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</row>
    <row r="112" spans="2:34" ht="12.75">
      <c r="B112" s="40" t="str">
        <f>IFERROR(AVERAGEIFS('сентябрь 2024- июнь 2026'!$K:$K,'сентябрь 2024- июнь 2026'!$E:$E,$A:$A),"-")</f>
        <v>-</v>
      </c>
      <c r="C112" s="40" t="str">
        <f>IFERROR(AVERAGEIFS(#REF!,#REF!,$A:$A),"-")</f>
        <v>-</v>
      </c>
      <c r="D112" s="40" t="str">
        <f>IFERROR(AVERAGEIFS(#REF!,#REF!,$A:$A),"-")</f>
        <v>-</v>
      </c>
      <c r="E112" s="40" t="str">
        <f>IFERROR(AVERAGEIFS(#REF!,#REF!,$A:$A),"-")</f>
        <v>-</v>
      </c>
      <c r="F112" s="40" t="str">
        <f>IFERROR(AVERAGEIFS(#REF!,#REF!,$A:$A),"-")</f>
        <v>-</v>
      </c>
      <c r="G112" s="40" t="str">
        <f>IFERROR(AVERAGEIFS(#REF!,#REF!,A:A),"-")</f>
        <v>-</v>
      </c>
      <c r="H112" s="40" t="str">
        <f>IFERROR(AVERAGEIFS(#REF!,#REF!,$A:$A),"-")</f>
        <v>-</v>
      </c>
      <c r="I112" s="40" t="str">
        <f>IFERROR(AVERAGEIFS(#REF!,#REF!,$A:$A),"-")</f>
        <v>-</v>
      </c>
      <c r="J112" s="40" t="str">
        <f>IFERROR(AVERAGEIFS(#REF!,#REF!,$A:$A),"-")</f>
        <v>-</v>
      </c>
      <c r="K112" s="40" t="str">
        <f>IFERROR(AVERAGEIFS(#REF!,#REF!,$A:$A),"-")</f>
        <v>-</v>
      </c>
      <c r="L112" s="40" t="str">
        <f>IFERROR(AVERAGEIFS(#REF!,#REF!,$A:$A),"-")</f>
        <v>-</v>
      </c>
      <c r="M112" s="40" t="str">
        <f>IFERROR(AVERAGEIFS(#REF!,#REF!,$A:$A),"-")</f>
        <v>-</v>
      </c>
      <c r="N112" s="40" t="str">
        <f>IFERROR(AVERAGEIFS(#REF!,#REF!,$A:$A),"-")</f>
        <v>-</v>
      </c>
      <c r="O112" s="40" t="str">
        <f>IFERROR(AVERAGEIFS(#REF!,#REF!,$A:$A),"-")</f>
        <v>-</v>
      </c>
      <c r="P112" s="40" t="str">
        <f>IFERROR(AVERAGEIFS(#REF!,#REF!,$A:$A),"-")</f>
        <v>-</v>
      </c>
      <c r="Q112" s="40" t="str">
        <f>IFERROR(AVERAGEIFS(#REF!,#REF!,$A:$A),"-")</f>
        <v>-</v>
      </c>
      <c r="R112" s="40" t="str">
        <f>IFERROR(AVERAGEIFS(#REF!,#REF!,$A:$A),"-")</f>
        <v>-</v>
      </c>
      <c r="S112" s="40" t="str">
        <f>IFERROR(AVERAGEIFS(#REF!,#REF!,$A:$A),"-")</f>
        <v>-</v>
      </c>
      <c r="T112" s="40" t="str">
        <f>IFERROR(AVERAGEIFS(#REF!,#REF!,$A:$A),"-")</f>
        <v>-</v>
      </c>
      <c r="U112" s="40" t="str">
        <f>IFERROR(AVERAGEIFS(#REF!,#REF!,$A:$A),"-")</f>
        <v>-</v>
      </c>
      <c r="V112" s="40" t="str">
        <f t="shared" si="2"/>
        <v>-</v>
      </c>
      <c r="W112" s="40" t="str">
        <f t="shared" ref="W112:X112" si="5">IFERROR(AVERAGEIFS(#REF!,#REF!,$A:$A),"-")</f>
        <v>-</v>
      </c>
      <c r="X112" s="40" t="str">
        <f t="shared" si="5"/>
        <v>-</v>
      </c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</row>
    <row r="113" spans="2:34" ht="12.75">
      <c r="B113" s="40" t="str">
        <f>IFERROR(AVERAGEIFS('сентябрь 2024- июнь 2026'!$K:$K,'сентябрь 2024- июнь 2026'!$E:$E,$A:$A),"-")</f>
        <v>-</v>
      </c>
      <c r="C113" s="40" t="str">
        <f>IFERROR(AVERAGEIFS(#REF!,#REF!,$A:$A),"-")</f>
        <v>-</v>
      </c>
      <c r="D113" s="40" t="str">
        <f>IFERROR(AVERAGEIFS(#REF!,#REF!,$A:$A),"-")</f>
        <v>-</v>
      </c>
      <c r="E113" s="40" t="str">
        <f>IFERROR(AVERAGEIFS(#REF!,#REF!,$A:$A),"-")</f>
        <v>-</v>
      </c>
      <c r="F113" s="40" t="str">
        <f>IFERROR(AVERAGEIFS(#REF!,#REF!,$A:$A),"-")</f>
        <v>-</v>
      </c>
      <c r="G113" s="40" t="str">
        <f>IFERROR(AVERAGEIFS(#REF!,#REF!,A:A),"-")</f>
        <v>-</v>
      </c>
      <c r="H113" s="40" t="str">
        <f>IFERROR(AVERAGEIFS(#REF!,#REF!,$A:$A),"-")</f>
        <v>-</v>
      </c>
      <c r="I113" s="40" t="str">
        <f>IFERROR(AVERAGEIFS(#REF!,#REF!,$A:$A),"-")</f>
        <v>-</v>
      </c>
      <c r="J113" s="40" t="str">
        <f>IFERROR(AVERAGEIFS(#REF!,#REF!,$A:$A),"-")</f>
        <v>-</v>
      </c>
      <c r="K113" s="40" t="str">
        <f>IFERROR(AVERAGEIFS(#REF!,#REF!,$A:$A),"-")</f>
        <v>-</v>
      </c>
      <c r="L113" s="40" t="str">
        <f>IFERROR(AVERAGEIFS(#REF!,#REF!,$A:$A),"-")</f>
        <v>-</v>
      </c>
      <c r="M113" s="40" t="str">
        <f>IFERROR(AVERAGEIFS(#REF!,#REF!,$A:$A),"-")</f>
        <v>-</v>
      </c>
      <c r="N113" s="40" t="str">
        <f>IFERROR(AVERAGEIFS(#REF!,#REF!,$A:$A),"-")</f>
        <v>-</v>
      </c>
      <c r="O113" s="40" t="str">
        <f>IFERROR(AVERAGEIFS(#REF!,#REF!,$A:$A),"-")</f>
        <v>-</v>
      </c>
      <c r="P113" s="40" t="str">
        <f>IFERROR(AVERAGEIFS(#REF!,#REF!,$A:$A),"-")</f>
        <v>-</v>
      </c>
      <c r="Q113" s="40" t="str">
        <f>IFERROR(AVERAGEIFS(#REF!,#REF!,$A:$A),"-")</f>
        <v>-</v>
      </c>
      <c r="R113" s="40" t="str">
        <f>IFERROR(AVERAGEIFS(#REF!,#REF!,$A:$A),"-")</f>
        <v>-</v>
      </c>
      <c r="S113" s="40" t="str">
        <f>IFERROR(AVERAGEIFS(#REF!,#REF!,$A:$A),"-")</f>
        <v>-</v>
      </c>
      <c r="T113" s="40" t="str">
        <f>IFERROR(AVERAGEIFS(#REF!,#REF!,$A:$A),"-")</f>
        <v>-</v>
      </c>
      <c r="U113" s="40" t="str">
        <f>IFERROR(AVERAGEIFS(#REF!,#REF!,$A:$A),"-")</f>
        <v>-</v>
      </c>
      <c r="V113" s="40" t="str">
        <f t="shared" si="2"/>
        <v>-</v>
      </c>
      <c r="W113" s="40" t="str">
        <f t="shared" ref="W113:X113" si="6">IFERROR(AVERAGEIFS(#REF!,#REF!,$A:$A),"-")</f>
        <v>-</v>
      </c>
      <c r="X113" s="40" t="str">
        <f t="shared" si="6"/>
        <v>-</v>
      </c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</row>
    <row r="114" spans="2:34" ht="12.75">
      <c r="B114" s="40" t="str">
        <f>IFERROR(AVERAGEIFS('сентябрь 2024- июнь 2026'!$K:$K,'сентябрь 2024- июнь 2026'!$E:$E,$A:$A),"-")</f>
        <v>-</v>
      </c>
      <c r="C114" s="40" t="str">
        <f>IFERROR(AVERAGEIFS(#REF!,#REF!,$A:$A),"-")</f>
        <v>-</v>
      </c>
      <c r="D114" s="40" t="str">
        <f>IFERROR(AVERAGEIFS(#REF!,#REF!,$A:$A),"-")</f>
        <v>-</v>
      </c>
      <c r="E114" s="40" t="str">
        <f>IFERROR(AVERAGEIFS(#REF!,#REF!,$A:$A),"-")</f>
        <v>-</v>
      </c>
      <c r="F114" s="40" t="str">
        <f>IFERROR(AVERAGEIFS(#REF!,#REF!,$A:$A),"-")</f>
        <v>-</v>
      </c>
      <c r="G114" s="40" t="str">
        <f>IFERROR(AVERAGEIFS(#REF!,#REF!,A:A),"-")</f>
        <v>-</v>
      </c>
      <c r="H114" s="40" t="str">
        <f>IFERROR(AVERAGEIFS(#REF!,#REF!,$A:$A),"-")</f>
        <v>-</v>
      </c>
      <c r="I114" s="40" t="str">
        <f>IFERROR(AVERAGEIFS(#REF!,#REF!,$A:$A),"-")</f>
        <v>-</v>
      </c>
      <c r="J114" s="40" t="str">
        <f>IFERROR(AVERAGEIFS(#REF!,#REF!,$A:$A),"-")</f>
        <v>-</v>
      </c>
      <c r="K114" s="40" t="str">
        <f>IFERROR(AVERAGEIFS(#REF!,#REF!,$A:$A),"-")</f>
        <v>-</v>
      </c>
      <c r="L114" s="40" t="str">
        <f>IFERROR(AVERAGEIFS(#REF!,#REF!,$A:$A),"-")</f>
        <v>-</v>
      </c>
      <c r="M114" s="40" t="str">
        <f>IFERROR(AVERAGEIFS(#REF!,#REF!,$A:$A),"-")</f>
        <v>-</v>
      </c>
      <c r="N114" s="40" t="str">
        <f>IFERROR(AVERAGEIFS(#REF!,#REF!,$A:$A),"-")</f>
        <v>-</v>
      </c>
      <c r="O114" s="40" t="str">
        <f>IFERROR(AVERAGEIFS(#REF!,#REF!,$A:$A),"-")</f>
        <v>-</v>
      </c>
      <c r="P114" s="40" t="str">
        <f>IFERROR(AVERAGEIFS(#REF!,#REF!,$A:$A),"-")</f>
        <v>-</v>
      </c>
      <c r="Q114" s="40" t="str">
        <f>IFERROR(AVERAGEIFS(#REF!,#REF!,$A:$A),"-")</f>
        <v>-</v>
      </c>
      <c r="R114" s="40" t="str">
        <f>IFERROR(AVERAGEIFS(#REF!,#REF!,$A:$A),"-")</f>
        <v>-</v>
      </c>
      <c r="S114" s="40" t="str">
        <f>IFERROR(AVERAGEIFS(#REF!,#REF!,$A:$A),"-")</f>
        <v>-</v>
      </c>
      <c r="T114" s="40" t="str">
        <f>IFERROR(AVERAGEIFS(#REF!,#REF!,$A:$A),"-")</f>
        <v>-</v>
      </c>
      <c r="U114" s="40" t="str">
        <f>IFERROR(AVERAGEIFS(#REF!,#REF!,$A:$A),"-")</f>
        <v>-</v>
      </c>
      <c r="V114" s="40" t="str">
        <f t="shared" si="2"/>
        <v>-</v>
      </c>
      <c r="W114" s="40" t="str">
        <f t="shared" ref="W114:X114" si="7">IFERROR(AVERAGEIFS(#REF!,#REF!,$A:$A),"-")</f>
        <v>-</v>
      </c>
      <c r="X114" s="40" t="str">
        <f t="shared" si="7"/>
        <v>-</v>
      </c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</row>
    <row r="115" spans="2:34" ht="12.75">
      <c r="B115" s="40" t="str">
        <f>IFERROR(AVERAGEIFS('сентябрь 2024- июнь 2026'!$K:$K,'сентябрь 2024- июнь 2026'!$E:$E,$A:$A),"-")</f>
        <v>-</v>
      </c>
      <c r="C115" s="40" t="str">
        <f>IFERROR(AVERAGEIFS(#REF!,#REF!,$A:$A),"-")</f>
        <v>-</v>
      </c>
      <c r="D115" s="40" t="str">
        <f>IFERROR(AVERAGEIFS(#REF!,#REF!,$A:$A),"-")</f>
        <v>-</v>
      </c>
      <c r="E115" s="40" t="str">
        <f>IFERROR(AVERAGEIFS(#REF!,#REF!,$A:$A),"-")</f>
        <v>-</v>
      </c>
      <c r="F115" s="40" t="str">
        <f>IFERROR(AVERAGEIFS(#REF!,#REF!,$A:$A),"-")</f>
        <v>-</v>
      </c>
      <c r="G115" s="40" t="str">
        <f>IFERROR(AVERAGEIFS(#REF!,#REF!,A:A),"-")</f>
        <v>-</v>
      </c>
      <c r="H115" s="40" t="str">
        <f>IFERROR(AVERAGEIFS(#REF!,#REF!,$A:$A),"-")</f>
        <v>-</v>
      </c>
      <c r="I115" s="40" t="str">
        <f>IFERROR(AVERAGEIFS(#REF!,#REF!,$A:$A),"-")</f>
        <v>-</v>
      </c>
      <c r="J115" s="40" t="str">
        <f>IFERROR(AVERAGEIFS(#REF!,#REF!,$A:$A),"-")</f>
        <v>-</v>
      </c>
      <c r="K115" s="40" t="str">
        <f>IFERROR(AVERAGEIFS(#REF!,#REF!,$A:$A),"-")</f>
        <v>-</v>
      </c>
      <c r="L115" s="40" t="str">
        <f>IFERROR(AVERAGEIFS(#REF!,#REF!,$A:$A),"-")</f>
        <v>-</v>
      </c>
      <c r="M115" s="40" t="str">
        <f>IFERROR(AVERAGEIFS(#REF!,#REF!,$A:$A),"-")</f>
        <v>-</v>
      </c>
      <c r="N115" s="40" t="str">
        <f>IFERROR(AVERAGEIFS(#REF!,#REF!,$A:$A),"-")</f>
        <v>-</v>
      </c>
      <c r="O115" s="40" t="str">
        <f>IFERROR(AVERAGEIFS(#REF!,#REF!,$A:$A),"-")</f>
        <v>-</v>
      </c>
      <c r="P115" s="40" t="str">
        <f>IFERROR(AVERAGEIFS(#REF!,#REF!,$A:$A),"-")</f>
        <v>-</v>
      </c>
      <c r="Q115" s="40" t="str">
        <f>IFERROR(AVERAGEIFS(#REF!,#REF!,$A:$A),"-")</f>
        <v>-</v>
      </c>
      <c r="R115" s="40" t="str">
        <f>IFERROR(AVERAGEIFS(#REF!,#REF!,$A:$A),"-")</f>
        <v>-</v>
      </c>
      <c r="S115" s="40" t="str">
        <f>IFERROR(AVERAGEIFS(#REF!,#REF!,$A:$A),"-")</f>
        <v>-</v>
      </c>
      <c r="T115" s="40" t="str">
        <f>IFERROR(AVERAGEIFS(#REF!,#REF!,$A:$A),"-")</f>
        <v>-</v>
      </c>
      <c r="U115" s="40" t="str">
        <f>IFERROR(AVERAGEIFS(#REF!,#REF!,$A:$A),"-")</f>
        <v>-</v>
      </c>
      <c r="V115" s="40" t="str">
        <f t="shared" si="2"/>
        <v>-</v>
      </c>
      <c r="W115" s="40" t="str">
        <f t="shared" ref="W115:X115" si="8">IFERROR(AVERAGEIFS(#REF!,#REF!,$A:$A),"-")</f>
        <v>-</v>
      </c>
      <c r="X115" s="40" t="str">
        <f t="shared" si="8"/>
        <v>-</v>
      </c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</row>
    <row r="116" spans="2:34" ht="12.75">
      <c r="B116" s="40" t="str">
        <f>IFERROR(AVERAGEIFS('сентябрь 2024- июнь 2026'!$K:$K,'сентябрь 2024- июнь 2026'!$E:$E,$A:$A),"-")</f>
        <v>-</v>
      </c>
      <c r="C116" s="40" t="str">
        <f>IFERROR(AVERAGEIFS(#REF!,#REF!,$A:$A),"-")</f>
        <v>-</v>
      </c>
      <c r="D116" s="40" t="str">
        <f>IFERROR(AVERAGEIFS(#REF!,#REF!,$A:$A),"-")</f>
        <v>-</v>
      </c>
      <c r="E116" s="40" t="str">
        <f>IFERROR(AVERAGEIFS(#REF!,#REF!,$A:$A),"-")</f>
        <v>-</v>
      </c>
      <c r="F116" s="40" t="str">
        <f>IFERROR(AVERAGEIFS(#REF!,#REF!,$A:$A),"-")</f>
        <v>-</v>
      </c>
      <c r="G116" s="40" t="str">
        <f>IFERROR(AVERAGEIFS(#REF!,#REF!,A:A),"-")</f>
        <v>-</v>
      </c>
      <c r="H116" s="40" t="str">
        <f>IFERROR(AVERAGEIFS(#REF!,#REF!,$A:$A),"-")</f>
        <v>-</v>
      </c>
      <c r="I116" s="40" t="str">
        <f>IFERROR(AVERAGEIFS(#REF!,#REF!,$A:$A),"-")</f>
        <v>-</v>
      </c>
      <c r="J116" s="40" t="str">
        <f>IFERROR(AVERAGEIFS(#REF!,#REF!,$A:$A),"-")</f>
        <v>-</v>
      </c>
      <c r="K116" s="40" t="str">
        <f>IFERROR(AVERAGEIFS(#REF!,#REF!,$A:$A),"-")</f>
        <v>-</v>
      </c>
      <c r="L116" s="40" t="str">
        <f>IFERROR(AVERAGEIFS(#REF!,#REF!,$A:$A),"-")</f>
        <v>-</v>
      </c>
      <c r="M116" s="40" t="str">
        <f>IFERROR(AVERAGEIFS(#REF!,#REF!,$A:$A),"-")</f>
        <v>-</v>
      </c>
      <c r="N116" s="40" t="str">
        <f>IFERROR(AVERAGEIFS(#REF!,#REF!,$A:$A),"-")</f>
        <v>-</v>
      </c>
      <c r="O116" s="40" t="str">
        <f>IFERROR(AVERAGEIFS(#REF!,#REF!,$A:$A),"-")</f>
        <v>-</v>
      </c>
      <c r="P116" s="40" t="str">
        <f>IFERROR(AVERAGEIFS(#REF!,#REF!,$A:$A),"-")</f>
        <v>-</v>
      </c>
      <c r="Q116" s="40" t="str">
        <f>IFERROR(AVERAGEIFS(#REF!,#REF!,$A:$A),"-")</f>
        <v>-</v>
      </c>
      <c r="R116" s="40" t="str">
        <f>IFERROR(AVERAGEIFS(#REF!,#REF!,$A:$A),"-")</f>
        <v>-</v>
      </c>
      <c r="S116" s="40" t="str">
        <f>IFERROR(AVERAGEIFS(#REF!,#REF!,$A:$A),"-")</f>
        <v>-</v>
      </c>
      <c r="T116" s="40" t="str">
        <f>IFERROR(AVERAGEIFS(#REF!,#REF!,$A:$A),"-")</f>
        <v>-</v>
      </c>
      <c r="U116" s="40" t="str">
        <f>IFERROR(AVERAGEIFS(#REF!,#REF!,$A:$A),"-")</f>
        <v>-</v>
      </c>
      <c r="V116" s="40" t="str">
        <f t="shared" si="2"/>
        <v>-</v>
      </c>
      <c r="W116" s="40" t="str">
        <f t="shared" ref="W116:X116" si="9">IFERROR(AVERAGEIFS(#REF!,#REF!,$A:$A),"-")</f>
        <v>-</v>
      </c>
      <c r="X116" s="40" t="str">
        <f t="shared" si="9"/>
        <v>-</v>
      </c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</row>
    <row r="117" spans="2:34" ht="12.75">
      <c r="B117" s="40" t="str">
        <f>IFERROR(AVERAGEIFS('сентябрь 2024- июнь 2026'!$K:$K,'сентябрь 2024- июнь 2026'!$E:$E,$A:$A),"-")</f>
        <v>-</v>
      </c>
      <c r="C117" s="40" t="str">
        <f>IFERROR(AVERAGEIFS(#REF!,#REF!,$A:$A),"-")</f>
        <v>-</v>
      </c>
      <c r="D117" s="40" t="str">
        <f>IFERROR(AVERAGEIFS(#REF!,#REF!,$A:$A),"-")</f>
        <v>-</v>
      </c>
      <c r="E117" s="40" t="str">
        <f>IFERROR(AVERAGEIFS(#REF!,#REF!,$A:$A),"-")</f>
        <v>-</v>
      </c>
      <c r="F117" s="40" t="str">
        <f>IFERROR(AVERAGEIFS(#REF!,#REF!,$A:$A),"-")</f>
        <v>-</v>
      </c>
      <c r="G117" s="40" t="str">
        <f>IFERROR(AVERAGEIFS(#REF!,#REF!,A:A),"-")</f>
        <v>-</v>
      </c>
      <c r="H117" s="40" t="str">
        <f>IFERROR(AVERAGEIFS(#REF!,#REF!,$A:$A),"-")</f>
        <v>-</v>
      </c>
      <c r="I117" s="40" t="str">
        <f>IFERROR(AVERAGEIFS(#REF!,#REF!,$A:$A),"-")</f>
        <v>-</v>
      </c>
      <c r="J117" s="40" t="str">
        <f>IFERROR(AVERAGEIFS(#REF!,#REF!,$A:$A),"-")</f>
        <v>-</v>
      </c>
      <c r="K117" s="40" t="str">
        <f>IFERROR(AVERAGEIFS(#REF!,#REF!,$A:$A),"-")</f>
        <v>-</v>
      </c>
      <c r="L117" s="40" t="str">
        <f>IFERROR(AVERAGEIFS(#REF!,#REF!,$A:$A),"-")</f>
        <v>-</v>
      </c>
      <c r="M117" s="40" t="str">
        <f>IFERROR(AVERAGEIFS(#REF!,#REF!,$A:$A),"-")</f>
        <v>-</v>
      </c>
      <c r="N117" s="40" t="str">
        <f>IFERROR(AVERAGEIFS(#REF!,#REF!,$A:$A),"-")</f>
        <v>-</v>
      </c>
      <c r="O117" s="40" t="str">
        <f>IFERROR(AVERAGEIFS(#REF!,#REF!,$A:$A),"-")</f>
        <v>-</v>
      </c>
      <c r="P117" s="40" t="str">
        <f>IFERROR(AVERAGEIFS(#REF!,#REF!,$A:$A),"-")</f>
        <v>-</v>
      </c>
      <c r="Q117" s="40" t="str">
        <f>IFERROR(AVERAGEIFS(#REF!,#REF!,$A:$A),"-")</f>
        <v>-</v>
      </c>
      <c r="R117" s="40" t="str">
        <f>IFERROR(AVERAGEIFS(#REF!,#REF!,$A:$A),"-")</f>
        <v>-</v>
      </c>
      <c r="S117" s="40" t="str">
        <f>IFERROR(AVERAGEIFS(#REF!,#REF!,$A:$A),"-")</f>
        <v>-</v>
      </c>
      <c r="T117" s="40" t="str">
        <f>IFERROR(AVERAGEIFS(#REF!,#REF!,$A:$A),"-")</f>
        <v>-</v>
      </c>
      <c r="U117" s="40" t="str">
        <f>IFERROR(AVERAGEIFS(#REF!,#REF!,$A:$A),"-")</f>
        <v>-</v>
      </c>
      <c r="V117" s="40" t="str">
        <f t="shared" si="2"/>
        <v>-</v>
      </c>
      <c r="W117" s="40" t="str">
        <f t="shared" ref="W117:X117" si="10">IFERROR(AVERAGEIFS(#REF!,#REF!,$A:$A),"-")</f>
        <v>-</v>
      </c>
      <c r="X117" s="40" t="str">
        <f t="shared" si="10"/>
        <v>-</v>
      </c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</row>
    <row r="118" spans="2:34" ht="12.75">
      <c r="B118" s="40" t="str">
        <f>IFERROR(AVERAGEIFS('сентябрь 2024- июнь 2026'!$K:$K,'сентябрь 2024- июнь 2026'!$E:$E,$A:$A),"-")</f>
        <v>-</v>
      </c>
      <c r="C118" s="40" t="str">
        <f>IFERROR(AVERAGEIFS(#REF!,#REF!,$A:$A),"-")</f>
        <v>-</v>
      </c>
      <c r="D118" s="40" t="str">
        <f>IFERROR(AVERAGEIFS(#REF!,#REF!,$A:$A),"-")</f>
        <v>-</v>
      </c>
      <c r="E118" s="40" t="str">
        <f>IFERROR(AVERAGEIFS(#REF!,#REF!,$A:$A),"-")</f>
        <v>-</v>
      </c>
      <c r="F118" s="40" t="str">
        <f>IFERROR(AVERAGEIFS(#REF!,#REF!,$A:$A),"-")</f>
        <v>-</v>
      </c>
      <c r="G118" s="40" t="str">
        <f>IFERROR(AVERAGEIFS(#REF!,#REF!,A:A),"-")</f>
        <v>-</v>
      </c>
      <c r="H118" s="40" t="str">
        <f>IFERROR(AVERAGEIFS(#REF!,#REF!,$A:$A),"-")</f>
        <v>-</v>
      </c>
      <c r="I118" s="40" t="str">
        <f>IFERROR(AVERAGEIFS(#REF!,#REF!,$A:$A),"-")</f>
        <v>-</v>
      </c>
      <c r="J118" s="40" t="str">
        <f>IFERROR(AVERAGEIFS(#REF!,#REF!,$A:$A),"-")</f>
        <v>-</v>
      </c>
      <c r="K118" s="40" t="str">
        <f>IFERROR(AVERAGEIFS(#REF!,#REF!,$A:$A),"-")</f>
        <v>-</v>
      </c>
      <c r="L118" s="40" t="str">
        <f>IFERROR(AVERAGEIFS(#REF!,#REF!,$A:$A),"-")</f>
        <v>-</v>
      </c>
      <c r="M118" s="40" t="str">
        <f>IFERROR(AVERAGEIFS(#REF!,#REF!,$A:$A),"-")</f>
        <v>-</v>
      </c>
      <c r="N118" s="40" t="str">
        <f>IFERROR(AVERAGEIFS(#REF!,#REF!,$A:$A),"-")</f>
        <v>-</v>
      </c>
      <c r="O118" s="40" t="str">
        <f>IFERROR(AVERAGEIFS(#REF!,#REF!,$A:$A),"-")</f>
        <v>-</v>
      </c>
      <c r="P118" s="40" t="str">
        <f>IFERROR(AVERAGEIFS(#REF!,#REF!,$A:$A),"-")</f>
        <v>-</v>
      </c>
      <c r="Q118" s="40" t="str">
        <f>IFERROR(AVERAGEIFS(#REF!,#REF!,$A:$A),"-")</f>
        <v>-</v>
      </c>
      <c r="R118" s="40" t="str">
        <f>IFERROR(AVERAGEIFS(#REF!,#REF!,$A:$A),"-")</f>
        <v>-</v>
      </c>
      <c r="S118" s="40" t="str">
        <f>IFERROR(AVERAGEIFS(#REF!,#REF!,$A:$A),"-")</f>
        <v>-</v>
      </c>
      <c r="T118" s="40" t="str">
        <f>IFERROR(AVERAGEIFS(#REF!,#REF!,$A:$A),"-")</f>
        <v>-</v>
      </c>
      <c r="U118" s="40" t="str">
        <f>IFERROR(AVERAGEIFS(#REF!,#REF!,$A:$A),"-")</f>
        <v>-</v>
      </c>
      <c r="V118" s="40" t="str">
        <f t="shared" si="2"/>
        <v>-</v>
      </c>
      <c r="W118" s="40" t="str">
        <f t="shared" ref="W118:X118" si="11">IFERROR(AVERAGEIFS(#REF!,#REF!,$A:$A),"-")</f>
        <v>-</v>
      </c>
      <c r="X118" s="40" t="str">
        <f t="shared" si="11"/>
        <v>-</v>
      </c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</row>
    <row r="119" spans="2:34" ht="12.75">
      <c r="B119" s="40" t="str">
        <f>IFERROR(AVERAGEIFS('сентябрь 2024- июнь 2026'!$K:$K,'сентябрь 2024- июнь 2026'!$E:$E,$A:$A),"-")</f>
        <v>-</v>
      </c>
      <c r="C119" s="40" t="str">
        <f>IFERROR(AVERAGEIFS(#REF!,#REF!,$A:$A),"-")</f>
        <v>-</v>
      </c>
      <c r="D119" s="40" t="str">
        <f>IFERROR(AVERAGEIFS(#REF!,#REF!,$A:$A),"-")</f>
        <v>-</v>
      </c>
      <c r="E119" s="40" t="str">
        <f>IFERROR(AVERAGEIFS(#REF!,#REF!,$A:$A),"-")</f>
        <v>-</v>
      </c>
      <c r="F119" s="40" t="str">
        <f>IFERROR(AVERAGEIFS(#REF!,#REF!,$A:$A),"-")</f>
        <v>-</v>
      </c>
      <c r="G119" s="40" t="str">
        <f>IFERROR(AVERAGEIFS(#REF!,#REF!,A:A),"-")</f>
        <v>-</v>
      </c>
      <c r="H119" s="40" t="str">
        <f>IFERROR(AVERAGEIFS(#REF!,#REF!,$A:$A),"-")</f>
        <v>-</v>
      </c>
      <c r="I119" s="40" t="str">
        <f>IFERROR(AVERAGEIFS(#REF!,#REF!,$A:$A),"-")</f>
        <v>-</v>
      </c>
      <c r="J119" s="40" t="str">
        <f>IFERROR(AVERAGEIFS(#REF!,#REF!,$A:$A),"-")</f>
        <v>-</v>
      </c>
      <c r="K119" s="40" t="str">
        <f>IFERROR(AVERAGEIFS(#REF!,#REF!,$A:$A),"-")</f>
        <v>-</v>
      </c>
      <c r="L119" s="40" t="str">
        <f>IFERROR(AVERAGEIFS(#REF!,#REF!,$A:$A),"-")</f>
        <v>-</v>
      </c>
      <c r="M119" s="40" t="str">
        <f>IFERROR(AVERAGEIFS(#REF!,#REF!,$A:$A),"-")</f>
        <v>-</v>
      </c>
      <c r="N119" s="40" t="str">
        <f>IFERROR(AVERAGEIFS(#REF!,#REF!,$A:$A),"-")</f>
        <v>-</v>
      </c>
      <c r="O119" s="40" t="str">
        <f>IFERROR(AVERAGEIFS(#REF!,#REF!,$A:$A),"-")</f>
        <v>-</v>
      </c>
      <c r="P119" s="40" t="str">
        <f>IFERROR(AVERAGEIFS(#REF!,#REF!,$A:$A),"-")</f>
        <v>-</v>
      </c>
      <c r="Q119" s="40" t="str">
        <f>IFERROR(AVERAGEIFS(#REF!,#REF!,$A:$A),"-")</f>
        <v>-</v>
      </c>
      <c r="R119" s="40" t="str">
        <f>IFERROR(AVERAGEIFS(#REF!,#REF!,$A:$A),"-")</f>
        <v>-</v>
      </c>
      <c r="S119" s="40" t="str">
        <f>IFERROR(AVERAGEIFS(#REF!,#REF!,$A:$A),"-")</f>
        <v>-</v>
      </c>
      <c r="T119" s="40" t="str">
        <f>IFERROR(AVERAGEIFS(#REF!,#REF!,$A:$A),"-")</f>
        <v>-</v>
      </c>
      <c r="U119" s="40" t="str">
        <f>IFERROR(AVERAGEIFS(#REF!,#REF!,$A:$A),"-")</f>
        <v>-</v>
      </c>
      <c r="V119" s="40" t="str">
        <f t="shared" si="2"/>
        <v>-</v>
      </c>
      <c r="W119" s="40" t="str">
        <f t="shared" ref="W119:X119" si="12">IFERROR(AVERAGEIFS(#REF!,#REF!,$A:$A),"-")</f>
        <v>-</v>
      </c>
      <c r="X119" s="40" t="str">
        <f t="shared" si="12"/>
        <v>-</v>
      </c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</row>
    <row r="120" spans="2:34" ht="12.75">
      <c r="B120" s="40" t="str">
        <f>IFERROR(AVERAGEIFS('сентябрь 2024- июнь 2026'!$K:$K,'сентябрь 2024- июнь 2026'!$E:$E,$A:$A),"-")</f>
        <v>-</v>
      </c>
      <c r="C120" s="40" t="str">
        <f>IFERROR(AVERAGEIFS(#REF!,#REF!,$A:$A),"-")</f>
        <v>-</v>
      </c>
      <c r="D120" s="40" t="str">
        <f>IFERROR(AVERAGEIFS(#REF!,#REF!,$A:$A),"-")</f>
        <v>-</v>
      </c>
      <c r="E120" s="40" t="str">
        <f>IFERROR(AVERAGEIFS(#REF!,#REF!,$A:$A),"-")</f>
        <v>-</v>
      </c>
      <c r="F120" s="40" t="str">
        <f>IFERROR(AVERAGEIFS(#REF!,#REF!,$A:$A),"-")</f>
        <v>-</v>
      </c>
      <c r="G120" s="40" t="str">
        <f>IFERROR(AVERAGEIFS(#REF!,#REF!,A:A),"-")</f>
        <v>-</v>
      </c>
      <c r="H120" s="40" t="str">
        <f>IFERROR(AVERAGEIFS(#REF!,#REF!,$A:$A),"-")</f>
        <v>-</v>
      </c>
      <c r="I120" s="40" t="str">
        <f>IFERROR(AVERAGEIFS(#REF!,#REF!,$A:$A),"-")</f>
        <v>-</v>
      </c>
      <c r="J120" s="40" t="str">
        <f>IFERROR(AVERAGEIFS(#REF!,#REF!,$A:$A),"-")</f>
        <v>-</v>
      </c>
      <c r="K120" s="40" t="str">
        <f>IFERROR(AVERAGEIFS(#REF!,#REF!,$A:$A),"-")</f>
        <v>-</v>
      </c>
      <c r="L120" s="40" t="str">
        <f>IFERROR(AVERAGEIFS(#REF!,#REF!,$A:$A),"-")</f>
        <v>-</v>
      </c>
      <c r="M120" s="40" t="str">
        <f>IFERROR(AVERAGEIFS(#REF!,#REF!,$A:$A),"-")</f>
        <v>-</v>
      </c>
      <c r="N120" s="40" t="str">
        <f>IFERROR(AVERAGEIFS(#REF!,#REF!,$A:$A),"-")</f>
        <v>-</v>
      </c>
      <c r="O120" s="40" t="str">
        <f>IFERROR(AVERAGEIFS(#REF!,#REF!,$A:$A),"-")</f>
        <v>-</v>
      </c>
      <c r="P120" s="40" t="str">
        <f>IFERROR(AVERAGEIFS(#REF!,#REF!,$A:$A),"-")</f>
        <v>-</v>
      </c>
      <c r="Q120" s="40" t="str">
        <f>IFERROR(AVERAGEIFS(#REF!,#REF!,$A:$A),"-")</f>
        <v>-</v>
      </c>
      <c r="R120" s="40" t="str">
        <f>IFERROR(AVERAGEIFS(#REF!,#REF!,$A:$A),"-")</f>
        <v>-</v>
      </c>
      <c r="S120" s="40" t="str">
        <f>IFERROR(AVERAGEIFS(#REF!,#REF!,$A:$A),"-")</f>
        <v>-</v>
      </c>
      <c r="T120" s="40" t="str">
        <f>IFERROR(AVERAGEIFS(#REF!,#REF!,$A:$A),"-")</f>
        <v>-</v>
      </c>
      <c r="U120" s="40" t="str">
        <f>IFERROR(AVERAGEIFS(#REF!,#REF!,$A:$A),"-")</f>
        <v>-</v>
      </c>
      <c r="V120" s="40" t="str">
        <f t="shared" si="2"/>
        <v>-</v>
      </c>
      <c r="W120" s="40" t="str">
        <f t="shared" ref="W120:X120" si="13">IFERROR(AVERAGEIFS(#REF!,#REF!,$A:$A),"-")</f>
        <v>-</v>
      </c>
      <c r="X120" s="40" t="str">
        <f t="shared" si="13"/>
        <v>-</v>
      </c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</row>
    <row r="121" spans="2:34" ht="12.75">
      <c r="B121" s="40" t="str">
        <f>IFERROR(AVERAGEIFS('сентябрь 2024- июнь 2026'!$K:$K,'сентябрь 2024- июнь 2026'!$E:$E,$A:$A),"-")</f>
        <v>-</v>
      </c>
      <c r="C121" s="40" t="str">
        <f>IFERROR(AVERAGEIFS(#REF!,#REF!,$A:$A),"-")</f>
        <v>-</v>
      </c>
      <c r="D121" s="40" t="str">
        <f>IFERROR(AVERAGEIFS(#REF!,#REF!,$A:$A),"-")</f>
        <v>-</v>
      </c>
      <c r="E121" s="40" t="str">
        <f>IFERROR(AVERAGEIFS(#REF!,#REF!,$A:$A),"-")</f>
        <v>-</v>
      </c>
      <c r="F121" s="40" t="str">
        <f>IFERROR(AVERAGEIFS(#REF!,#REF!,$A:$A),"-")</f>
        <v>-</v>
      </c>
      <c r="G121" s="40" t="str">
        <f>IFERROR(AVERAGEIFS(#REF!,#REF!,A:A),"-")</f>
        <v>-</v>
      </c>
      <c r="H121" s="40" t="str">
        <f>IFERROR(AVERAGEIFS(#REF!,#REF!,$A:$A),"-")</f>
        <v>-</v>
      </c>
      <c r="I121" s="40" t="str">
        <f>IFERROR(AVERAGEIFS(#REF!,#REF!,$A:$A),"-")</f>
        <v>-</v>
      </c>
      <c r="J121" s="40" t="str">
        <f>IFERROR(AVERAGEIFS(#REF!,#REF!,$A:$A),"-")</f>
        <v>-</v>
      </c>
      <c r="K121" s="40" t="str">
        <f>IFERROR(AVERAGEIFS(#REF!,#REF!,$A:$A),"-")</f>
        <v>-</v>
      </c>
      <c r="L121" s="40" t="str">
        <f>IFERROR(AVERAGEIFS(#REF!,#REF!,$A:$A),"-")</f>
        <v>-</v>
      </c>
      <c r="M121" s="40" t="str">
        <f>IFERROR(AVERAGEIFS(#REF!,#REF!,$A:$A),"-")</f>
        <v>-</v>
      </c>
      <c r="N121" s="40" t="str">
        <f>IFERROR(AVERAGEIFS(#REF!,#REF!,$A:$A),"-")</f>
        <v>-</v>
      </c>
      <c r="O121" s="40" t="str">
        <f>IFERROR(AVERAGEIFS(#REF!,#REF!,$A:$A),"-")</f>
        <v>-</v>
      </c>
      <c r="P121" s="40" t="str">
        <f>IFERROR(AVERAGEIFS(#REF!,#REF!,$A:$A),"-")</f>
        <v>-</v>
      </c>
      <c r="Q121" s="40" t="str">
        <f>IFERROR(AVERAGEIFS(#REF!,#REF!,$A:$A),"-")</f>
        <v>-</v>
      </c>
      <c r="R121" s="40" t="str">
        <f>IFERROR(AVERAGEIFS(#REF!,#REF!,$A:$A),"-")</f>
        <v>-</v>
      </c>
      <c r="S121" s="40" t="str">
        <f>IFERROR(AVERAGEIFS(#REF!,#REF!,$A:$A),"-")</f>
        <v>-</v>
      </c>
      <c r="T121" s="40" t="str">
        <f>IFERROR(AVERAGEIFS(#REF!,#REF!,$A:$A),"-")</f>
        <v>-</v>
      </c>
      <c r="U121" s="40" t="str">
        <f>IFERROR(AVERAGEIFS(#REF!,#REF!,$A:$A),"-")</f>
        <v>-</v>
      </c>
      <c r="V121" s="40" t="str">
        <f t="shared" si="2"/>
        <v>-</v>
      </c>
      <c r="W121" s="40" t="str">
        <f t="shared" ref="W121:X121" si="14">IFERROR(AVERAGEIFS(#REF!,#REF!,$A:$A),"-")</f>
        <v>-</v>
      </c>
      <c r="X121" s="40" t="str">
        <f t="shared" si="14"/>
        <v>-</v>
      </c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</row>
    <row r="122" spans="2:34" ht="12.75">
      <c r="B122" s="40" t="str">
        <f>IFERROR(AVERAGEIFS('сентябрь 2024- июнь 2026'!$K:$K,'сентябрь 2024- июнь 2026'!$E:$E,$A:$A),"-")</f>
        <v>-</v>
      </c>
      <c r="C122" s="40" t="str">
        <f>IFERROR(AVERAGEIFS(#REF!,#REF!,$A:$A),"-")</f>
        <v>-</v>
      </c>
      <c r="D122" s="40" t="str">
        <f>IFERROR(AVERAGEIFS(#REF!,#REF!,$A:$A),"-")</f>
        <v>-</v>
      </c>
      <c r="E122" s="40" t="str">
        <f>IFERROR(AVERAGEIFS(#REF!,#REF!,$A:$A),"-")</f>
        <v>-</v>
      </c>
      <c r="F122" s="40" t="str">
        <f>IFERROR(AVERAGEIFS(#REF!,#REF!,$A:$A),"-")</f>
        <v>-</v>
      </c>
      <c r="G122" s="40" t="str">
        <f>IFERROR(AVERAGEIFS(#REF!,#REF!,A:A),"-")</f>
        <v>-</v>
      </c>
      <c r="H122" s="40" t="str">
        <f>IFERROR(AVERAGEIFS(#REF!,#REF!,$A:$A),"-")</f>
        <v>-</v>
      </c>
      <c r="I122" s="40" t="str">
        <f>IFERROR(AVERAGEIFS(#REF!,#REF!,$A:$A),"-")</f>
        <v>-</v>
      </c>
      <c r="J122" s="40" t="str">
        <f>IFERROR(AVERAGEIFS(#REF!,#REF!,$A:$A),"-")</f>
        <v>-</v>
      </c>
      <c r="K122" s="40" t="str">
        <f>IFERROR(AVERAGEIFS(#REF!,#REF!,$A:$A),"-")</f>
        <v>-</v>
      </c>
      <c r="L122" s="40" t="str">
        <f>IFERROR(AVERAGEIFS(#REF!,#REF!,$A:$A),"-")</f>
        <v>-</v>
      </c>
      <c r="M122" s="40" t="str">
        <f>IFERROR(AVERAGEIFS(#REF!,#REF!,$A:$A),"-")</f>
        <v>-</v>
      </c>
      <c r="N122" s="40" t="str">
        <f>IFERROR(AVERAGEIFS(#REF!,#REF!,$A:$A),"-")</f>
        <v>-</v>
      </c>
      <c r="O122" s="40" t="str">
        <f>IFERROR(AVERAGEIFS(#REF!,#REF!,$A:$A),"-")</f>
        <v>-</v>
      </c>
      <c r="P122" s="40" t="str">
        <f>IFERROR(AVERAGEIFS(#REF!,#REF!,$A:$A),"-")</f>
        <v>-</v>
      </c>
      <c r="Q122" s="40" t="str">
        <f>IFERROR(AVERAGEIFS(#REF!,#REF!,$A:$A),"-")</f>
        <v>-</v>
      </c>
      <c r="R122" s="40" t="str">
        <f>IFERROR(AVERAGEIFS(#REF!,#REF!,$A:$A),"-")</f>
        <v>-</v>
      </c>
      <c r="S122" s="40" t="str">
        <f>IFERROR(AVERAGEIFS(#REF!,#REF!,$A:$A),"-")</f>
        <v>-</v>
      </c>
      <c r="T122" s="40" t="str">
        <f>IFERROR(AVERAGEIFS(#REF!,#REF!,$A:$A),"-")</f>
        <v>-</v>
      </c>
      <c r="U122" s="40" t="str">
        <f>IFERROR(AVERAGEIFS(#REF!,#REF!,$A:$A),"-")</f>
        <v>-</v>
      </c>
      <c r="V122" s="40" t="str">
        <f t="shared" si="2"/>
        <v>-</v>
      </c>
      <c r="W122" s="40" t="str">
        <f t="shared" ref="W122:X122" si="15">IFERROR(AVERAGEIFS(#REF!,#REF!,$A:$A),"-")</f>
        <v>-</v>
      </c>
      <c r="X122" s="40" t="str">
        <f t="shared" si="15"/>
        <v>-</v>
      </c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</row>
    <row r="123" spans="2:34" ht="12.75">
      <c r="B123" s="40" t="str">
        <f>IFERROR(AVERAGEIFS('сентябрь 2024- июнь 2026'!$K:$K,'сентябрь 2024- июнь 2026'!$E:$E,$A:$A),"-")</f>
        <v>-</v>
      </c>
      <c r="C123" s="40" t="str">
        <f>IFERROR(AVERAGEIFS(#REF!,#REF!,$A:$A),"-")</f>
        <v>-</v>
      </c>
      <c r="D123" s="40" t="str">
        <f>IFERROR(AVERAGEIFS(#REF!,#REF!,$A:$A),"-")</f>
        <v>-</v>
      </c>
      <c r="E123" s="40" t="str">
        <f>IFERROR(AVERAGEIFS(#REF!,#REF!,$A:$A),"-")</f>
        <v>-</v>
      </c>
      <c r="F123" s="40" t="str">
        <f>IFERROR(AVERAGEIFS(#REF!,#REF!,$A:$A),"-")</f>
        <v>-</v>
      </c>
      <c r="G123" s="40" t="str">
        <f>IFERROR(AVERAGEIFS(#REF!,#REF!,A:A),"-")</f>
        <v>-</v>
      </c>
      <c r="H123" s="40" t="str">
        <f>IFERROR(AVERAGEIFS(#REF!,#REF!,$A:$A),"-")</f>
        <v>-</v>
      </c>
      <c r="I123" s="40" t="str">
        <f>IFERROR(AVERAGEIFS(#REF!,#REF!,$A:$A),"-")</f>
        <v>-</v>
      </c>
      <c r="J123" s="40" t="str">
        <f>IFERROR(AVERAGEIFS(#REF!,#REF!,$A:$A),"-")</f>
        <v>-</v>
      </c>
      <c r="K123" s="40" t="str">
        <f>IFERROR(AVERAGEIFS(#REF!,#REF!,$A:$A),"-")</f>
        <v>-</v>
      </c>
      <c r="L123" s="40" t="str">
        <f>IFERROR(AVERAGEIFS(#REF!,#REF!,$A:$A),"-")</f>
        <v>-</v>
      </c>
      <c r="M123" s="40" t="str">
        <f>IFERROR(AVERAGEIFS(#REF!,#REF!,$A:$A),"-")</f>
        <v>-</v>
      </c>
      <c r="N123" s="40" t="str">
        <f>IFERROR(AVERAGEIFS(#REF!,#REF!,$A:$A),"-")</f>
        <v>-</v>
      </c>
      <c r="O123" s="40" t="str">
        <f>IFERROR(AVERAGEIFS(#REF!,#REF!,$A:$A),"-")</f>
        <v>-</v>
      </c>
      <c r="P123" s="40" t="str">
        <f>IFERROR(AVERAGEIFS(#REF!,#REF!,$A:$A),"-")</f>
        <v>-</v>
      </c>
      <c r="Q123" s="40" t="str">
        <f>IFERROR(AVERAGEIFS(#REF!,#REF!,$A:$A),"-")</f>
        <v>-</v>
      </c>
      <c r="R123" s="40" t="str">
        <f>IFERROR(AVERAGEIFS(#REF!,#REF!,$A:$A),"-")</f>
        <v>-</v>
      </c>
      <c r="S123" s="40" t="str">
        <f>IFERROR(AVERAGEIFS(#REF!,#REF!,$A:$A),"-")</f>
        <v>-</v>
      </c>
      <c r="T123" s="40" t="str">
        <f>IFERROR(AVERAGEIFS(#REF!,#REF!,$A:$A),"-")</f>
        <v>-</v>
      </c>
      <c r="U123" s="40" t="str">
        <f>IFERROR(AVERAGEIFS(#REF!,#REF!,$A:$A),"-")</f>
        <v>-</v>
      </c>
      <c r="V123" s="40" t="str">
        <f t="shared" si="2"/>
        <v>-</v>
      </c>
      <c r="W123" s="40" t="str">
        <f t="shared" ref="W123:X123" si="16">IFERROR(AVERAGEIFS(#REF!,#REF!,$A:$A),"-")</f>
        <v>-</v>
      </c>
      <c r="X123" s="40" t="str">
        <f t="shared" si="16"/>
        <v>-</v>
      </c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</row>
    <row r="124" spans="2:34" ht="12.75">
      <c r="B124" s="40" t="str">
        <f>IFERROR(AVERAGEIFS('сентябрь 2024- июнь 2026'!$K:$K,'сентябрь 2024- июнь 2026'!$E:$E,$A:$A),"-")</f>
        <v>-</v>
      </c>
      <c r="C124" s="40" t="str">
        <f>IFERROR(AVERAGEIFS(#REF!,#REF!,$A:$A),"-")</f>
        <v>-</v>
      </c>
      <c r="D124" s="40" t="str">
        <f>IFERROR(AVERAGEIFS(#REF!,#REF!,$A:$A),"-")</f>
        <v>-</v>
      </c>
      <c r="E124" s="40" t="str">
        <f>IFERROR(AVERAGEIFS(#REF!,#REF!,$A:$A),"-")</f>
        <v>-</v>
      </c>
      <c r="F124" s="40" t="str">
        <f>IFERROR(AVERAGEIFS(#REF!,#REF!,$A:$A),"-")</f>
        <v>-</v>
      </c>
      <c r="G124" s="40" t="str">
        <f>IFERROR(AVERAGEIFS(#REF!,#REF!,A:A),"-")</f>
        <v>-</v>
      </c>
      <c r="H124" s="40" t="str">
        <f>IFERROR(AVERAGEIFS(#REF!,#REF!,$A:$A),"-")</f>
        <v>-</v>
      </c>
      <c r="I124" s="40" t="str">
        <f>IFERROR(AVERAGEIFS(#REF!,#REF!,$A:$A),"-")</f>
        <v>-</v>
      </c>
      <c r="J124" s="40" t="str">
        <f>IFERROR(AVERAGEIFS(#REF!,#REF!,$A:$A),"-")</f>
        <v>-</v>
      </c>
      <c r="K124" s="40" t="str">
        <f>IFERROR(AVERAGEIFS(#REF!,#REF!,$A:$A),"-")</f>
        <v>-</v>
      </c>
      <c r="L124" s="40" t="str">
        <f>IFERROR(AVERAGEIFS(#REF!,#REF!,$A:$A),"-")</f>
        <v>-</v>
      </c>
      <c r="M124" s="40" t="str">
        <f>IFERROR(AVERAGEIFS(#REF!,#REF!,$A:$A),"-")</f>
        <v>-</v>
      </c>
      <c r="N124" s="40" t="str">
        <f>IFERROR(AVERAGEIFS(#REF!,#REF!,$A:$A),"-")</f>
        <v>-</v>
      </c>
      <c r="O124" s="40" t="str">
        <f>IFERROR(AVERAGEIFS(#REF!,#REF!,$A:$A),"-")</f>
        <v>-</v>
      </c>
      <c r="P124" s="40" t="str">
        <f>IFERROR(AVERAGEIFS(#REF!,#REF!,$A:$A),"-")</f>
        <v>-</v>
      </c>
      <c r="Q124" s="40" t="str">
        <f>IFERROR(AVERAGEIFS(#REF!,#REF!,$A:$A),"-")</f>
        <v>-</v>
      </c>
      <c r="R124" s="40" t="str">
        <f>IFERROR(AVERAGEIFS(#REF!,#REF!,$A:$A),"-")</f>
        <v>-</v>
      </c>
      <c r="S124" s="40" t="str">
        <f>IFERROR(AVERAGEIFS(#REF!,#REF!,$A:$A),"-")</f>
        <v>-</v>
      </c>
      <c r="T124" s="40" t="str">
        <f>IFERROR(AVERAGEIFS(#REF!,#REF!,$A:$A),"-")</f>
        <v>-</v>
      </c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</row>
    <row r="125" spans="2:34" ht="12.75">
      <c r="B125" s="40" t="str">
        <f>IFERROR(AVERAGEIFS('сентябрь 2024- июнь 2026'!$K:$K,'сентябрь 2024- июнь 2026'!$E:$E,$A:$A),"-")</f>
        <v>-</v>
      </c>
      <c r="C125" s="40" t="str">
        <f>IFERROR(AVERAGEIFS(#REF!,#REF!,$A:$A),"-")</f>
        <v>-</v>
      </c>
      <c r="D125" s="40" t="str">
        <f>IFERROR(AVERAGEIFS(#REF!,#REF!,$A:$A),"-")</f>
        <v>-</v>
      </c>
      <c r="E125" s="40" t="str">
        <f>IFERROR(AVERAGEIFS(#REF!,#REF!,$A:$A),"-")</f>
        <v>-</v>
      </c>
      <c r="F125" s="40" t="str">
        <f>IFERROR(AVERAGEIFS(#REF!,#REF!,$A:$A),"-")</f>
        <v>-</v>
      </c>
      <c r="G125" s="40" t="str">
        <f>IFERROR(AVERAGEIFS(#REF!,#REF!,A:A),"-")</f>
        <v>-</v>
      </c>
      <c r="H125" s="40" t="str">
        <f>IFERROR(AVERAGEIFS(#REF!,#REF!,$A:$A),"-")</f>
        <v>-</v>
      </c>
      <c r="I125" s="40" t="str">
        <f>IFERROR(AVERAGEIFS(#REF!,#REF!,$A:$A),"-")</f>
        <v>-</v>
      </c>
      <c r="J125" s="40" t="str">
        <f>IFERROR(AVERAGEIFS(#REF!,#REF!,$A:$A),"-")</f>
        <v>-</v>
      </c>
      <c r="K125" s="40" t="str">
        <f>IFERROR(AVERAGEIFS(#REF!,#REF!,$A:$A),"-")</f>
        <v>-</v>
      </c>
      <c r="L125" s="40" t="str">
        <f>IFERROR(AVERAGEIFS(#REF!,#REF!,$A:$A),"-")</f>
        <v>-</v>
      </c>
      <c r="M125" s="40" t="str">
        <f>IFERROR(AVERAGEIFS(#REF!,#REF!,$A:$A),"-")</f>
        <v>-</v>
      </c>
      <c r="N125" s="40" t="str">
        <f>IFERROR(AVERAGEIFS(#REF!,#REF!,$A:$A),"-")</f>
        <v>-</v>
      </c>
      <c r="O125" s="40" t="str">
        <f>IFERROR(AVERAGEIFS(#REF!,#REF!,$A:$A),"-")</f>
        <v>-</v>
      </c>
      <c r="P125" s="40" t="str">
        <f>IFERROR(AVERAGEIFS(#REF!,#REF!,$A:$A),"-")</f>
        <v>-</v>
      </c>
      <c r="Q125" s="40" t="str">
        <f>IFERROR(AVERAGEIFS(#REF!,#REF!,$A:$A),"-")</f>
        <v>-</v>
      </c>
      <c r="R125" s="40" t="str">
        <f>IFERROR(AVERAGEIFS(#REF!,#REF!,$A:$A),"-")</f>
        <v>-</v>
      </c>
      <c r="S125" s="40" t="str">
        <f>IFERROR(AVERAGEIFS(#REF!,#REF!,$A:$A),"-")</f>
        <v>-</v>
      </c>
      <c r="T125" s="40" t="str">
        <f>IFERROR(AVERAGEIFS(#REF!,#REF!,$A:$A),"-")</f>
        <v>-</v>
      </c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</row>
    <row r="126" spans="2:34" ht="12.75">
      <c r="B126" s="40" t="str">
        <f>IFERROR(AVERAGEIFS('сентябрь 2024- июнь 2026'!$K:$K,'сентябрь 2024- июнь 2026'!$E:$E,$A:$A),"-")</f>
        <v>-</v>
      </c>
      <c r="C126" s="40" t="str">
        <f>IFERROR(AVERAGEIFS(#REF!,#REF!,$A:$A),"-")</f>
        <v>-</v>
      </c>
      <c r="D126" s="40" t="str">
        <f>IFERROR(AVERAGEIFS(#REF!,#REF!,$A:$A),"-")</f>
        <v>-</v>
      </c>
      <c r="E126" s="40" t="str">
        <f>IFERROR(AVERAGEIFS(#REF!,#REF!,$A:$A),"-")</f>
        <v>-</v>
      </c>
      <c r="F126" s="40" t="str">
        <f>IFERROR(AVERAGEIFS(#REF!,#REF!,$A:$A),"-")</f>
        <v>-</v>
      </c>
      <c r="G126" s="40" t="str">
        <f>IFERROR(AVERAGEIFS(#REF!,#REF!,A:A),"-")</f>
        <v>-</v>
      </c>
      <c r="H126" s="40" t="str">
        <f>IFERROR(AVERAGEIFS(#REF!,#REF!,$A:$A),"-")</f>
        <v>-</v>
      </c>
      <c r="I126" s="40" t="str">
        <f>IFERROR(AVERAGEIFS(#REF!,#REF!,$A:$A),"-")</f>
        <v>-</v>
      </c>
      <c r="J126" s="40" t="str">
        <f>IFERROR(AVERAGEIFS(#REF!,#REF!,$A:$A),"-")</f>
        <v>-</v>
      </c>
      <c r="K126" s="40" t="str">
        <f>IFERROR(AVERAGEIFS(#REF!,#REF!,$A:$A),"-")</f>
        <v>-</v>
      </c>
      <c r="L126" s="40" t="str">
        <f>IFERROR(AVERAGEIFS(#REF!,#REF!,$A:$A),"-")</f>
        <v>-</v>
      </c>
      <c r="M126" s="40" t="str">
        <f>IFERROR(AVERAGEIFS(#REF!,#REF!,$A:$A),"-")</f>
        <v>-</v>
      </c>
      <c r="N126" s="40" t="str">
        <f>IFERROR(AVERAGEIFS(#REF!,#REF!,$A:$A),"-")</f>
        <v>-</v>
      </c>
      <c r="O126" s="40" t="str">
        <f>IFERROR(AVERAGEIFS(#REF!,#REF!,$A:$A),"-")</f>
        <v>-</v>
      </c>
      <c r="P126" s="40" t="str">
        <f>IFERROR(AVERAGEIFS(#REF!,#REF!,$A:$A),"-")</f>
        <v>-</v>
      </c>
      <c r="Q126" s="40" t="str">
        <f>IFERROR(AVERAGEIFS(#REF!,#REF!,$A:$A),"-")</f>
        <v>-</v>
      </c>
      <c r="R126" s="40" t="str">
        <f>IFERROR(AVERAGEIFS(#REF!,#REF!,$A:$A),"-")</f>
        <v>-</v>
      </c>
      <c r="S126" s="40" t="str">
        <f>IFERROR(AVERAGEIFS(#REF!,#REF!,$A:$A),"-")</f>
        <v>-</v>
      </c>
      <c r="T126" s="40" t="str">
        <f>IFERROR(AVERAGEIFS(#REF!,#REF!,$A:$A),"-")</f>
        <v>-</v>
      </c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</row>
    <row r="127" spans="2:34" ht="12.75">
      <c r="B127" s="40" t="str">
        <f>IFERROR(AVERAGEIFS('сентябрь 2024- июнь 2026'!$K:$K,'сентябрь 2024- июнь 2026'!$E:$E,$A:$A),"-")</f>
        <v>-</v>
      </c>
      <c r="C127" s="40" t="str">
        <f>IFERROR(AVERAGEIFS(#REF!,#REF!,$A:$A),"-")</f>
        <v>-</v>
      </c>
      <c r="D127" s="40" t="str">
        <f>IFERROR(AVERAGEIFS(#REF!,#REF!,$A:$A),"-")</f>
        <v>-</v>
      </c>
      <c r="E127" s="40" t="str">
        <f>IFERROR(AVERAGEIFS(#REF!,#REF!,$A:$A),"-")</f>
        <v>-</v>
      </c>
      <c r="F127" s="40" t="str">
        <f>IFERROR(AVERAGEIFS(#REF!,#REF!,$A:$A),"-")</f>
        <v>-</v>
      </c>
      <c r="G127" s="40" t="str">
        <f>IFERROR(AVERAGEIFS(#REF!,#REF!,A:A),"-")</f>
        <v>-</v>
      </c>
      <c r="H127" s="40" t="str">
        <f>IFERROR(AVERAGEIFS(#REF!,#REF!,$A:$A),"-")</f>
        <v>-</v>
      </c>
      <c r="I127" s="40" t="str">
        <f>IFERROR(AVERAGEIFS(#REF!,#REF!,$A:$A),"-")</f>
        <v>-</v>
      </c>
      <c r="J127" s="40" t="str">
        <f>IFERROR(AVERAGEIFS(#REF!,#REF!,$A:$A),"-")</f>
        <v>-</v>
      </c>
      <c r="K127" s="40" t="str">
        <f>IFERROR(AVERAGEIFS(#REF!,#REF!,$A:$A),"-")</f>
        <v>-</v>
      </c>
      <c r="L127" s="40" t="str">
        <f>IFERROR(AVERAGEIFS(#REF!,#REF!,$A:$A),"-")</f>
        <v>-</v>
      </c>
      <c r="M127" s="40" t="str">
        <f>IFERROR(AVERAGEIFS(#REF!,#REF!,$A:$A),"-")</f>
        <v>-</v>
      </c>
      <c r="N127" s="40" t="str">
        <f>IFERROR(AVERAGEIFS(#REF!,#REF!,$A:$A),"-")</f>
        <v>-</v>
      </c>
      <c r="O127" s="40" t="str">
        <f>IFERROR(AVERAGEIFS(#REF!,#REF!,$A:$A),"-")</f>
        <v>-</v>
      </c>
      <c r="P127" s="40" t="str">
        <f>IFERROR(AVERAGEIFS(#REF!,#REF!,$A:$A),"-")</f>
        <v>-</v>
      </c>
      <c r="Q127" s="40" t="str">
        <f>IFERROR(AVERAGEIFS(#REF!,#REF!,$A:$A),"-")</f>
        <v>-</v>
      </c>
      <c r="R127" s="40" t="str">
        <f>IFERROR(AVERAGEIFS(#REF!,#REF!,$A:$A),"-")</f>
        <v>-</v>
      </c>
      <c r="S127" s="40" t="str">
        <f>IFERROR(AVERAGEIFS(#REF!,#REF!,$A:$A),"-")</f>
        <v>-</v>
      </c>
      <c r="T127" s="40" t="str">
        <f>IFERROR(AVERAGEIFS(#REF!,#REF!,$A:$A),"-")</f>
        <v>-</v>
      </c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</row>
    <row r="128" spans="2:34" ht="12.75">
      <c r="B128" s="40" t="str">
        <f>IFERROR(AVERAGEIFS('сентябрь 2024- июнь 2026'!$K:$K,'сентябрь 2024- июнь 2026'!$E:$E,$A:$A),"-")</f>
        <v>-</v>
      </c>
      <c r="C128" s="40" t="str">
        <f>IFERROR(AVERAGEIFS(#REF!,#REF!,$A:$A),"-")</f>
        <v>-</v>
      </c>
      <c r="D128" s="40" t="str">
        <f>IFERROR(AVERAGEIFS(#REF!,#REF!,$A:$A),"-")</f>
        <v>-</v>
      </c>
      <c r="E128" s="40" t="str">
        <f>IFERROR(AVERAGEIFS(#REF!,#REF!,$A:$A),"-")</f>
        <v>-</v>
      </c>
      <c r="F128" s="40" t="str">
        <f>IFERROR(AVERAGEIFS(#REF!,#REF!,$A:$A),"-")</f>
        <v>-</v>
      </c>
      <c r="G128" s="40" t="str">
        <f>IFERROR(AVERAGEIFS(#REF!,#REF!,A:A),"-")</f>
        <v>-</v>
      </c>
      <c r="H128" s="40" t="str">
        <f>IFERROR(AVERAGEIFS(#REF!,#REF!,$A:$A),"-")</f>
        <v>-</v>
      </c>
      <c r="I128" s="40" t="str">
        <f>IFERROR(AVERAGEIFS(#REF!,#REF!,$A:$A),"-")</f>
        <v>-</v>
      </c>
      <c r="J128" s="40" t="str">
        <f>IFERROR(AVERAGEIFS(#REF!,#REF!,$A:$A),"-")</f>
        <v>-</v>
      </c>
      <c r="K128" s="40" t="str">
        <f>IFERROR(AVERAGEIFS(#REF!,#REF!,$A:$A),"-")</f>
        <v>-</v>
      </c>
      <c r="L128" s="40" t="str">
        <f>IFERROR(AVERAGEIFS(#REF!,#REF!,$A:$A),"-")</f>
        <v>-</v>
      </c>
      <c r="M128" s="40" t="str">
        <f>IFERROR(AVERAGEIFS(#REF!,#REF!,$A:$A),"-")</f>
        <v>-</v>
      </c>
      <c r="N128" s="40" t="str">
        <f>IFERROR(AVERAGEIFS(#REF!,#REF!,$A:$A),"-")</f>
        <v>-</v>
      </c>
      <c r="O128" s="40" t="str">
        <f>IFERROR(AVERAGEIFS(#REF!,#REF!,$A:$A),"-")</f>
        <v>-</v>
      </c>
      <c r="P128" s="40" t="str">
        <f>IFERROR(AVERAGEIFS(#REF!,#REF!,$A:$A),"-")</f>
        <v>-</v>
      </c>
      <c r="Q128" s="40" t="str">
        <f>IFERROR(AVERAGEIFS(#REF!,#REF!,$A:$A),"-")</f>
        <v>-</v>
      </c>
      <c r="R128" s="40" t="str">
        <f>IFERROR(AVERAGEIFS(#REF!,#REF!,$A:$A),"-")</f>
        <v>-</v>
      </c>
      <c r="S128" s="40" t="str">
        <f>IFERROR(AVERAGEIFS(#REF!,#REF!,$A:$A),"-")</f>
        <v>-</v>
      </c>
      <c r="T128" s="40" t="str">
        <f>IFERROR(AVERAGEIFS(#REF!,#REF!,$A:$A),"-")</f>
        <v>-</v>
      </c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</row>
    <row r="129" spans="2:34" ht="12.75">
      <c r="B129" s="40" t="str">
        <f>IFERROR(AVERAGEIFS('сентябрь 2024- июнь 2026'!$K:$K,'сентябрь 2024- июнь 2026'!$E:$E,$A:$A),"-")</f>
        <v>-</v>
      </c>
      <c r="C129" s="40" t="str">
        <f>IFERROR(AVERAGEIFS(#REF!,#REF!,$A:$A),"-")</f>
        <v>-</v>
      </c>
      <c r="D129" s="40" t="str">
        <f>IFERROR(AVERAGEIFS(#REF!,#REF!,$A:$A),"-")</f>
        <v>-</v>
      </c>
      <c r="E129" s="40" t="str">
        <f>IFERROR(AVERAGEIFS(#REF!,#REF!,$A:$A),"-")</f>
        <v>-</v>
      </c>
      <c r="F129" s="40" t="str">
        <f>IFERROR(AVERAGEIFS(#REF!,#REF!,$A:$A),"-")</f>
        <v>-</v>
      </c>
      <c r="G129" s="40" t="str">
        <f>IFERROR(AVERAGEIFS(#REF!,#REF!,A:A),"-")</f>
        <v>-</v>
      </c>
      <c r="H129" s="40" t="str">
        <f>IFERROR(AVERAGEIFS(#REF!,#REF!,$A:$A),"-")</f>
        <v>-</v>
      </c>
      <c r="I129" s="40" t="str">
        <f>IFERROR(AVERAGEIFS(#REF!,#REF!,$A:$A),"-")</f>
        <v>-</v>
      </c>
      <c r="J129" s="40" t="str">
        <f>IFERROR(AVERAGEIFS(#REF!,#REF!,$A:$A),"-")</f>
        <v>-</v>
      </c>
      <c r="K129" s="40" t="str">
        <f>IFERROR(AVERAGEIFS(#REF!,#REF!,$A:$A),"-")</f>
        <v>-</v>
      </c>
      <c r="L129" s="40" t="str">
        <f>IFERROR(AVERAGEIFS(#REF!,#REF!,$A:$A),"-")</f>
        <v>-</v>
      </c>
      <c r="M129" s="40" t="str">
        <f>IFERROR(AVERAGEIFS(#REF!,#REF!,$A:$A),"-")</f>
        <v>-</v>
      </c>
      <c r="N129" s="40" t="str">
        <f>IFERROR(AVERAGEIFS(#REF!,#REF!,$A:$A),"-")</f>
        <v>-</v>
      </c>
      <c r="O129" s="40" t="str">
        <f>IFERROR(AVERAGEIFS(#REF!,#REF!,$A:$A),"-")</f>
        <v>-</v>
      </c>
      <c r="P129" s="40" t="str">
        <f>IFERROR(AVERAGEIFS(#REF!,#REF!,$A:$A),"-")</f>
        <v>-</v>
      </c>
      <c r="Q129" s="40" t="str">
        <f>IFERROR(AVERAGEIFS(#REF!,#REF!,$A:$A),"-")</f>
        <v>-</v>
      </c>
      <c r="R129" s="40" t="str">
        <f>IFERROR(AVERAGEIFS(#REF!,#REF!,$A:$A),"-")</f>
        <v>-</v>
      </c>
      <c r="S129" s="40" t="str">
        <f>IFERROR(AVERAGEIFS(#REF!,#REF!,$A:$A),"-")</f>
        <v>-</v>
      </c>
      <c r="T129" s="40" t="str">
        <f>IFERROR(AVERAGEIFS(#REF!,#REF!,$A:$A),"-")</f>
        <v>-</v>
      </c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</row>
    <row r="130" spans="2:34" ht="12.75">
      <c r="B130" s="40" t="str">
        <f>IFERROR(AVERAGEIFS('сентябрь 2024- июнь 2026'!$K:$K,'сентябрь 2024- июнь 2026'!$E:$E,$A:$A),"-")</f>
        <v>-</v>
      </c>
      <c r="C130" s="40" t="str">
        <f>IFERROR(AVERAGEIFS(#REF!,#REF!,$A:$A),"-")</f>
        <v>-</v>
      </c>
      <c r="D130" s="40" t="str">
        <f>IFERROR(AVERAGEIFS(#REF!,#REF!,$A:$A),"-")</f>
        <v>-</v>
      </c>
      <c r="E130" s="40" t="str">
        <f>IFERROR(AVERAGEIFS(#REF!,#REF!,$A:$A),"-")</f>
        <v>-</v>
      </c>
      <c r="F130" s="40" t="str">
        <f>IFERROR(AVERAGEIFS(#REF!,#REF!,$A:$A),"-")</f>
        <v>-</v>
      </c>
      <c r="G130" s="40" t="str">
        <f>IFERROR(AVERAGEIFS(#REF!,#REF!,A:A),"-")</f>
        <v>-</v>
      </c>
      <c r="H130" s="40" t="str">
        <f>IFERROR(AVERAGEIFS(#REF!,#REF!,$A:$A),"-")</f>
        <v>-</v>
      </c>
      <c r="I130" s="40" t="str">
        <f>IFERROR(AVERAGEIFS(#REF!,#REF!,$A:$A),"-")</f>
        <v>-</v>
      </c>
      <c r="J130" s="40" t="str">
        <f>IFERROR(AVERAGEIFS(#REF!,#REF!,$A:$A),"-")</f>
        <v>-</v>
      </c>
      <c r="K130" s="40" t="str">
        <f>IFERROR(AVERAGEIFS(#REF!,#REF!,$A:$A),"-")</f>
        <v>-</v>
      </c>
      <c r="L130" s="40" t="str">
        <f>IFERROR(AVERAGEIFS(#REF!,#REF!,$A:$A),"-")</f>
        <v>-</v>
      </c>
      <c r="M130" s="40" t="str">
        <f>IFERROR(AVERAGEIFS(#REF!,#REF!,$A:$A),"-")</f>
        <v>-</v>
      </c>
      <c r="N130" s="40" t="str">
        <f>IFERROR(AVERAGEIFS(#REF!,#REF!,$A:$A),"-")</f>
        <v>-</v>
      </c>
      <c r="O130" s="40" t="str">
        <f>IFERROR(AVERAGEIFS(#REF!,#REF!,$A:$A),"-")</f>
        <v>-</v>
      </c>
      <c r="P130" s="40" t="str">
        <f>IFERROR(AVERAGEIFS(#REF!,#REF!,$A:$A),"-")</f>
        <v>-</v>
      </c>
      <c r="Q130" s="40" t="str">
        <f>IFERROR(AVERAGEIFS(#REF!,#REF!,$A:$A),"-")</f>
        <v>-</v>
      </c>
      <c r="R130" s="40" t="str">
        <f>IFERROR(AVERAGEIFS(#REF!,#REF!,$A:$A),"-")</f>
        <v>-</v>
      </c>
      <c r="S130" s="40" t="str">
        <f>IFERROR(AVERAGEIFS(#REF!,#REF!,$A:$A),"-")</f>
        <v>-</v>
      </c>
      <c r="T130" s="40" t="str">
        <f>IFERROR(AVERAGEIFS(#REF!,#REF!,$A:$A),"-")</f>
        <v>-</v>
      </c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</row>
    <row r="131" spans="2:34" ht="12.75">
      <c r="B131" s="40" t="str">
        <f>IFERROR(AVERAGEIFS('сентябрь 2024- июнь 2026'!$K:$K,'сентябрь 2024- июнь 2026'!$E:$E,$A:$A),"-")</f>
        <v>-</v>
      </c>
      <c r="C131" s="40" t="str">
        <f>IFERROR(AVERAGEIFS(#REF!,#REF!,$A:$A),"-")</f>
        <v>-</v>
      </c>
      <c r="D131" s="40" t="str">
        <f>IFERROR(AVERAGEIFS(#REF!,#REF!,$A:$A),"-")</f>
        <v>-</v>
      </c>
      <c r="E131" s="40" t="str">
        <f>IFERROR(AVERAGEIFS(#REF!,#REF!,$A:$A),"-")</f>
        <v>-</v>
      </c>
      <c r="F131" s="40" t="str">
        <f>IFERROR(AVERAGEIFS(#REF!,#REF!,$A:$A),"-")</f>
        <v>-</v>
      </c>
      <c r="G131" s="40" t="str">
        <f>IFERROR(AVERAGEIFS(#REF!,#REF!,A:A),"-")</f>
        <v>-</v>
      </c>
      <c r="H131" s="40" t="str">
        <f>IFERROR(AVERAGEIFS(#REF!,#REF!,$A:$A),"-")</f>
        <v>-</v>
      </c>
      <c r="I131" s="40" t="str">
        <f>IFERROR(AVERAGEIFS(#REF!,#REF!,$A:$A),"-")</f>
        <v>-</v>
      </c>
      <c r="J131" s="40" t="str">
        <f>IFERROR(AVERAGEIFS(#REF!,#REF!,$A:$A),"-")</f>
        <v>-</v>
      </c>
      <c r="K131" s="40" t="str">
        <f>IFERROR(AVERAGEIFS(#REF!,#REF!,$A:$A),"-")</f>
        <v>-</v>
      </c>
      <c r="L131" s="40" t="str">
        <f>IFERROR(AVERAGEIFS(#REF!,#REF!,$A:$A),"-")</f>
        <v>-</v>
      </c>
      <c r="M131" s="40" t="str">
        <f>IFERROR(AVERAGEIFS(#REF!,#REF!,$A:$A),"-")</f>
        <v>-</v>
      </c>
      <c r="N131" s="40" t="str">
        <f>IFERROR(AVERAGEIFS(#REF!,#REF!,$A:$A),"-")</f>
        <v>-</v>
      </c>
      <c r="O131" s="40" t="str">
        <f>IFERROR(AVERAGEIFS(#REF!,#REF!,$A:$A),"-")</f>
        <v>-</v>
      </c>
      <c r="P131" s="40" t="str">
        <f>IFERROR(AVERAGEIFS(#REF!,#REF!,$A:$A),"-")</f>
        <v>-</v>
      </c>
      <c r="Q131" s="40" t="str">
        <f>IFERROR(AVERAGEIFS(#REF!,#REF!,$A:$A),"-")</f>
        <v>-</v>
      </c>
      <c r="R131" s="40" t="str">
        <f>IFERROR(AVERAGEIFS(#REF!,#REF!,$A:$A),"-")</f>
        <v>-</v>
      </c>
      <c r="S131" s="40" t="str">
        <f>IFERROR(AVERAGEIFS(#REF!,#REF!,$A:$A),"-")</f>
        <v>-</v>
      </c>
      <c r="T131" s="40" t="str">
        <f>IFERROR(AVERAGEIFS(#REF!,#REF!,$A:$A),"-")</f>
        <v>-</v>
      </c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</row>
    <row r="132" spans="2:34" ht="12.75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</row>
    <row r="133" spans="2:34" ht="12.75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</row>
    <row r="134" spans="2:34" ht="12.75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</row>
    <row r="135" spans="2:34" ht="12.75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</row>
    <row r="136" spans="2:34" ht="12.75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</row>
    <row r="137" spans="2:34" ht="12.75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</row>
    <row r="138" spans="2:34" ht="12.75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</row>
    <row r="139" spans="2:34" ht="12.75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</row>
    <row r="140" spans="2:34" ht="12.75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</row>
    <row r="141" spans="2:34" ht="12.75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</row>
    <row r="142" spans="2:34" ht="12.75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</row>
    <row r="143" spans="2:34" ht="12.75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</row>
    <row r="144" spans="2:34" ht="12.75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</row>
    <row r="145" spans="2:34" ht="12.75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</row>
    <row r="146" spans="2:34" ht="12.75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</row>
    <row r="147" spans="2:34" ht="12.75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</row>
    <row r="148" spans="2:34" ht="12.75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</row>
    <row r="149" spans="2:34" ht="12.75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</row>
    <row r="150" spans="2:34" ht="12.75"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</row>
    <row r="151" spans="2:34" ht="12.75"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</row>
    <row r="152" spans="2:34" ht="12.75"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</row>
    <row r="153" spans="2:34" ht="12.75"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</row>
    <row r="154" spans="2:34" ht="12.75"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</row>
    <row r="155" spans="2:34" ht="12.75"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</row>
    <row r="156" spans="2:34" ht="12.75"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</row>
    <row r="157" spans="2:34" ht="12.75"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</row>
    <row r="158" spans="2:34" ht="12.75"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</row>
    <row r="159" spans="2:34" ht="12.75"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</row>
    <row r="160" spans="2:34" ht="12.75"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</row>
    <row r="161" spans="2:34" ht="12.75"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</row>
    <row r="162" spans="2:34" ht="12.75"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</row>
    <row r="163" spans="2:34" ht="12.75"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</row>
    <row r="164" spans="2:34" ht="12.75"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</row>
    <row r="165" spans="2:34" ht="12.75"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</row>
    <row r="166" spans="2:34" ht="12.75"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</row>
    <row r="167" spans="2:34" ht="12.75"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</row>
    <row r="168" spans="2:34" ht="12.75"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</row>
    <row r="169" spans="2:34" ht="12.75"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</row>
    <row r="170" spans="2:34" ht="12.75"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</row>
    <row r="171" spans="2:34" ht="12.75"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</row>
    <row r="172" spans="2:34" ht="12.75"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</row>
    <row r="173" spans="2:34" ht="12.75"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</row>
    <row r="174" spans="2:34" ht="12.75"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</row>
    <row r="175" spans="2:34" ht="12.75"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</row>
    <row r="176" spans="2:34" ht="12.75"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</row>
    <row r="177" spans="2:34" ht="12.75"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</row>
    <row r="178" spans="2:34" ht="12.75"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</row>
    <row r="179" spans="2:34" ht="12.75"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</row>
    <row r="180" spans="2:34" ht="12.75"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</row>
    <row r="181" spans="2:34" ht="12.75"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</row>
    <row r="182" spans="2:34" ht="12.75"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</row>
    <row r="183" spans="2:34" ht="12.75"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</row>
    <row r="184" spans="2:34" ht="12.75"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</row>
    <row r="185" spans="2:34" ht="12.75"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</row>
    <row r="186" spans="2:34" ht="12.75"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</row>
    <row r="187" spans="2:34" ht="12.75"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</row>
    <row r="188" spans="2:34" ht="12.75"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</row>
    <row r="189" spans="2:34" ht="12.75"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</row>
    <row r="190" spans="2:34" ht="12.75"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</row>
    <row r="191" spans="2:34" ht="12.75"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</row>
    <row r="192" spans="2:34" ht="12.75"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</row>
    <row r="193" spans="2:34" ht="12.75"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</row>
    <row r="194" spans="2:34" ht="12.75"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</row>
    <row r="195" spans="2:34" ht="12.75"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</row>
    <row r="196" spans="2:34" ht="12.75"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</row>
    <row r="197" spans="2:34" ht="12.75"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</row>
    <row r="198" spans="2:34" ht="12.75"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</row>
    <row r="199" spans="2:34" ht="12.75"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</row>
    <row r="200" spans="2:34" ht="12.75"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</row>
    <row r="201" spans="2:34" ht="12.75"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</row>
    <row r="202" spans="2:34" ht="12.75"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</row>
    <row r="203" spans="2:34" ht="12.75"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</row>
    <row r="204" spans="2:34" ht="12.75"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</row>
    <row r="205" spans="2:34" ht="12.75"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</row>
    <row r="206" spans="2:34" ht="12.75"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</row>
    <row r="207" spans="2:34" ht="12.75"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</row>
    <row r="208" spans="2:34" ht="12.75"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</row>
    <row r="209" spans="2:34" ht="12.75"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</row>
    <row r="210" spans="2:34" ht="12.75"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</row>
    <row r="211" spans="2:34" ht="12.75"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</row>
    <row r="212" spans="2:34" ht="12.75"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</row>
    <row r="213" spans="2:34" ht="12.75"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</row>
    <row r="214" spans="2:34" ht="12.75"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</row>
    <row r="215" spans="2:34" ht="12.75"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</row>
    <row r="216" spans="2:34" ht="12.75"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</row>
    <row r="217" spans="2:34" ht="12.75"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</row>
    <row r="218" spans="2:34" ht="12.75"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</row>
    <row r="219" spans="2:34" ht="12.75"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</row>
    <row r="220" spans="2:34" ht="12.75"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</row>
    <row r="221" spans="2:34" ht="12.75"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</row>
    <row r="222" spans="2:34" ht="12.75"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</row>
    <row r="223" spans="2:34" ht="12.75"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</row>
    <row r="224" spans="2:34" ht="12.75"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</row>
    <row r="225" spans="2:34" ht="12.75"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</row>
    <row r="226" spans="2:34" ht="12.75"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</row>
    <row r="227" spans="2:34" ht="12.75"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</row>
    <row r="228" spans="2:34" ht="12.75"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</row>
    <row r="229" spans="2:34" ht="12.75"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</row>
    <row r="230" spans="2:34" ht="12.75"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</row>
    <row r="231" spans="2:34" ht="12.75"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</row>
    <row r="232" spans="2:34" ht="12.75"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</row>
    <row r="233" spans="2:34" ht="12.75"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</row>
    <row r="234" spans="2:34" ht="12.75"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</row>
    <row r="235" spans="2:34" ht="12.75"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</row>
    <row r="236" spans="2:34" ht="12.75"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</row>
    <row r="237" spans="2:34" ht="12.75"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</row>
    <row r="238" spans="2:34" ht="12.75"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</row>
    <row r="239" spans="2:34" ht="12.75"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</row>
    <row r="240" spans="2:34" ht="12.75"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</row>
    <row r="241" spans="2:34" ht="12.75"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</row>
    <row r="242" spans="2:34" ht="12.75"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</row>
    <row r="243" spans="2:34" ht="12.75"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</row>
    <row r="244" spans="2:34" ht="12.75"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</row>
    <row r="245" spans="2:34" ht="12.75"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</row>
    <row r="246" spans="2:34" ht="12.75"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</row>
    <row r="247" spans="2:34" ht="12.75"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</row>
    <row r="248" spans="2:34" ht="12.75"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</row>
    <row r="249" spans="2:34" ht="12.75"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</row>
    <row r="250" spans="2:34" ht="12.75"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</row>
    <row r="251" spans="2:34" ht="12.75"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</row>
    <row r="252" spans="2:34" ht="12.75"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</row>
    <row r="253" spans="2:34" ht="12.75"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</row>
    <row r="254" spans="2:34" ht="12.75"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</row>
    <row r="255" spans="2:34" ht="12.75"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</row>
    <row r="256" spans="2:34" ht="12.75"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</row>
    <row r="257" spans="2:34" ht="12.75"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</row>
    <row r="258" spans="2:34" ht="12.75"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</row>
    <row r="259" spans="2:34" ht="12.75"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</row>
    <row r="260" spans="2:34" ht="12.75"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</row>
    <row r="261" spans="2:34" ht="12.75"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</row>
    <row r="262" spans="2:34" ht="12.75"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</row>
    <row r="263" spans="2:34" ht="12.75"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</row>
    <row r="264" spans="2:34" ht="12.75"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</row>
    <row r="265" spans="2:34" ht="12.75"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</row>
    <row r="266" spans="2:34" ht="12.75"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</row>
    <row r="267" spans="2:34" ht="12.75"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</row>
    <row r="268" spans="2:34" ht="12.75"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</row>
    <row r="269" spans="2:34" ht="12.75"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</row>
    <row r="270" spans="2:34" ht="12.75"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</row>
    <row r="271" spans="2:34" ht="12.75"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</row>
    <row r="272" spans="2:34" ht="12.75"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</row>
    <row r="273" spans="2:34" ht="12.75"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</row>
    <row r="274" spans="2:34" ht="12.75"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</row>
    <row r="275" spans="2:34" ht="12.75"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</row>
    <row r="276" spans="2:34" ht="12.75"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</row>
    <row r="277" spans="2:34" ht="12.75"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</row>
    <row r="278" spans="2:34" ht="12.75"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</row>
    <row r="279" spans="2:34" ht="12.75"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</row>
    <row r="280" spans="2:34" ht="12.75"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</row>
    <row r="281" spans="2:34" ht="12.75"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</row>
    <row r="282" spans="2:34" ht="12.75"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</row>
    <row r="283" spans="2:34" ht="12.75"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</row>
    <row r="284" spans="2:34" ht="12.75"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</row>
    <row r="285" spans="2:34" ht="12.75"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</row>
    <row r="286" spans="2:34" ht="12.75"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</row>
    <row r="287" spans="2:34" ht="12.75"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</row>
    <row r="288" spans="2:34" ht="12.75"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</row>
    <row r="289" spans="2:34" ht="12.75"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</row>
    <row r="290" spans="2:34" ht="12.75"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</row>
    <row r="291" spans="2:34" ht="12.75"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</row>
    <row r="292" spans="2:34" ht="12.75"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</row>
    <row r="293" spans="2:34" ht="12.75"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</row>
    <row r="294" spans="2:34" ht="12.75"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</row>
    <row r="295" spans="2:34" ht="12.75"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</row>
    <row r="296" spans="2:34" ht="12.75"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</row>
    <row r="297" spans="2:34" ht="12.75"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</row>
    <row r="298" spans="2:34" ht="12.75"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</row>
    <row r="299" spans="2:34" ht="12.75"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</row>
    <row r="300" spans="2:34" ht="12.75"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</row>
    <row r="301" spans="2:34" ht="12.75"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</row>
    <row r="302" spans="2:34" ht="12.75"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</row>
    <row r="303" spans="2:34" ht="12.75"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</row>
    <row r="304" spans="2:34" ht="12.75"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</row>
    <row r="305" spans="2:34" ht="12.75"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</row>
    <row r="306" spans="2:34" ht="12.75"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</row>
    <row r="307" spans="2:34" ht="12.75"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</row>
    <row r="308" spans="2:34" ht="12.75"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</row>
    <row r="309" spans="2:34" ht="12.75"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</row>
    <row r="310" spans="2:34" ht="12.75"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</row>
    <row r="311" spans="2:34" ht="12.75"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</row>
    <row r="312" spans="2:34" ht="12.75"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</row>
    <row r="313" spans="2:34" ht="12.75"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</row>
    <row r="314" spans="2:34" ht="12.75"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</row>
    <row r="315" spans="2:34" ht="12.75"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</row>
    <row r="316" spans="2:34" ht="12.75"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</row>
    <row r="317" spans="2:34" ht="12.75"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</row>
    <row r="318" spans="2:34" ht="12.75"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</row>
    <row r="319" spans="2:34" ht="12.75"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</row>
    <row r="320" spans="2:34" ht="12.75"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</row>
    <row r="321" spans="2:34" ht="12.75"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</row>
    <row r="322" spans="2:34" ht="12.75"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</row>
    <row r="323" spans="2:34" ht="12.75"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</row>
    <row r="324" spans="2:34" ht="12.75"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</row>
    <row r="325" spans="2:34" ht="12.75"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</row>
    <row r="326" spans="2:34" ht="12.75"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</row>
    <row r="327" spans="2:34" ht="12.75"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</row>
    <row r="328" spans="2:34" ht="12.75"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</row>
    <row r="329" spans="2:34" ht="12.75"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</row>
    <row r="330" spans="2:34" ht="12.75"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</row>
    <row r="331" spans="2:34" ht="12.75"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</row>
    <row r="332" spans="2:34" ht="12.75"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</row>
    <row r="333" spans="2:34" ht="12.75"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</row>
    <row r="334" spans="2:34" ht="12.75"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</row>
    <row r="335" spans="2:34" ht="12.75"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</row>
    <row r="336" spans="2:34" ht="12.75"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</row>
    <row r="337" spans="2:34" ht="12.75"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</row>
    <row r="338" spans="2:34" ht="12.75"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</row>
    <row r="339" spans="2:34" ht="12.75"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</row>
    <row r="340" spans="2:34" ht="12.75"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</row>
    <row r="341" spans="2:34" ht="12.75"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</row>
    <row r="342" spans="2:34" ht="12.75"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</row>
    <row r="343" spans="2:34" ht="12.75"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</row>
    <row r="344" spans="2:34" ht="12.75"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</row>
    <row r="345" spans="2:34" ht="12.75"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</row>
    <row r="346" spans="2:34" ht="12.75"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</row>
    <row r="347" spans="2:34" ht="12.75"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</row>
    <row r="348" spans="2:34" ht="12.75"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</row>
    <row r="349" spans="2:34" ht="12.75"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</row>
    <row r="350" spans="2:34" ht="12.75"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</row>
    <row r="351" spans="2:34" ht="12.75"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</row>
    <row r="352" spans="2:34" ht="12.75"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</row>
    <row r="353" spans="2:34" ht="12.75"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</row>
    <row r="354" spans="2:34" ht="12.75"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</row>
    <row r="355" spans="2:34" ht="12.75"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</row>
    <row r="356" spans="2:34" ht="12.75"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</row>
    <row r="357" spans="2:34" ht="12.75"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</row>
    <row r="358" spans="2:34" ht="12.75"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</row>
    <row r="359" spans="2:34" ht="12.75"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</row>
    <row r="360" spans="2:34" ht="12.75"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</row>
    <row r="361" spans="2:34" ht="12.75"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</row>
    <row r="362" spans="2:34" ht="12.75"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</row>
    <row r="363" spans="2:34" ht="12.75"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</row>
    <row r="364" spans="2:34" ht="12.75"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</row>
    <row r="365" spans="2:34" ht="12.75"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</row>
    <row r="366" spans="2:34" ht="12.75"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</row>
    <row r="367" spans="2:34" ht="12.75"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</row>
    <row r="368" spans="2:34" ht="12.75"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</row>
    <row r="369" spans="2:34" ht="12.75"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</row>
    <row r="370" spans="2:34" ht="12.75"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</row>
    <row r="371" spans="2:34" ht="12.75"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</row>
    <row r="372" spans="2:34" ht="12.75"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</row>
    <row r="373" spans="2:34" ht="12.75"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</row>
    <row r="374" spans="2:34" ht="12.75"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</row>
    <row r="375" spans="2:34" ht="12.75"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</row>
    <row r="376" spans="2:34" ht="12.75"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</row>
    <row r="377" spans="2:34" ht="12.75"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</row>
    <row r="378" spans="2:34" ht="12.75"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</row>
    <row r="379" spans="2:34" ht="12.75"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</row>
    <row r="380" spans="2:34" ht="12.75"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</row>
    <row r="381" spans="2:34" ht="12.75"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</row>
    <row r="382" spans="2:34" ht="12.75"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</row>
    <row r="383" spans="2:34" ht="12.75"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</row>
    <row r="384" spans="2:34" ht="12.75"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</row>
    <row r="385" spans="2:34" ht="12.75"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</row>
    <row r="386" spans="2:34" ht="12.75"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</row>
    <row r="387" spans="2:34" ht="12.75"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</row>
    <row r="388" spans="2:34" ht="12.75"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</row>
    <row r="389" spans="2:34" ht="12.75"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</row>
    <row r="390" spans="2:34" ht="12.75"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</row>
    <row r="391" spans="2:34" ht="12.75"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</row>
    <row r="392" spans="2:34" ht="12.75"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</row>
    <row r="393" spans="2:34" ht="12.75"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</row>
    <row r="394" spans="2:34" ht="12.75"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</row>
    <row r="395" spans="2:34" ht="12.75"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</row>
    <row r="396" spans="2:34" ht="12.75"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</row>
    <row r="397" spans="2:34" ht="12.75"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</row>
    <row r="398" spans="2:34" ht="12.75"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</row>
    <row r="399" spans="2:34" ht="12.75"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</row>
    <row r="400" spans="2:34" ht="12.75"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</row>
    <row r="401" spans="2:34" ht="12.75"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</row>
    <row r="402" spans="2:34" ht="12.75"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</row>
    <row r="403" spans="2:34" ht="12.75"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</row>
    <row r="404" spans="2:34" ht="12.75"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</row>
    <row r="405" spans="2:34" ht="12.75"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</row>
    <row r="406" spans="2:34" ht="12.75"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</row>
    <row r="407" spans="2:34" ht="12.75"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</row>
    <row r="408" spans="2:34" ht="12.75"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</row>
    <row r="409" spans="2:34" ht="12.75"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</row>
    <row r="410" spans="2:34" ht="12.75"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</row>
    <row r="411" spans="2:34" ht="12.75"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</row>
    <row r="412" spans="2:34" ht="12.75"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</row>
    <row r="413" spans="2:34" ht="12.75"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</row>
    <row r="414" spans="2:34" ht="12.75"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</row>
    <row r="415" spans="2:34" ht="12.75"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</row>
    <row r="416" spans="2:34" ht="12.75"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</row>
    <row r="417" spans="2:34" ht="12.75"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</row>
    <row r="418" spans="2:34" ht="12.75"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</row>
    <row r="419" spans="2:34" ht="12.75"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</row>
    <row r="420" spans="2:34" ht="12.75"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</row>
    <row r="421" spans="2:34" ht="12.75"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</row>
    <row r="422" spans="2:34" ht="12.75"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</row>
    <row r="423" spans="2:34" ht="12.75"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</row>
    <row r="424" spans="2:34" ht="12.75"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</row>
    <row r="425" spans="2:34" ht="12.75"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</row>
    <row r="426" spans="2:34" ht="12.75"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</row>
    <row r="427" spans="2:34" ht="12.75"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</row>
    <row r="428" spans="2:34" ht="12.75"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</row>
    <row r="429" spans="2:34" ht="12.75"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</row>
    <row r="430" spans="2:34" ht="12.75"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</row>
    <row r="431" spans="2:34" ht="12.75"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</row>
    <row r="432" spans="2:34" ht="12.75"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</row>
    <row r="433" spans="2:34" ht="12.75"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</row>
    <row r="434" spans="2:34" ht="12.75"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</row>
    <row r="435" spans="2:34" ht="12.75"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</row>
    <row r="436" spans="2:34" ht="12.75"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</row>
    <row r="437" spans="2:34" ht="12.75"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</row>
    <row r="438" spans="2:34" ht="12.75"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</row>
    <row r="439" spans="2:34" ht="12.75"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</row>
    <row r="440" spans="2:34" ht="12.75"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</row>
    <row r="441" spans="2:34" ht="12.75"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</row>
    <row r="442" spans="2:34" ht="12.75"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</row>
    <row r="443" spans="2:34" ht="12.75"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</row>
    <row r="444" spans="2:34" ht="12.75"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</row>
    <row r="445" spans="2:34" ht="12.75"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</row>
    <row r="446" spans="2:34" ht="12.75"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</row>
    <row r="447" spans="2:34" ht="12.75"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</row>
    <row r="448" spans="2:34" ht="12.75"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</row>
    <row r="449" spans="2:34" ht="12.75"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</row>
    <row r="450" spans="2:34" ht="12.75"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</row>
    <row r="451" spans="2:34" ht="12.75"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</row>
    <row r="452" spans="2:34" ht="12.75"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</row>
    <row r="453" spans="2:34" ht="12.75"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</row>
    <row r="454" spans="2:34" ht="12.75"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</row>
    <row r="455" spans="2:34" ht="12.75"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</row>
    <row r="456" spans="2:34" ht="12.75"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</row>
    <row r="457" spans="2:34" ht="12.75"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</row>
    <row r="458" spans="2:34" ht="12.75"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</row>
    <row r="459" spans="2:34" ht="12.75"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</row>
    <row r="460" spans="2:34" ht="12.75"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</row>
    <row r="461" spans="2:34" ht="12.75"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</row>
    <row r="462" spans="2:34" ht="12.75"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</row>
    <row r="463" spans="2:34" ht="12.75"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</row>
    <row r="464" spans="2:34" ht="12.75"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</row>
    <row r="465" spans="2:34" ht="12.75"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</row>
    <row r="466" spans="2:34" ht="12.75"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</row>
    <row r="467" spans="2:34" ht="12.75"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</row>
    <row r="468" spans="2:34" ht="12.75"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</row>
    <row r="469" spans="2:34" ht="12.75"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</row>
    <row r="470" spans="2:34" ht="12.75"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</row>
    <row r="471" spans="2:34" ht="12.75"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</row>
    <row r="472" spans="2:34" ht="12.75"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</row>
    <row r="473" spans="2:34" ht="12.75"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</row>
    <row r="474" spans="2:34" ht="12.75"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</row>
    <row r="475" spans="2:34" ht="12.75"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</row>
    <row r="476" spans="2:34" ht="12.75"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</row>
    <row r="477" spans="2:34" ht="12.75"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</row>
    <row r="478" spans="2:34" ht="12.75"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</row>
    <row r="479" spans="2:34" ht="12.75"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</row>
    <row r="480" spans="2:34" ht="12.75"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</row>
    <row r="481" spans="2:34" ht="12.75"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</row>
    <row r="482" spans="2:34" ht="12.75"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</row>
    <row r="483" spans="2:34" ht="12.75"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</row>
    <row r="484" spans="2:34" ht="12.75"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</row>
    <row r="485" spans="2:34" ht="12.75"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</row>
    <row r="486" spans="2:34" ht="12.75"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</row>
    <row r="487" spans="2:34" ht="12.75"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</row>
    <row r="488" spans="2:34" ht="12.75"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</row>
    <row r="489" spans="2:34" ht="12.75"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</row>
    <row r="490" spans="2:34" ht="12.75"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</row>
    <row r="491" spans="2:34" ht="12.75"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</row>
    <row r="492" spans="2:34" ht="12.75"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</row>
    <row r="493" spans="2:34" ht="12.75"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</row>
    <row r="494" spans="2:34" ht="12.75"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</row>
    <row r="495" spans="2:34" ht="12.75"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</row>
    <row r="496" spans="2:34" ht="12.75"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</row>
    <row r="497" spans="2:34" ht="12.75"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</row>
    <row r="498" spans="2:34" ht="12.75"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</row>
    <row r="499" spans="2:34" ht="12.75"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</row>
    <row r="500" spans="2:34" ht="12.75"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</row>
    <row r="501" spans="2:34" ht="12.75"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</row>
    <row r="502" spans="2:34" ht="12.75"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</row>
    <row r="503" spans="2:34" ht="12.75"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</row>
    <row r="504" spans="2:34" ht="12.75"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</row>
    <row r="505" spans="2:34" ht="12.75"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</row>
    <row r="506" spans="2:34" ht="12.75"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</row>
    <row r="507" spans="2:34" ht="12.75"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</row>
    <row r="508" spans="2:34" ht="12.75"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</row>
    <row r="509" spans="2:34" ht="12.75"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</row>
    <row r="510" spans="2:34" ht="12.75"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</row>
    <row r="511" spans="2:34" ht="12.75"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</row>
    <row r="512" spans="2:34" ht="12.75"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</row>
    <row r="513" spans="2:34" ht="12.75"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</row>
    <row r="514" spans="2:34" ht="12.75"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</row>
    <row r="515" spans="2:34" ht="12.75"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</row>
    <row r="516" spans="2:34" ht="12.75"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</row>
    <row r="517" spans="2:34" ht="12.75"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</row>
    <row r="518" spans="2:34" ht="12.75"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</row>
    <row r="519" spans="2:34" ht="12.75"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</row>
    <row r="520" spans="2:34" ht="12.75"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</row>
    <row r="521" spans="2:34" ht="12.75"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</row>
    <row r="522" spans="2:34" ht="12.75"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</row>
    <row r="523" spans="2:34" ht="12.75"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</row>
    <row r="524" spans="2:34" ht="12.75"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</row>
    <row r="525" spans="2:34" ht="12.75"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</row>
    <row r="526" spans="2:34" ht="12.75"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</row>
    <row r="527" spans="2:34" ht="12.75"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</row>
    <row r="528" spans="2:34" ht="12.75"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</row>
    <row r="529" spans="2:34" ht="12.75"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</row>
    <row r="530" spans="2:34" ht="12.75"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</row>
    <row r="531" spans="2:34" ht="12.75"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</row>
    <row r="532" spans="2:34" ht="12.75"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</row>
    <row r="533" spans="2:34" ht="12.75"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</row>
    <row r="534" spans="2:34" ht="12.75"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</row>
    <row r="535" spans="2:34" ht="12.75"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</row>
    <row r="536" spans="2:34" ht="12.75"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</row>
    <row r="537" spans="2:34" ht="12.75"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</row>
    <row r="538" spans="2:34" ht="12.75"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</row>
    <row r="539" spans="2:34" ht="12.75"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</row>
    <row r="540" spans="2:34" ht="12.75"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</row>
    <row r="541" spans="2:34" ht="12.75"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</row>
    <row r="542" spans="2:34" ht="12.75"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</row>
    <row r="543" spans="2:34" ht="12.75"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</row>
    <row r="544" spans="2:34" ht="12.75"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</row>
    <row r="545" spans="2:34" ht="12.75"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</row>
    <row r="546" spans="2:34" ht="12.75"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</row>
    <row r="547" spans="2:34" ht="12.75"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</row>
    <row r="548" spans="2:34" ht="12.75"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</row>
    <row r="549" spans="2:34" ht="12.75"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</row>
    <row r="550" spans="2:34" ht="12.75"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</row>
    <row r="551" spans="2:34" ht="12.75"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</row>
    <row r="552" spans="2:34" ht="12.75"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</row>
    <row r="553" spans="2:34" ht="12.75"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</row>
    <row r="554" spans="2:34" ht="12.75"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</row>
    <row r="555" spans="2:34" ht="12.75"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</row>
    <row r="556" spans="2:34" ht="12.75"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</row>
    <row r="557" spans="2:34" ht="12.75"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</row>
    <row r="558" spans="2:34" ht="12.75"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</row>
    <row r="559" spans="2:34" ht="12.75"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</row>
    <row r="560" spans="2:34" ht="12.75"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</row>
    <row r="561" spans="2:34" ht="12.75"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</row>
    <row r="562" spans="2:34" ht="12.75"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</row>
    <row r="563" spans="2:34" ht="12.75"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</row>
    <row r="564" spans="2:34" ht="12.75"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</row>
    <row r="565" spans="2:34" ht="12.75"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</row>
    <row r="566" spans="2:34" ht="12.75"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</row>
    <row r="567" spans="2:34" ht="12.75"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</row>
    <row r="568" spans="2:34" ht="12.75"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</row>
    <row r="569" spans="2:34" ht="12.75"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</row>
    <row r="570" spans="2:34" ht="12.75"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</row>
    <row r="571" spans="2:34" ht="12.75"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</row>
    <row r="572" spans="2:34" ht="12.75"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</row>
    <row r="573" spans="2:34" ht="12.75"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</row>
    <row r="574" spans="2:34" ht="12.75"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</row>
    <row r="575" spans="2:34" ht="12.75"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</row>
    <row r="576" spans="2:34" ht="12.75"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</row>
    <row r="577" spans="2:34" ht="12.75"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</row>
    <row r="578" spans="2:34" ht="12.75"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</row>
    <row r="579" spans="2:34" ht="12.75"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</row>
    <row r="580" spans="2:34" ht="12.75"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</row>
    <row r="581" spans="2:34" ht="12.75"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</row>
    <row r="582" spans="2:34" ht="12.75"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</row>
    <row r="583" spans="2:34" ht="12.75"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</row>
    <row r="584" spans="2:34" ht="12.75"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</row>
    <row r="585" spans="2:34" ht="12.75"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</row>
    <row r="586" spans="2:34" ht="12.75"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</row>
    <row r="587" spans="2:34" ht="12.75"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</row>
    <row r="588" spans="2:34" ht="12.75"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</row>
    <row r="589" spans="2:34" ht="12.75"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</row>
    <row r="590" spans="2:34" ht="12.75"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</row>
    <row r="591" spans="2:34" ht="12.75"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</row>
    <row r="592" spans="2:34" ht="12.75"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</row>
    <row r="593" spans="2:34" ht="12.75"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</row>
    <row r="594" spans="2:34" ht="12.75"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</row>
    <row r="595" spans="2:34" ht="12.75"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</row>
    <row r="596" spans="2:34" ht="12.75"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</row>
    <row r="597" spans="2:34" ht="12.75"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</row>
    <row r="598" spans="2:34" ht="12.75"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</row>
    <row r="599" spans="2:34" ht="12.75"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</row>
    <row r="600" spans="2:34" ht="12.75"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</row>
    <row r="601" spans="2:34" ht="12.75"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</row>
    <row r="602" spans="2:34" ht="12.75"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</row>
    <row r="603" spans="2:34" ht="12.75"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</row>
    <row r="604" spans="2:34" ht="12.75"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</row>
    <row r="605" spans="2:34" ht="12.75"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</row>
    <row r="606" spans="2:34" ht="12.75"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</row>
    <row r="607" spans="2:34" ht="12.75"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</row>
    <row r="608" spans="2:34" ht="12.75"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</row>
    <row r="609" spans="2:34" ht="12.75"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</row>
    <row r="610" spans="2:34" ht="12.75"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</row>
    <row r="611" spans="2:34" ht="12.75"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</row>
    <row r="612" spans="2:34" ht="12.75"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</row>
    <row r="613" spans="2:34" ht="12.75"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</row>
    <row r="614" spans="2:34" ht="12.75"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</row>
    <row r="615" spans="2:34" ht="12.75"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</row>
    <row r="616" spans="2:34" ht="12.75"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</row>
    <row r="617" spans="2:34" ht="12.75"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</row>
    <row r="618" spans="2:34" ht="12.75"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</row>
    <row r="619" spans="2:34" ht="12.75"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</row>
    <row r="620" spans="2:34" ht="12.75"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</row>
    <row r="621" spans="2:34" ht="12.75"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</row>
    <row r="622" spans="2:34" ht="12.75"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</row>
    <row r="623" spans="2:34" ht="12.75"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</row>
    <row r="624" spans="2:34" ht="12.75"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</row>
    <row r="625" spans="2:34" ht="12.75"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</row>
    <row r="626" spans="2:34" ht="12.75"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</row>
    <row r="627" spans="2:34" ht="12.75"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</row>
    <row r="628" spans="2:34" ht="12.75"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</row>
    <row r="629" spans="2:34" ht="12.75"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</row>
    <row r="630" spans="2:34" ht="12.75"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</row>
    <row r="631" spans="2:34" ht="12.75"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</row>
    <row r="632" spans="2:34" ht="12.75"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</row>
    <row r="633" spans="2:34" ht="12.75"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</row>
    <row r="634" spans="2:34" ht="12.75"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</row>
    <row r="635" spans="2:34" ht="12.75"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</row>
    <row r="636" spans="2:34" ht="12.75"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</row>
    <row r="637" spans="2:34" ht="12.75"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</row>
    <row r="638" spans="2:34" ht="12.75"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</row>
    <row r="639" spans="2:34" ht="12.75"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</row>
    <row r="640" spans="2:34" ht="12.75"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</row>
    <row r="641" spans="2:34" ht="12.75"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</row>
    <row r="642" spans="2:34" ht="12.75"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</row>
    <row r="643" spans="2:34" ht="12.75"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</row>
    <row r="644" spans="2:34" ht="12.75"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</row>
    <row r="645" spans="2:34" ht="12.75"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</row>
    <row r="646" spans="2:34" ht="12.75"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</row>
    <row r="647" spans="2:34" ht="12.75"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</row>
    <row r="648" spans="2:34" ht="12.75"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</row>
    <row r="649" spans="2:34" ht="12.75"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</row>
    <row r="650" spans="2:34" ht="12.75"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</row>
    <row r="651" spans="2:34" ht="12.75"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</row>
    <row r="652" spans="2:34" ht="12.75"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</row>
    <row r="653" spans="2:34" ht="12.75"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</row>
    <row r="654" spans="2:34" ht="12.75"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</row>
    <row r="655" spans="2:34" ht="12.75"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</row>
    <row r="656" spans="2:34" ht="12.75"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</row>
    <row r="657" spans="2:34" ht="12.75"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</row>
    <row r="658" spans="2:34" ht="12.75"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</row>
    <row r="659" spans="2:34" ht="12.75"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</row>
    <row r="660" spans="2:34" ht="12.75"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</row>
    <row r="661" spans="2:34" ht="12.75"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</row>
    <row r="662" spans="2:34" ht="12.75"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</row>
    <row r="663" spans="2:34" ht="12.75"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</row>
    <row r="664" spans="2:34" ht="12.75"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</row>
    <row r="665" spans="2:34" ht="12.75"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</row>
    <row r="666" spans="2:34" ht="12.75"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</row>
    <row r="667" spans="2:34" ht="12.75"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</row>
    <row r="668" spans="2:34" ht="12.75"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</row>
    <row r="669" spans="2:34" ht="12.75"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</row>
    <row r="670" spans="2:34" ht="12.75"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</row>
    <row r="671" spans="2:34" ht="12.75"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</row>
    <row r="672" spans="2:34" ht="12.75"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</row>
    <row r="673" spans="2:34" ht="12.75"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</row>
    <row r="674" spans="2:34" ht="12.75"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</row>
    <row r="675" spans="2:34" ht="12.75"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</row>
    <row r="676" spans="2:34" ht="12.75"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</row>
    <row r="677" spans="2:34" ht="12.75"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</row>
    <row r="678" spans="2:34" ht="12.75"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</row>
    <row r="679" spans="2:34" ht="12.75"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</row>
    <row r="680" spans="2:34" ht="12.75"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</row>
    <row r="681" spans="2:34" ht="12.75"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</row>
    <row r="682" spans="2:34" ht="12.75"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</row>
    <row r="683" spans="2:34" ht="12.75"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</row>
    <row r="684" spans="2:34" ht="12.75"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</row>
    <row r="685" spans="2:34" ht="12.75"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</row>
    <row r="686" spans="2:34" ht="12.75"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</row>
    <row r="687" spans="2:34" ht="12.75"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</row>
    <row r="688" spans="2:34" ht="12.75"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</row>
    <row r="689" spans="2:34" ht="12.75"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</row>
    <row r="690" spans="2:34" ht="12.75"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</row>
    <row r="691" spans="2:34" ht="12.75"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</row>
    <row r="692" spans="2:34" ht="12.75"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</row>
    <row r="693" spans="2:34" ht="12.75"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</row>
    <row r="694" spans="2:34" ht="12.75"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</row>
    <row r="695" spans="2:34" ht="12.75"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</row>
    <row r="696" spans="2:34" ht="12.75"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</row>
    <row r="697" spans="2:34" ht="12.75"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</row>
    <row r="698" spans="2:34" ht="12.75"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</row>
    <row r="699" spans="2:34" ht="12.75"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</row>
    <row r="700" spans="2:34" ht="12.75"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</row>
    <row r="701" spans="2:34" ht="12.75"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</row>
    <row r="702" spans="2:34" ht="12.75"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</row>
    <row r="703" spans="2:34" ht="12.75"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</row>
    <row r="704" spans="2:34" ht="12.75"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</row>
    <row r="705" spans="2:34" ht="12.75"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</row>
    <row r="706" spans="2:34" ht="12.75"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</row>
    <row r="707" spans="2:34" ht="12.75"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</row>
    <row r="708" spans="2:34" ht="12.75"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</row>
    <row r="709" spans="2:34" ht="12.75"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</row>
    <row r="710" spans="2:34" ht="12.75"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</row>
    <row r="711" spans="2:34" ht="12.75"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</row>
    <row r="712" spans="2:34" ht="12.75"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</row>
    <row r="713" spans="2:34" ht="12.75"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</row>
    <row r="714" spans="2:34" ht="12.75"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</row>
    <row r="715" spans="2:34" ht="12.75"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</row>
    <row r="716" spans="2:34" ht="12.75"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</row>
    <row r="717" spans="2:34" ht="12.75"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</row>
    <row r="718" spans="2:34" ht="12.75"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</row>
    <row r="719" spans="2:34" ht="12.75"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</row>
    <row r="720" spans="2:34" ht="12.75"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</row>
    <row r="721" spans="2:34" ht="12.75"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</row>
    <row r="722" spans="2:34" ht="12.75"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</row>
    <row r="723" spans="2:34" ht="12.75"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</row>
    <row r="724" spans="2:34" ht="12.75"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</row>
    <row r="725" spans="2:34" ht="12.75"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</row>
    <row r="726" spans="2:34" ht="12.75"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</row>
    <row r="727" spans="2:34" ht="12.75"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</row>
    <row r="728" spans="2:34" ht="12.75"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</row>
    <row r="729" spans="2:34" ht="12.75"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</row>
    <row r="730" spans="2:34" ht="12.75"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</row>
    <row r="731" spans="2:34" ht="12.75"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</row>
    <row r="732" spans="2:34" ht="12.75"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</row>
    <row r="733" spans="2:34" ht="12.75"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</row>
    <row r="734" spans="2:34" ht="12.75"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</row>
    <row r="735" spans="2:34" ht="12.75"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</row>
    <row r="736" spans="2:34" ht="12.75"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</row>
    <row r="737" spans="2:34" ht="12.75"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</row>
    <row r="738" spans="2:34" ht="12.75"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</row>
    <row r="739" spans="2:34" ht="12.75"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</row>
    <row r="740" spans="2:34" ht="12.75"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</row>
    <row r="741" spans="2:34" ht="12.75"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</row>
    <row r="742" spans="2:34" ht="12.75"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</row>
    <row r="743" spans="2:34" ht="12.75"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</row>
    <row r="744" spans="2:34" ht="12.75"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</row>
    <row r="745" spans="2:34" ht="12.75"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</row>
    <row r="746" spans="2:34" ht="12.75"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</row>
    <row r="747" spans="2:34" ht="12.75"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</row>
    <row r="748" spans="2:34" ht="12.75"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</row>
    <row r="749" spans="2:34" ht="12.75"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</row>
    <row r="750" spans="2:34" ht="12.75"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</row>
    <row r="751" spans="2:34" ht="12.75"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</row>
    <row r="752" spans="2:34" ht="12.75"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</row>
    <row r="753" spans="2:34" ht="12.75"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</row>
    <row r="754" spans="2:34" ht="12.75"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</row>
    <row r="755" spans="2:34" ht="12.75"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</row>
    <row r="756" spans="2:34" ht="12.75"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</row>
    <row r="757" spans="2:34" ht="12.75"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</row>
    <row r="758" spans="2:34" ht="12.75"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</row>
    <row r="759" spans="2:34" ht="12.75"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</row>
    <row r="760" spans="2:34" ht="12.75"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</row>
    <row r="761" spans="2:34" ht="12.75"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</row>
    <row r="762" spans="2:34" ht="12.75"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</row>
    <row r="763" spans="2:34" ht="12.75"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</row>
    <row r="764" spans="2:34" ht="12.75"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</row>
    <row r="765" spans="2:34" ht="12.75"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</row>
    <row r="766" spans="2:34" ht="12.75"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</row>
    <row r="767" spans="2:34" ht="12.75"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</row>
    <row r="768" spans="2:34" ht="12.75"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</row>
    <row r="769" spans="2:34" ht="12.75"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</row>
    <row r="770" spans="2:34" ht="12.75"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</row>
    <row r="771" spans="2:34" ht="12.75"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</row>
    <row r="772" spans="2:34" ht="12.75"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</row>
    <row r="773" spans="2:34" ht="12.75"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</row>
    <row r="774" spans="2:34" ht="12.75"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</row>
    <row r="775" spans="2:34" ht="12.75"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</row>
    <row r="776" spans="2:34" ht="12.75"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</row>
    <row r="777" spans="2:34" ht="12.75"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</row>
    <row r="778" spans="2:34" ht="12.75"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</row>
    <row r="779" spans="2:34" ht="12.75"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</row>
    <row r="780" spans="2:34" ht="12.75"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</row>
    <row r="781" spans="2:34" ht="12.75"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</row>
    <row r="782" spans="2:34" ht="12.75"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</row>
    <row r="783" spans="2:34" ht="12.75"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</row>
    <row r="784" spans="2:34" ht="12.75"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</row>
    <row r="785" spans="2:34" ht="12.75"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</row>
    <row r="786" spans="2:34" ht="12.75"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</row>
    <row r="787" spans="2:34" ht="12.75"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</row>
    <row r="788" spans="2:34" ht="12.75"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</row>
    <row r="789" spans="2:34" ht="12.75"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</row>
    <row r="790" spans="2:34" ht="12.75"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</row>
    <row r="791" spans="2:34" ht="12.75"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</row>
    <row r="792" spans="2:34" ht="12.75"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</row>
    <row r="793" spans="2:34" ht="12.75"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</row>
    <row r="794" spans="2:34" ht="12.75"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</row>
    <row r="795" spans="2:34" ht="12.75"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</row>
    <row r="796" spans="2:34" ht="12.75"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</row>
    <row r="797" spans="2:34" ht="12.75"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</row>
    <row r="798" spans="2:34" ht="12.75"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</row>
    <row r="799" spans="2:34" ht="12.75"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</row>
    <row r="800" spans="2:34" ht="12.75"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</row>
    <row r="801" spans="2:34" ht="12.75"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</row>
    <row r="802" spans="2:34" ht="12.75"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</row>
    <row r="803" spans="2:34" ht="12.75"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</row>
    <row r="804" spans="2:34" ht="12.75"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</row>
    <row r="805" spans="2:34" ht="12.75"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</row>
    <row r="806" spans="2:34" ht="12.75"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</row>
    <row r="807" spans="2:34" ht="12.75"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</row>
    <row r="808" spans="2:34" ht="12.75"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</row>
    <row r="809" spans="2:34" ht="12.75"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</row>
    <row r="810" spans="2:34" ht="12.75"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</row>
    <row r="811" spans="2:34" ht="12.75"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</row>
    <row r="812" spans="2:34" ht="12.75"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</row>
    <row r="813" spans="2:34" ht="12.75"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</row>
    <row r="814" spans="2:34" ht="12.75"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</row>
    <row r="815" spans="2:34" ht="12.75"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</row>
    <row r="816" spans="2:34" ht="12.75"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</row>
    <row r="817" spans="2:34" ht="12.75"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</row>
    <row r="818" spans="2:34" ht="12.75"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</row>
    <row r="819" spans="2:34" ht="12.75"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</row>
    <row r="820" spans="2:34" ht="12.75"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</row>
    <row r="821" spans="2:34" ht="12.75"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</row>
    <row r="822" spans="2:34" ht="12.75"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</row>
    <row r="823" spans="2:34" ht="12.75"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</row>
    <row r="824" spans="2:34" ht="12.75"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</row>
    <row r="825" spans="2:34" ht="12.75"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</row>
    <row r="826" spans="2:34" ht="12.75"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</row>
    <row r="827" spans="2:34" ht="12.75"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</row>
    <row r="828" spans="2:34" ht="12.75"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</row>
    <row r="829" spans="2:34" ht="12.75"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</row>
    <row r="830" spans="2:34" ht="12.75"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</row>
    <row r="831" spans="2:34" ht="12.75"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</row>
    <row r="832" spans="2:34" ht="12.75"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</row>
    <row r="833" spans="2:34" ht="12.75"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</row>
    <row r="834" spans="2:34" ht="12.75"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</row>
    <row r="835" spans="2:34" ht="12.75"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</row>
    <row r="836" spans="2:34" ht="12.75"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</row>
    <row r="837" spans="2:34" ht="12.75"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</row>
    <row r="838" spans="2:34" ht="12.75"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</row>
    <row r="839" spans="2:34" ht="12.75"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</row>
    <row r="840" spans="2:34" ht="12.75"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</row>
    <row r="841" spans="2:34" ht="12.75"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</row>
    <row r="842" spans="2:34" ht="12.75"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</row>
    <row r="843" spans="2:34" ht="12.75"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</row>
    <row r="844" spans="2:34" ht="12.75"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</row>
    <row r="845" spans="2:34" ht="12.75"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</row>
    <row r="846" spans="2:34" ht="12.75"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</row>
    <row r="847" spans="2:34" ht="12.75"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</row>
    <row r="848" spans="2:34" ht="12.75"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</row>
    <row r="849" spans="2:34" ht="12.75"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</row>
    <row r="850" spans="2:34" ht="12.75"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</row>
    <row r="851" spans="2:34" ht="12.75"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</row>
    <row r="852" spans="2:34" ht="12.75"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</row>
    <row r="853" spans="2:34" ht="12.75"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</row>
    <row r="854" spans="2:34" ht="12.75"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</row>
    <row r="855" spans="2:34" ht="12.75"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</row>
    <row r="856" spans="2:34" ht="12.75"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</row>
    <row r="857" spans="2:34" ht="12.75"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</row>
    <row r="858" spans="2:34" ht="12.75"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</row>
    <row r="859" spans="2:34" ht="12.75"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</row>
    <row r="860" spans="2:34" ht="12.75"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</row>
    <row r="861" spans="2:34" ht="12.75"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</row>
    <row r="862" spans="2:34" ht="12.75"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</row>
    <row r="863" spans="2:34" ht="12.75"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</row>
    <row r="864" spans="2:34" ht="12.75"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</row>
    <row r="865" spans="2:34" ht="12.75"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</row>
    <row r="866" spans="2:34" ht="12.75"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</row>
    <row r="867" spans="2:34" ht="12.75"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</row>
    <row r="868" spans="2:34" ht="12.75"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</row>
    <row r="869" spans="2:34" ht="12.75"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2:34" ht="12.75"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2:34" ht="12.75"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2:34" ht="12.75"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2:34" ht="12.75"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2:34" ht="12.75"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2:34" ht="12.75"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2:34" ht="12.75"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2:34" ht="12.75"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2:34" ht="12.75"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2:34" ht="12.75"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2:34" ht="12.75"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2:34" ht="12.75"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2:34" ht="12.75"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2:34" ht="12.75"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2:34" ht="12.75"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2:34" ht="12.75"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2:34" ht="12.75"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2:34" ht="12.75"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2:34" ht="12.75"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2:34" ht="12.75"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2:34" ht="12.75"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2:34" ht="12.75"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2:34" ht="12.75"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2:34" ht="12.75"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2:34" ht="12.75"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2:34" ht="12.75"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2:34" ht="12.75"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2:34" ht="12.75"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2:34" ht="12.75"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2:34" ht="12.75"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</row>
    <row r="900" spans="2:34" ht="12.75"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</row>
    <row r="901" spans="2:34" ht="12.75"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</row>
    <row r="902" spans="2:34" ht="12.75"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</row>
    <row r="903" spans="2:34" ht="12.75"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</row>
    <row r="904" spans="2:34" ht="12.75"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</row>
    <row r="905" spans="2:34" ht="12.75"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</row>
    <row r="906" spans="2:34" ht="12.75"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</row>
    <row r="907" spans="2:34" ht="12.75"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</row>
    <row r="908" spans="2:34" ht="12.75"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</row>
    <row r="909" spans="2:34" ht="12.75"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</row>
    <row r="910" spans="2:34" ht="12.75"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</row>
    <row r="911" spans="2:34" ht="12.75"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</row>
    <row r="912" spans="2:34" ht="12.75"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</row>
    <row r="913" spans="2:34" ht="12.75"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</row>
    <row r="914" spans="2:34" ht="12.75"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</row>
    <row r="915" spans="2:34" ht="12.75"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</row>
    <row r="916" spans="2:34" ht="12.75"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</row>
    <row r="917" spans="2:34" ht="12.75"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</row>
    <row r="918" spans="2:34" ht="12.75"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</row>
    <row r="919" spans="2:34" ht="12.75"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</row>
    <row r="920" spans="2:34" ht="12.75"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</row>
    <row r="921" spans="2:34" ht="12.75"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</row>
    <row r="922" spans="2:34" ht="12.75"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</row>
    <row r="923" spans="2:34" ht="12.75"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</row>
    <row r="924" spans="2:34" ht="12.75"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</row>
    <row r="925" spans="2:34" ht="12.75"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</row>
    <row r="926" spans="2:34" ht="12.75"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</row>
    <row r="927" spans="2:34" ht="12.75"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</row>
    <row r="928" spans="2:34" ht="12.75"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</row>
    <row r="929" spans="2:34" ht="12.75"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</row>
    <row r="930" spans="2:34" ht="12.75"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</row>
    <row r="931" spans="2:34" ht="12.75"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</row>
    <row r="932" spans="2:34" ht="12.75"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</row>
    <row r="933" spans="2:34" ht="12.75"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</row>
    <row r="934" spans="2:34" ht="12.75"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</row>
    <row r="935" spans="2:34" ht="12.75"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</row>
    <row r="936" spans="2:34" ht="12.75"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</row>
    <row r="937" spans="2:34" ht="12.75"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</row>
    <row r="938" spans="2:34" ht="12.75"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</row>
    <row r="939" spans="2:34" ht="12.75"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</row>
    <row r="940" spans="2:34" ht="12.75"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</row>
    <row r="941" spans="2:34" ht="12.75"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</row>
    <row r="942" spans="2:34" ht="12.75"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</row>
    <row r="943" spans="2:34" ht="12.75"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</row>
    <row r="944" spans="2:34" ht="12.75"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</row>
    <row r="945" spans="2:34" ht="12.75"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</row>
    <row r="946" spans="2:34" ht="12.75"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</row>
    <row r="947" spans="2:34" ht="12.75"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</row>
    <row r="948" spans="2:34" ht="12.75"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</row>
    <row r="949" spans="2:34" ht="12.75"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</row>
    <row r="950" spans="2:34" ht="12.75"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</row>
    <row r="951" spans="2:34" ht="12.75"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</row>
    <row r="952" spans="2:34" ht="12.75"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</row>
    <row r="953" spans="2:34" ht="12.75"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</row>
    <row r="954" spans="2:34" ht="12.75"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</row>
    <row r="955" spans="2:34" ht="12.75"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</row>
    <row r="956" spans="2:34" ht="12.75"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</row>
    <row r="957" spans="2:34" ht="12.75"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</row>
    <row r="958" spans="2:34" ht="12.75"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</row>
    <row r="959" spans="2:34" ht="12.75"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</row>
    <row r="960" spans="2:34" ht="12.75"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</row>
    <row r="961" spans="2:34" ht="12.75"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</row>
    <row r="962" spans="2:34" ht="12.75"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</row>
    <row r="963" spans="2:34" ht="12.75"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</row>
    <row r="964" spans="2:34" ht="12.75"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</row>
    <row r="965" spans="2:34" ht="12.75"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</row>
    <row r="966" spans="2:34" ht="12.75"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</row>
    <row r="967" spans="2:34" ht="12.75"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</row>
    <row r="968" spans="2:34" ht="12.75"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</row>
    <row r="969" spans="2:34" ht="12.75"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</row>
    <row r="970" spans="2:34" ht="12.75"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</row>
    <row r="971" spans="2:34" ht="12.75"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</row>
    <row r="972" spans="2:34" ht="12.75"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</row>
    <row r="973" spans="2:34" ht="12.75"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</row>
    <row r="974" spans="2:34" ht="12.75"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</row>
    <row r="975" spans="2:34" ht="12.75"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</row>
    <row r="976" spans="2:34" ht="12.75"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</row>
    <row r="977" spans="2:34" ht="12.75"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</row>
    <row r="978" spans="2:34" ht="12.75"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</row>
    <row r="979" spans="2:34" ht="12.75"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</row>
    <row r="980" spans="2:34" ht="12.75"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</row>
  </sheetData>
  <autoFilter ref="A1:V131" xr:uid="{00000000-0009-0000-0000-000002000000}"/>
  <conditionalFormatting sqref="A1 A45:A52 A55:A64 A66 A71:A980">
    <cfRule type="notContainsBlanks" dxfId="1" priority="1">
      <formula>LEN(TRIM(A1))&gt;0</formula>
    </cfRule>
  </conditionalFormatting>
  <conditionalFormatting sqref="A1:A53 A55:A64 A66 A71:A980">
    <cfRule type="notContainsBlanks" dxfId="0" priority="2">
      <formula>LEN(TRIM(A1))&gt;0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O168"/>
  <sheetViews>
    <sheetView workbookViewId="0"/>
  </sheetViews>
  <sheetFormatPr defaultColWidth="12.5703125" defaultRowHeight="15.75" customHeight="1"/>
  <cols>
    <col min="1" max="1" width="16.42578125" customWidth="1"/>
    <col min="2" max="2" width="18.5703125" customWidth="1"/>
    <col min="11" max="11" width="22.140625" customWidth="1"/>
  </cols>
  <sheetData>
    <row r="2" spans="1:15">
      <c r="A2" s="76" t="s">
        <v>1888</v>
      </c>
      <c r="B2" s="76" t="s">
        <v>1889</v>
      </c>
      <c r="C2" s="77" t="s">
        <v>1890</v>
      </c>
      <c r="D2" s="76" t="s">
        <v>1891</v>
      </c>
      <c r="E2" s="76" t="s">
        <v>1892</v>
      </c>
      <c r="F2" s="76" t="s">
        <v>1893</v>
      </c>
      <c r="G2" s="78" t="s">
        <v>1894</v>
      </c>
      <c r="H2" s="76" t="s">
        <v>1895</v>
      </c>
      <c r="I2" s="76" t="s">
        <v>1896</v>
      </c>
      <c r="J2" s="76" t="s">
        <v>1897</v>
      </c>
      <c r="K2" s="78" t="s">
        <v>1898</v>
      </c>
      <c r="L2" s="79"/>
    </row>
    <row r="3" spans="1:15">
      <c r="A3" s="80" t="s">
        <v>1899</v>
      </c>
      <c r="B3" s="81">
        <v>45796</v>
      </c>
      <c r="C3" s="82" t="s">
        <v>1900</v>
      </c>
      <c r="D3" s="83">
        <v>19000</v>
      </c>
      <c r="E3" s="83">
        <v>56430</v>
      </c>
      <c r="F3" s="83">
        <v>5189680.88</v>
      </c>
      <c r="G3" s="84"/>
      <c r="H3" s="85"/>
      <c r="I3" s="83">
        <v>56430</v>
      </c>
      <c r="J3" s="83">
        <v>5189680.88</v>
      </c>
      <c r="K3" s="85"/>
      <c r="L3" s="79"/>
    </row>
    <row r="4" spans="1:15">
      <c r="A4" s="85"/>
      <c r="B4" s="85"/>
      <c r="C4" s="86" t="s">
        <v>1901</v>
      </c>
      <c r="D4" s="85"/>
      <c r="E4" s="83">
        <v>1121.0999999999999</v>
      </c>
      <c r="F4" s="83">
        <v>103104</v>
      </c>
      <c r="G4" s="84"/>
      <c r="H4" s="80" t="s">
        <v>1902</v>
      </c>
      <c r="I4" s="83">
        <v>1121.0999999999999</v>
      </c>
      <c r="J4" s="83">
        <v>103104</v>
      </c>
      <c r="K4" s="85"/>
      <c r="L4" s="79"/>
    </row>
    <row r="5" spans="1:15">
      <c r="A5" s="85"/>
      <c r="B5" s="85"/>
      <c r="C5" s="86" t="s">
        <v>1903</v>
      </c>
      <c r="D5" s="85"/>
      <c r="E5" s="83">
        <v>5255.16</v>
      </c>
      <c r="F5" s="83">
        <v>483300</v>
      </c>
      <c r="G5" s="84"/>
      <c r="H5" s="80" t="s">
        <v>1902</v>
      </c>
      <c r="I5" s="83">
        <v>5255.16</v>
      </c>
      <c r="J5" s="83">
        <v>483300</v>
      </c>
      <c r="K5" s="85"/>
      <c r="L5" s="79"/>
    </row>
    <row r="6" spans="1:15">
      <c r="A6" s="85"/>
      <c r="B6" s="85"/>
      <c r="C6" s="86" t="s">
        <v>1904</v>
      </c>
      <c r="D6" s="85"/>
      <c r="E6" s="83">
        <v>326.20999999999998</v>
      </c>
      <c r="F6" s="83">
        <v>30000</v>
      </c>
      <c r="G6" s="84"/>
      <c r="H6" s="87">
        <v>0.2</v>
      </c>
      <c r="I6" s="83">
        <v>271.83999999999997</v>
      </c>
      <c r="J6" s="83">
        <v>25000</v>
      </c>
      <c r="K6" s="85"/>
      <c r="L6" s="79"/>
    </row>
    <row r="7" spans="1:15">
      <c r="A7" s="85"/>
      <c r="B7" s="85"/>
      <c r="C7" s="86" t="s">
        <v>1905</v>
      </c>
      <c r="D7" s="85"/>
      <c r="E7" s="83">
        <v>2598.77</v>
      </c>
      <c r="F7" s="83">
        <v>239000</v>
      </c>
      <c r="G7" s="84"/>
      <c r="H7" s="87">
        <v>0</v>
      </c>
      <c r="I7" s="83">
        <v>2598.77</v>
      </c>
      <c r="J7" s="83">
        <v>239000</v>
      </c>
      <c r="K7" s="85"/>
      <c r="L7" s="79"/>
    </row>
    <row r="8" spans="1:15">
      <c r="A8" s="85"/>
      <c r="B8" s="85"/>
      <c r="C8" s="86" t="s">
        <v>1906</v>
      </c>
      <c r="D8" s="85"/>
      <c r="E8" s="83">
        <v>231.36</v>
      </c>
      <c r="F8" s="83">
        <v>21277.48</v>
      </c>
      <c r="G8" s="84"/>
      <c r="H8" s="87">
        <v>0.2</v>
      </c>
      <c r="I8" s="83">
        <v>192.8</v>
      </c>
      <c r="J8" s="83">
        <v>17731.23</v>
      </c>
      <c r="K8" s="85"/>
      <c r="L8" s="79"/>
    </row>
    <row r="9" spans="1:15">
      <c r="A9" s="85"/>
      <c r="B9" s="85"/>
      <c r="C9" s="86" t="s">
        <v>1907</v>
      </c>
      <c r="D9" s="85"/>
      <c r="E9" s="83">
        <v>840.82</v>
      </c>
      <c r="F9" s="83">
        <v>77327.63</v>
      </c>
      <c r="G9" s="84"/>
      <c r="H9" s="87">
        <v>0.2</v>
      </c>
      <c r="I9" s="83">
        <v>700.69</v>
      </c>
      <c r="J9" s="83">
        <v>64439.69</v>
      </c>
      <c r="K9" s="85"/>
      <c r="L9" s="79"/>
    </row>
    <row r="10" spans="1:15">
      <c r="A10" s="85"/>
      <c r="B10" s="85"/>
      <c r="C10" s="86" t="s">
        <v>1908</v>
      </c>
      <c r="D10" s="85"/>
      <c r="E10" s="83">
        <v>54.8</v>
      </c>
      <c r="F10" s="83">
        <v>5040</v>
      </c>
      <c r="G10" s="84"/>
      <c r="H10" s="87">
        <v>0.2</v>
      </c>
      <c r="I10" s="83">
        <v>45.67</v>
      </c>
      <c r="J10" s="83">
        <v>4200</v>
      </c>
      <c r="K10" s="85"/>
      <c r="L10" s="79"/>
      <c r="M10" s="33" t="s">
        <v>1909</v>
      </c>
      <c r="N10" s="41">
        <f>K16-K34</f>
        <v>0.4916666666666667</v>
      </c>
      <c r="O10" s="33" t="s">
        <v>1910</v>
      </c>
    </row>
    <row r="11" spans="1:15">
      <c r="A11" s="85"/>
      <c r="B11" s="85"/>
      <c r="C11" s="88"/>
      <c r="D11" s="85"/>
      <c r="E11" s="83">
        <v>0</v>
      </c>
      <c r="F11" s="85"/>
      <c r="G11" s="84"/>
      <c r="H11" s="87">
        <v>0.2</v>
      </c>
      <c r="I11" s="83">
        <v>0</v>
      </c>
      <c r="J11" s="83">
        <v>0</v>
      </c>
      <c r="K11" s="85"/>
      <c r="L11" s="79"/>
      <c r="M11" s="33" t="s">
        <v>1911</v>
      </c>
      <c r="N11" s="33">
        <v>607.70000000000005</v>
      </c>
      <c r="O11" s="33" t="s">
        <v>1912</v>
      </c>
    </row>
    <row r="12" spans="1:15">
      <c r="A12" s="85"/>
      <c r="B12" s="85"/>
      <c r="C12" s="86" t="s">
        <v>1913</v>
      </c>
      <c r="D12" s="85"/>
      <c r="E12" s="83">
        <v>12791.46</v>
      </c>
      <c r="F12" s="83">
        <v>1176388.68</v>
      </c>
      <c r="G12" s="84"/>
      <c r="H12" s="85"/>
      <c r="I12" s="83">
        <v>12791.46</v>
      </c>
      <c r="J12" s="83">
        <v>1176388.68</v>
      </c>
      <c r="K12" s="85"/>
      <c r="L12" s="79"/>
      <c r="M12" s="33" t="s">
        <v>1914</v>
      </c>
      <c r="N12" s="41">
        <f>N11*N10</f>
        <v>298.78583333333336</v>
      </c>
    </row>
    <row r="13" spans="1:15">
      <c r="A13" s="85"/>
      <c r="B13" s="85"/>
      <c r="C13" s="86" t="s">
        <v>1915</v>
      </c>
      <c r="D13" s="85"/>
      <c r="E13" s="83">
        <v>3045.59</v>
      </c>
      <c r="F13" s="83">
        <v>280092.53999999998</v>
      </c>
      <c r="G13" s="84"/>
      <c r="H13" s="85"/>
      <c r="I13" s="83">
        <v>3045.59</v>
      </c>
      <c r="J13" s="83">
        <v>280092.53999999998</v>
      </c>
      <c r="K13" s="85"/>
      <c r="L13" s="79"/>
      <c r="M13" s="33" t="s">
        <v>1916</v>
      </c>
      <c r="N13" s="41">
        <f>N12/1100</f>
        <v>0.27162348484848486</v>
      </c>
    </row>
    <row r="14" spans="1:15">
      <c r="A14" s="85"/>
      <c r="B14" s="85"/>
      <c r="C14" s="86" t="s">
        <v>1917</v>
      </c>
      <c r="D14" s="85"/>
      <c r="E14" s="83">
        <v>299.45999999999998</v>
      </c>
      <c r="F14" s="83">
        <v>27540</v>
      </c>
      <c r="G14" s="84"/>
      <c r="H14" s="85"/>
      <c r="I14" s="83">
        <v>299.45999999999998</v>
      </c>
      <c r="J14" s="83">
        <v>27540</v>
      </c>
      <c r="K14" s="85"/>
      <c r="L14" s="79"/>
    </row>
    <row r="15" spans="1:15">
      <c r="A15" s="84"/>
      <c r="B15" s="84"/>
      <c r="C15" s="89" t="s">
        <v>1918</v>
      </c>
      <c r="D15" s="90">
        <v>19000</v>
      </c>
      <c r="E15" s="90">
        <v>82994.73</v>
      </c>
      <c r="F15" s="90">
        <v>7632751.21</v>
      </c>
      <c r="G15" s="91">
        <v>4.37</v>
      </c>
      <c r="H15" s="84"/>
      <c r="I15" s="90">
        <v>66616.02</v>
      </c>
      <c r="J15" s="90">
        <v>6126455.7999999998</v>
      </c>
      <c r="K15" s="90"/>
      <c r="L15" s="92" t="s">
        <v>1919</v>
      </c>
      <c r="M15" s="33" t="s">
        <v>1920</v>
      </c>
    </row>
    <row r="16" spans="1:15">
      <c r="A16" s="79"/>
      <c r="B16" s="79"/>
      <c r="C16" s="93"/>
      <c r="D16" s="79"/>
      <c r="E16" s="79"/>
      <c r="F16" s="79"/>
      <c r="G16" s="94">
        <v>4.3681435559999997</v>
      </c>
      <c r="H16" s="79"/>
      <c r="I16" s="79"/>
      <c r="J16" s="79"/>
      <c r="K16" s="95">
        <f>G15-G15/6</f>
        <v>3.6416666666666666</v>
      </c>
      <c r="L16" s="79"/>
      <c r="M16" s="96">
        <v>45740</v>
      </c>
      <c r="N16" s="33">
        <v>93.2547</v>
      </c>
    </row>
    <row r="17" spans="1:15">
      <c r="A17" s="79"/>
      <c r="B17" s="79"/>
      <c r="C17" s="97" t="s">
        <v>1921</v>
      </c>
      <c r="D17" s="79"/>
      <c r="E17" s="79"/>
      <c r="F17" s="79"/>
      <c r="G17" s="94">
        <v>401.72374789999998</v>
      </c>
      <c r="H17" s="79"/>
      <c r="I17" s="79"/>
      <c r="J17" s="79"/>
      <c r="K17" s="98">
        <v>322.44504219999999</v>
      </c>
      <c r="L17" s="79"/>
      <c r="M17" s="96">
        <v>45869</v>
      </c>
      <c r="N17" s="33">
        <v>96.850399999999993</v>
      </c>
    </row>
    <row r="18" spans="1:15">
      <c r="A18" s="79"/>
      <c r="B18" s="79"/>
      <c r="C18" s="93"/>
      <c r="D18" s="79"/>
      <c r="E18" s="79"/>
      <c r="F18" s="79"/>
      <c r="G18" s="99"/>
      <c r="H18" s="79"/>
      <c r="I18" s="79"/>
      <c r="J18" s="79"/>
      <c r="K18" s="79"/>
      <c r="L18" s="79"/>
      <c r="M18" s="100">
        <v>45854</v>
      </c>
      <c r="N18" s="33">
        <v>92.976200000000006</v>
      </c>
      <c r="O18" s="41">
        <f>AVERAGE(N17:N18)</f>
        <v>94.913299999999992</v>
      </c>
    </row>
    <row r="19" spans="1:15">
      <c r="A19" s="79"/>
      <c r="B19" s="79"/>
      <c r="C19" s="93"/>
      <c r="D19" s="79"/>
      <c r="E19" s="79"/>
      <c r="F19" s="79"/>
      <c r="G19" s="99"/>
      <c r="H19" s="79"/>
      <c r="I19" s="79"/>
      <c r="J19" s="79"/>
      <c r="K19" s="79"/>
      <c r="L19" s="79"/>
      <c r="N19" s="41">
        <f>N16-O18</f>
        <v>-1.6585999999999927</v>
      </c>
    </row>
    <row r="20" spans="1:15">
      <c r="N20" s="41">
        <f>N19/89.9011</f>
        <v>-1.8449162468534785E-2</v>
      </c>
    </row>
    <row r="21" spans="1:15">
      <c r="A21" s="76" t="s">
        <v>1888</v>
      </c>
      <c r="B21" s="76" t="s">
        <v>1889</v>
      </c>
      <c r="C21" s="77" t="s">
        <v>1890</v>
      </c>
      <c r="D21" s="76" t="s">
        <v>1891</v>
      </c>
      <c r="E21" s="76" t="s">
        <v>1892</v>
      </c>
      <c r="F21" s="76" t="s">
        <v>1893</v>
      </c>
      <c r="G21" s="78" t="s">
        <v>1894</v>
      </c>
      <c r="H21" s="76" t="s">
        <v>1895</v>
      </c>
      <c r="I21" s="76" t="s">
        <v>1896</v>
      </c>
      <c r="J21" s="76" t="s">
        <v>1897</v>
      </c>
      <c r="K21" s="78" t="s">
        <v>1898</v>
      </c>
      <c r="L21" s="79"/>
      <c r="M21" s="101" t="s">
        <v>1922</v>
      </c>
      <c r="N21" s="41">
        <f>N13+N20</f>
        <v>0.25317432237995008</v>
      </c>
    </row>
    <row r="22" spans="1:15">
      <c r="A22" s="83">
        <v>83</v>
      </c>
      <c r="B22" s="102">
        <v>45971</v>
      </c>
      <c r="C22" s="82" t="s">
        <v>1923</v>
      </c>
      <c r="D22" s="83">
        <v>20250</v>
      </c>
      <c r="E22" s="103" t="s">
        <v>1924</v>
      </c>
      <c r="F22" s="103" t="s">
        <v>1925</v>
      </c>
      <c r="G22" s="84"/>
      <c r="H22" s="85"/>
      <c r="I22" s="103" t="s">
        <v>1924</v>
      </c>
      <c r="J22" s="103" t="s">
        <v>1925</v>
      </c>
      <c r="K22" s="85"/>
      <c r="L22" s="79"/>
      <c r="M22" s="79"/>
    </row>
    <row r="23" spans="1:15">
      <c r="A23" s="85"/>
      <c r="B23" s="85"/>
      <c r="C23" s="86" t="s">
        <v>1926</v>
      </c>
      <c r="D23" s="85"/>
      <c r="E23" s="83">
        <v>5792.03</v>
      </c>
      <c r="F23" s="83">
        <v>523274.05</v>
      </c>
      <c r="G23" s="84"/>
      <c r="H23" s="80" t="s">
        <v>1902</v>
      </c>
      <c r="I23" s="83">
        <v>5792.03</v>
      </c>
      <c r="J23" s="83">
        <v>523274.05</v>
      </c>
      <c r="K23" s="85"/>
      <c r="L23" s="79"/>
      <c r="M23" s="79"/>
    </row>
    <row r="24" spans="1:15">
      <c r="A24" s="85"/>
      <c r="B24" s="85"/>
      <c r="C24" s="86" t="s">
        <v>1927</v>
      </c>
      <c r="D24" s="85"/>
      <c r="E24" s="83">
        <v>863.37</v>
      </c>
      <c r="F24" s="83">
        <v>78000</v>
      </c>
      <c r="G24" s="84"/>
      <c r="H24" s="87">
        <v>0</v>
      </c>
      <c r="I24" s="83">
        <v>863.37</v>
      </c>
      <c r="J24" s="83">
        <v>78000</v>
      </c>
      <c r="K24" s="85"/>
      <c r="L24" s="79"/>
      <c r="M24" s="79"/>
    </row>
    <row r="25" spans="1:15">
      <c r="A25" s="85"/>
      <c r="B25" s="85"/>
      <c r="C25" s="86" t="s">
        <v>1928</v>
      </c>
      <c r="D25" s="85"/>
      <c r="E25" s="83">
        <v>332.06</v>
      </c>
      <c r="F25" s="83">
        <v>30000</v>
      </c>
      <c r="G25" s="84"/>
      <c r="H25" s="87">
        <v>0.2</v>
      </c>
      <c r="I25" s="83">
        <v>276.72000000000003</v>
      </c>
      <c r="J25" s="83">
        <v>25000</v>
      </c>
      <c r="K25" s="85"/>
      <c r="L25" s="79"/>
      <c r="M25" s="79"/>
    </row>
    <row r="26" spans="1:15">
      <c r="A26" s="85"/>
      <c r="B26" s="85"/>
      <c r="C26" s="86" t="s">
        <v>1929</v>
      </c>
      <c r="D26" s="85"/>
      <c r="E26" s="83">
        <v>100.43</v>
      </c>
      <c r="F26" s="83">
        <v>9073.48</v>
      </c>
      <c r="G26" s="84"/>
      <c r="H26" s="87">
        <v>0.2</v>
      </c>
      <c r="I26" s="83">
        <v>98.64</v>
      </c>
      <c r="J26" s="83">
        <v>8911.4500000000007</v>
      </c>
      <c r="K26" s="85"/>
      <c r="L26" s="79"/>
      <c r="M26" s="79"/>
    </row>
    <row r="27" spans="1:15">
      <c r="A27" s="85"/>
      <c r="B27" s="85"/>
      <c r="C27" s="86" t="s">
        <v>1930</v>
      </c>
      <c r="D27" s="85"/>
      <c r="E27" s="83">
        <v>287.79000000000002</v>
      </c>
      <c r="F27" s="83">
        <v>26000</v>
      </c>
      <c r="G27" s="84"/>
      <c r="H27" s="87">
        <v>0</v>
      </c>
      <c r="I27" s="83">
        <v>287.79000000000002</v>
      </c>
      <c r="J27" s="83">
        <v>26000</v>
      </c>
      <c r="K27" s="85"/>
      <c r="L27" s="79"/>
      <c r="M27" s="79"/>
    </row>
    <row r="28" spans="1:15">
      <c r="A28" s="85"/>
      <c r="B28" s="85"/>
      <c r="C28" s="86" t="s">
        <v>1931</v>
      </c>
      <c r="D28" s="85"/>
      <c r="E28" s="83">
        <v>2490.4899999999998</v>
      </c>
      <c r="F28" s="83">
        <v>225000</v>
      </c>
      <c r="G28" s="84"/>
      <c r="H28" s="87">
        <v>0</v>
      </c>
      <c r="I28" s="83">
        <v>2490.4899999999998</v>
      </c>
      <c r="J28" s="83">
        <v>225000</v>
      </c>
      <c r="K28" s="85"/>
      <c r="L28" s="79"/>
      <c r="M28" s="79"/>
    </row>
    <row r="29" spans="1:15">
      <c r="A29" s="85"/>
      <c r="B29" s="85"/>
      <c r="C29" s="88"/>
      <c r="D29" s="85"/>
      <c r="E29" s="83">
        <v>0</v>
      </c>
      <c r="F29" s="85"/>
      <c r="G29" s="84"/>
      <c r="H29" s="87">
        <v>0</v>
      </c>
      <c r="I29" s="83">
        <v>0</v>
      </c>
      <c r="J29" s="83">
        <v>0</v>
      </c>
      <c r="K29" s="85"/>
      <c r="L29" s="79"/>
      <c r="M29" s="79"/>
    </row>
    <row r="30" spans="1:15">
      <c r="A30" s="85"/>
      <c r="B30" s="85"/>
      <c r="C30" s="86" t="s">
        <v>1913</v>
      </c>
      <c r="D30" s="85"/>
      <c r="E30" s="83">
        <v>12103.99</v>
      </c>
      <c r="F30" s="83">
        <v>1093520.45</v>
      </c>
      <c r="G30" s="84"/>
      <c r="H30" s="85"/>
      <c r="I30" s="85"/>
      <c r="J30" s="85"/>
      <c r="K30" s="85"/>
      <c r="L30" s="79"/>
      <c r="M30" s="79"/>
    </row>
    <row r="31" spans="1:15">
      <c r="A31" s="85"/>
      <c r="B31" s="85"/>
      <c r="C31" s="86" t="s">
        <v>1915</v>
      </c>
      <c r="D31" s="85"/>
      <c r="E31" s="83">
        <v>2881.9</v>
      </c>
      <c r="F31" s="83">
        <v>260362.01</v>
      </c>
      <c r="G31" s="84"/>
      <c r="H31" s="85"/>
      <c r="I31" s="83">
        <v>2881.9</v>
      </c>
      <c r="J31" s="83">
        <v>518185.47</v>
      </c>
      <c r="K31" s="85"/>
      <c r="L31" s="79"/>
      <c r="M31" s="79"/>
    </row>
    <row r="32" spans="1:15">
      <c r="A32" s="85"/>
      <c r="B32" s="85"/>
      <c r="C32" s="86" t="s">
        <v>1917</v>
      </c>
      <c r="D32" s="85"/>
      <c r="E32" s="83">
        <v>236.25</v>
      </c>
      <c r="F32" s="83">
        <v>21344</v>
      </c>
      <c r="G32" s="84"/>
      <c r="H32" s="85"/>
      <c r="I32" s="83">
        <v>236.25</v>
      </c>
      <c r="J32" s="83">
        <v>30000</v>
      </c>
      <c r="K32" s="85"/>
      <c r="L32" s="79"/>
      <c r="M32" s="79"/>
    </row>
    <row r="33" spans="1:13">
      <c r="A33" s="84"/>
      <c r="B33" s="84"/>
      <c r="C33" s="89" t="s">
        <v>1918</v>
      </c>
      <c r="D33" s="90">
        <v>20250</v>
      </c>
      <c r="E33" s="90">
        <v>75004.570000000007</v>
      </c>
      <c r="F33" s="90">
        <v>6913330.4900000002</v>
      </c>
      <c r="G33" s="91">
        <v>3.7</v>
      </c>
      <c r="H33" s="84"/>
      <c r="I33" s="90">
        <v>62843.44</v>
      </c>
      <c r="J33" s="90">
        <v>6081127.4699999997</v>
      </c>
      <c r="K33" s="90"/>
      <c r="L33" s="92" t="s">
        <v>1932</v>
      </c>
      <c r="M33" s="104">
        <v>90.343800000000002</v>
      </c>
    </row>
    <row r="34" spans="1:13">
      <c r="A34" s="79"/>
      <c r="B34" s="79"/>
      <c r="C34" s="93"/>
      <c r="D34" s="79"/>
      <c r="E34" s="79"/>
      <c r="F34" s="79"/>
      <c r="G34" s="94">
        <v>3.78</v>
      </c>
      <c r="H34" s="79"/>
      <c r="I34" s="79"/>
      <c r="J34" s="79"/>
      <c r="K34" s="95">
        <f>G34-G34/6</f>
        <v>3.15</v>
      </c>
      <c r="L34" s="79"/>
      <c r="M34" s="79"/>
    </row>
    <row r="35" spans="1:13">
      <c r="A35" s="79"/>
      <c r="B35" s="79"/>
      <c r="C35" s="97" t="s">
        <v>1933</v>
      </c>
      <c r="D35" s="79"/>
      <c r="E35" s="79"/>
      <c r="F35" s="79"/>
      <c r="G35" s="94">
        <v>341.4</v>
      </c>
      <c r="H35" s="79"/>
      <c r="I35" s="79"/>
      <c r="J35" s="79"/>
      <c r="K35" s="98">
        <v>280.37112180000003</v>
      </c>
      <c r="L35" s="79"/>
      <c r="M35" s="79"/>
    </row>
    <row r="36" spans="1:13">
      <c r="A36" s="79"/>
      <c r="B36" s="79"/>
      <c r="C36" s="93"/>
      <c r="D36" s="79"/>
      <c r="E36" s="79"/>
      <c r="F36" s="79"/>
      <c r="G36" s="99"/>
      <c r="H36" s="79"/>
      <c r="I36" s="79"/>
      <c r="J36" s="79"/>
      <c r="K36" s="79"/>
      <c r="L36" s="79"/>
      <c r="M36" s="79"/>
    </row>
    <row r="37" spans="1:13">
      <c r="A37" s="79"/>
      <c r="B37" s="79"/>
      <c r="C37" s="93"/>
      <c r="D37" s="79"/>
      <c r="E37" s="79"/>
      <c r="F37" s="79"/>
      <c r="G37" s="99"/>
      <c r="H37" s="79"/>
      <c r="I37" s="79"/>
      <c r="J37" s="79"/>
      <c r="K37" s="79"/>
      <c r="L37" s="79"/>
      <c r="M37" s="79"/>
    </row>
    <row r="38" spans="1:13">
      <c r="A38" s="79"/>
      <c r="B38" s="79"/>
      <c r="C38" s="93"/>
      <c r="D38" s="79"/>
      <c r="E38" s="79"/>
      <c r="F38" s="79"/>
      <c r="G38" s="99"/>
      <c r="H38" s="79"/>
      <c r="I38" s="79"/>
      <c r="J38" s="79"/>
      <c r="K38" s="79"/>
      <c r="L38" s="79"/>
      <c r="M38" s="79"/>
    </row>
    <row r="39" spans="1:13">
      <c r="A39" s="76" t="s">
        <v>1934</v>
      </c>
      <c r="B39" s="77" t="s">
        <v>1890</v>
      </c>
      <c r="C39" s="76" t="s">
        <v>1891</v>
      </c>
      <c r="D39" s="76" t="s">
        <v>1892</v>
      </c>
      <c r="E39" s="76" t="s">
        <v>1893</v>
      </c>
      <c r="F39" s="78" t="s">
        <v>1894</v>
      </c>
      <c r="G39" s="76" t="s">
        <v>1895</v>
      </c>
      <c r="H39" s="76" t="s">
        <v>1896</v>
      </c>
      <c r="I39" s="76" t="s">
        <v>1897</v>
      </c>
      <c r="J39" s="78" t="s">
        <v>1898</v>
      </c>
      <c r="K39" s="79"/>
      <c r="L39" s="79"/>
    </row>
    <row r="40" spans="1:13">
      <c r="A40" s="81">
        <v>45993</v>
      </c>
      <c r="B40" s="105" t="s">
        <v>1935</v>
      </c>
      <c r="C40" s="83">
        <v>49820</v>
      </c>
      <c r="D40" s="103" t="s">
        <v>1936</v>
      </c>
      <c r="E40" s="103" t="s">
        <v>1937</v>
      </c>
      <c r="F40" s="84"/>
      <c r="G40" s="85"/>
      <c r="H40" s="103" t="s">
        <v>1936</v>
      </c>
      <c r="I40" s="103" t="s">
        <v>1937</v>
      </c>
      <c r="J40" s="85"/>
      <c r="K40" s="79"/>
      <c r="L40" s="79"/>
    </row>
    <row r="41" spans="1:13">
      <c r="A41" s="85"/>
      <c r="B41" s="86" t="s">
        <v>1938</v>
      </c>
      <c r="C41" s="85"/>
      <c r="D41" s="83">
        <v>262.64</v>
      </c>
      <c r="E41" s="83">
        <v>24000</v>
      </c>
      <c r="F41" s="84"/>
      <c r="G41" s="87">
        <v>0.2</v>
      </c>
      <c r="H41" s="83">
        <v>262.64</v>
      </c>
      <c r="I41" s="83">
        <v>20000</v>
      </c>
      <c r="J41" s="85"/>
      <c r="K41" s="79"/>
      <c r="L41" s="79">
        <f>D40/49820</f>
        <v>2.1328382175832998</v>
      </c>
    </row>
    <row r="42" spans="1:13">
      <c r="A42" s="85"/>
      <c r="B42" s="86" t="s">
        <v>1939</v>
      </c>
      <c r="C42" s="85"/>
      <c r="D42" s="83">
        <v>13768.82</v>
      </c>
      <c r="E42" s="103" t="s">
        <v>1940</v>
      </c>
      <c r="F42" s="84"/>
      <c r="G42" s="80" t="s">
        <v>1902</v>
      </c>
      <c r="H42" s="83">
        <v>13768.82</v>
      </c>
      <c r="I42" s="83">
        <v>1258203.3799999999</v>
      </c>
      <c r="J42" s="85"/>
      <c r="K42" s="79"/>
      <c r="L42" s="79"/>
    </row>
    <row r="43" spans="1:13">
      <c r="A43" s="85"/>
      <c r="B43" s="86" t="s">
        <v>1941</v>
      </c>
      <c r="C43" s="85"/>
      <c r="D43" s="83">
        <v>2473.17</v>
      </c>
      <c r="E43" s="83">
        <v>226000</v>
      </c>
      <c r="F43" s="84"/>
      <c r="G43" s="83">
        <v>0</v>
      </c>
      <c r="H43" s="83">
        <v>2473.17</v>
      </c>
      <c r="I43" s="83">
        <v>226000</v>
      </c>
      <c r="J43" s="85"/>
      <c r="K43" s="79"/>
      <c r="L43" s="79"/>
    </row>
    <row r="44" spans="1:13">
      <c r="A44" s="85"/>
      <c r="B44" s="86" t="s">
        <v>1942</v>
      </c>
      <c r="C44" s="85"/>
      <c r="D44" s="83">
        <v>230.77</v>
      </c>
      <c r="E44" s="83">
        <v>21088</v>
      </c>
      <c r="F44" s="84"/>
      <c r="G44" s="87">
        <v>0</v>
      </c>
      <c r="H44" s="83">
        <v>230.77</v>
      </c>
      <c r="I44" s="83">
        <v>21088</v>
      </c>
      <c r="J44" s="85"/>
      <c r="K44" s="79"/>
      <c r="L44" s="79"/>
    </row>
    <row r="45" spans="1:13">
      <c r="A45" s="85"/>
      <c r="B45" s="86" t="s">
        <v>1943</v>
      </c>
      <c r="C45" s="85"/>
      <c r="D45" s="83">
        <v>108.56</v>
      </c>
      <c r="E45" s="83">
        <v>9920.23</v>
      </c>
      <c r="F45" s="84"/>
      <c r="G45" s="87">
        <v>0.2</v>
      </c>
      <c r="H45" s="83">
        <v>108.56</v>
      </c>
      <c r="I45" s="83">
        <v>9920.23</v>
      </c>
      <c r="J45" s="85"/>
      <c r="K45" s="79"/>
      <c r="L45" s="79"/>
    </row>
    <row r="46" spans="1:13">
      <c r="A46" s="85"/>
      <c r="B46" s="88"/>
      <c r="C46" s="85"/>
      <c r="D46" s="83">
        <v>0</v>
      </c>
      <c r="E46" s="85"/>
      <c r="F46" s="84"/>
      <c r="G46" s="87">
        <v>0.2</v>
      </c>
      <c r="H46" s="83">
        <v>0</v>
      </c>
      <c r="I46" s="85"/>
      <c r="J46" s="85"/>
      <c r="K46" s="79"/>
      <c r="L46" s="79"/>
    </row>
    <row r="47" spans="1:13">
      <c r="A47" s="85"/>
      <c r="B47" s="88"/>
      <c r="C47" s="85"/>
      <c r="D47" s="83">
        <v>0</v>
      </c>
      <c r="E47" s="85"/>
      <c r="F47" s="84"/>
      <c r="G47" s="87">
        <v>0.2</v>
      </c>
      <c r="H47" s="83">
        <v>0</v>
      </c>
      <c r="I47" s="85"/>
      <c r="J47" s="85"/>
      <c r="K47" s="79"/>
      <c r="L47" s="79"/>
    </row>
    <row r="48" spans="1:13">
      <c r="A48" s="85"/>
      <c r="B48" s="86" t="s">
        <v>1944</v>
      </c>
      <c r="C48" s="85"/>
      <c r="D48" s="83">
        <v>146.63999999999999</v>
      </c>
      <c r="E48" s="83">
        <v>13400</v>
      </c>
      <c r="F48" s="84"/>
      <c r="G48" s="87">
        <v>0.2</v>
      </c>
      <c r="H48" s="83">
        <v>146.63999999999999</v>
      </c>
      <c r="I48" s="83">
        <v>11166.66</v>
      </c>
      <c r="J48" s="85"/>
      <c r="K48" s="79"/>
      <c r="L48" s="79"/>
    </row>
    <row r="49" spans="1:12">
      <c r="A49" s="85"/>
      <c r="B49" s="86" t="s">
        <v>1913</v>
      </c>
      <c r="C49" s="85"/>
      <c r="D49" s="83">
        <v>25487.4</v>
      </c>
      <c r="E49" s="83">
        <v>2329054.17</v>
      </c>
      <c r="F49" s="84"/>
      <c r="G49" s="85"/>
      <c r="H49" s="85"/>
      <c r="I49" s="85"/>
      <c r="J49" s="85"/>
      <c r="K49" s="79"/>
      <c r="L49" s="79"/>
    </row>
    <row r="50" spans="1:12">
      <c r="A50" s="85"/>
      <c r="B50" s="86" t="s">
        <v>1915</v>
      </c>
      <c r="C50" s="85"/>
      <c r="D50" s="83">
        <v>6068.43</v>
      </c>
      <c r="E50" s="83">
        <v>554536.71</v>
      </c>
      <c r="F50" s="84"/>
      <c r="G50" s="85"/>
      <c r="H50" s="83">
        <v>6068.43</v>
      </c>
      <c r="I50" s="83">
        <v>554536.71</v>
      </c>
      <c r="J50" s="85"/>
      <c r="K50" s="79"/>
      <c r="L50" s="79"/>
    </row>
    <row r="51" spans="1:12">
      <c r="A51" s="85"/>
      <c r="B51" s="86" t="s">
        <v>1917</v>
      </c>
      <c r="C51" s="85"/>
      <c r="D51" s="83">
        <v>328.3</v>
      </c>
      <c r="E51" s="83">
        <v>30000</v>
      </c>
      <c r="F51" s="84"/>
      <c r="G51" s="85"/>
      <c r="H51" s="83">
        <v>328.3</v>
      </c>
      <c r="I51" s="83">
        <v>30000</v>
      </c>
      <c r="J51" s="85"/>
      <c r="K51" s="79"/>
      <c r="L51" s="79"/>
    </row>
    <row r="52" spans="1:12">
      <c r="A52" s="84"/>
      <c r="B52" s="89" t="s">
        <v>1918</v>
      </c>
      <c r="C52" s="90">
        <v>49820</v>
      </c>
      <c r="D52" s="90">
        <v>155132.73000000001</v>
      </c>
      <c r="E52" s="90">
        <v>14804993.369999999</v>
      </c>
      <c r="F52" s="91">
        <v>3.11</v>
      </c>
      <c r="G52" s="84"/>
      <c r="H52" s="90">
        <v>129645.33</v>
      </c>
      <c r="I52" s="90">
        <v>12469705.859999999</v>
      </c>
      <c r="J52" s="90">
        <v>2.6</v>
      </c>
      <c r="K52" s="99"/>
      <c r="L52" s="94">
        <v>91.380600000000001</v>
      </c>
    </row>
    <row r="53" spans="1:12">
      <c r="A53" s="79"/>
      <c r="B53" s="93"/>
      <c r="C53" s="79"/>
      <c r="D53" s="79"/>
      <c r="E53" s="79"/>
      <c r="F53" s="94">
        <v>3.2519996390000001</v>
      </c>
      <c r="G53" s="79"/>
      <c r="H53" s="79"/>
      <c r="I53" s="79"/>
      <c r="J53" s="79"/>
      <c r="K53" s="79"/>
      <c r="L53" s="79"/>
    </row>
    <row r="54" spans="1:12">
      <c r="A54" s="79"/>
      <c r="B54" s="97" t="s">
        <v>1945</v>
      </c>
      <c r="C54" s="79"/>
      <c r="D54" s="79"/>
      <c r="E54" s="79"/>
      <c r="F54" s="94">
        <v>297.16967820000002</v>
      </c>
      <c r="G54" s="79"/>
      <c r="H54" s="79"/>
      <c r="I54" s="79"/>
      <c r="J54" s="98">
        <v>237.79743310000001</v>
      </c>
      <c r="K54" s="79"/>
      <c r="L54" s="79"/>
    </row>
    <row r="55" spans="1:12">
      <c r="A55" s="79"/>
      <c r="B55" s="93"/>
      <c r="C55" s="79"/>
      <c r="D55" s="79"/>
      <c r="E55" s="79"/>
      <c r="F55" s="99"/>
      <c r="G55" s="79"/>
      <c r="H55" s="79"/>
      <c r="I55" s="79"/>
      <c r="J55" s="79"/>
      <c r="K55" s="79"/>
      <c r="L55" s="79"/>
    </row>
    <row r="56" spans="1:12">
      <c r="A56" s="79"/>
      <c r="B56" s="93"/>
      <c r="C56" s="101" t="s">
        <v>1946</v>
      </c>
      <c r="D56" s="101" t="s">
        <v>1947</v>
      </c>
      <c r="E56" s="79"/>
      <c r="F56" s="99"/>
      <c r="G56" s="79"/>
      <c r="H56" s="79"/>
      <c r="I56" s="79"/>
      <c r="J56" s="79"/>
      <c r="K56" s="79"/>
      <c r="L56" s="79"/>
    </row>
    <row r="57" spans="1:12">
      <c r="A57" s="79"/>
      <c r="B57" s="93"/>
      <c r="C57" s="79"/>
      <c r="D57" s="79"/>
      <c r="E57" s="79"/>
      <c r="F57" s="99"/>
      <c r="G57" s="79"/>
      <c r="H57" s="79"/>
      <c r="I57" s="79"/>
      <c r="J57" s="79"/>
      <c r="K57" s="79"/>
      <c r="L57" s="79"/>
    </row>
    <row r="58" spans="1:12">
      <c r="A58" s="79"/>
      <c r="B58" s="93"/>
      <c r="C58" s="79"/>
      <c r="D58" s="79"/>
      <c r="E58" s="79"/>
      <c r="F58" s="99"/>
      <c r="G58" s="79"/>
      <c r="H58" s="79"/>
      <c r="I58" s="79"/>
      <c r="J58" s="79"/>
      <c r="K58" s="79"/>
      <c r="L58" s="79"/>
    </row>
    <row r="59" spans="1:12">
      <c r="A59" s="106">
        <v>45915</v>
      </c>
      <c r="B59" s="107" t="s">
        <v>1948</v>
      </c>
      <c r="C59" s="108" t="s">
        <v>1947</v>
      </c>
      <c r="D59" s="109" t="s">
        <v>1949</v>
      </c>
      <c r="E59" s="110"/>
      <c r="F59" s="111" t="s">
        <v>1950</v>
      </c>
      <c r="G59" s="110"/>
      <c r="H59" s="112" t="s">
        <v>1951</v>
      </c>
      <c r="I59" s="79"/>
      <c r="J59" s="79"/>
      <c r="K59" s="79"/>
      <c r="L59" s="79"/>
    </row>
    <row r="60" spans="1:12">
      <c r="A60" s="113">
        <v>45919</v>
      </c>
      <c r="B60" s="114" t="s">
        <v>1952</v>
      </c>
      <c r="C60" s="115" t="s">
        <v>1953</v>
      </c>
      <c r="D60" s="115">
        <v>11.67</v>
      </c>
      <c r="E60" s="115" t="s">
        <v>1954</v>
      </c>
      <c r="F60" s="90">
        <v>98.9773</v>
      </c>
      <c r="G60" s="83">
        <v>52849</v>
      </c>
      <c r="H60" s="85"/>
      <c r="I60" s="79"/>
      <c r="J60" s="79"/>
      <c r="K60" s="79"/>
      <c r="L60" s="79"/>
    </row>
    <row r="61" spans="1:12">
      <c r="A61" s="113">
        <v>45932</v>
      </c>
      <c r="B61" s="114" t="s">
        <v>1955</v>
      </c>
      <c r="C61" s="115" t="s">
        <v>1953</v>
      </c>
      <c r="D61" s="83">
        <v>11.391999999999999</v>
      </c>
      <c r="E61" s="115" t="s">
        <v>1956</v>
      </c>
      <c r="F61" s="90">
        <v>95.638199999999998</v>
      </c>
      <c r="G61" s="83">
        <v>53409</v>
      </c>
      <c r="H61" s="85"/>
      <c r="I61" s="79"/>
      <c r="J61" s="79"/>
      <c r="K61" s="79"/>
      <c r="L61" s="79"/>
    </row>
    <row r="62" spans="1:12">
      <c r="A62" s="113">
        <v>45993</v>
      </c>
      <c r="B62" s="114" t="s">
        <v>1957</v>
      </c>
      <c r="C62" s="115" t="s">
        <v>1947</v>
      </c>
      <c r="D62" s="85"/>
      <c r="E62" s="83" t="s">
        <v>1937</v>
      </c>
      <c r="F62" s="84"/>
      <c r="G62" s="83">
        <v>106258</v>
      </c>
      <c r="H62" s="85"/>
      <c r="I62" s="79"/>
      <c r="J62" s="79"/>
      <c r="K62" s="79"/>
      <c r="L62" s="79"/>
    </row>
    <row r="64" spans="1:12">
      <c r="K64" s="33" t="s">
        <v>1958</v>
      </c>
    </row>
    <row r="65" spans="1:12">
      <c r="K65" s="33">
        <v>209.47</v>
      </c>
      <c r="L65" s="41">
        <f>(K65/2343)*100</f>
        <v>8.9402475458813484</v>
      </c>
    </row>
    <row r="66" spans="1:12">
      <c r="K66" s="33" t="s">
        <v>1959</v>
      </c>
    </row>
    <row r="70" spans="1:12">
      <c r="A70" s="33" t="s">
        <v>1960</v>
      </c>
    </row>
    <row r="71" spans="1:12">
      <c r="A71" s="76" t="s">
        <v>1888</v>
      </c>
      <c r="B71" s="76" t="s">
        <v>1889</v>
      </c>
      <c r="C71" s="77" t="s">
        <v>1890</v>
      </c>
      <c r="D71" s="76" t="s">
        <v>1891</v>
      </c>
      <c r="E71" s="76" t="s">
        <v>1892</v>
      </c>
      <c r="F71" s="76" t="s">
        <v>1893</v>
      </c>
      <c r="G71" s="78" t="s">
        <v>1894</v>
      </c>
      <c r="H71" s="76" t="s">
        <v>1895</v>
      </c>
      <c r="I71" s="76" t="s">
        <v>1896</v>
      </c>
      <c r="J71" s="76" t="s">
        <v>1897</v>
      </c>
      <c r="K71" s="78" t="s">
        <v>1898</v>
      </c>
      <c r="L71" s="79"/>
    </row>
    <row r="72" spans="1:12">
      <c r="A72" s="83">
        <v>228</v>
      </c>
      <c r="B72" s="116"/>
      <c r="C72" s="82" t="s">
        <v>1935</v>
      </c>
      <c r="D72" s="83">
        <v>47000</v>
      </c>
      <c r="E72" s="83">
        <v>96046.720000000001</v>
      </c>
      <c r="F72" s="83">
        <v>8844308.9199999999</v>
      </c>
      <c r="G72" s="84"/>
      <c r="H72" s="85"/>
      <c r="I72" s="83">
        <v>96046.720000000001</v>
      </c>
      <c r="J72" s="83">
        <v>8844308.9199999999</v>
      </c>
      <c r="K72" s="85"/>
      <c r="L72" s="79"/>
    </row>
    <row r="73" spans="1:12">
      <c r="A73" s="85"/>
      <c r="B73" s="85"/>
      <c r="C73" s="86" t="s">
        <v>1961</v>
      </c>
      <c r="D73" s="85"/>
      <c r="E73" s="83">
        <v>443.2</v>
      </c>
      <c r="F73" s="83">
        <v>40811.42</v>
      </c>
      <c r="G73" s="84"/>
      <c r="H73" s="80" t="s">
        <v>1902</v>
      </c>
      <c r="I73" s="83">
        <v>443.2</v>
      </c>
      <c r="J73" s="83">
        <v>40811.42</v>
      </c>
      <c r="K73" s="85"/>
      <c r="L73" s="79"/>
    </row>
    <row r="74" spans="1:12">
      <c r="A74" s="85"/>
      <c r="B74" s="85"/>
      <c r="C74" s="86" t="s">
        <v>1962</v>
      </c>
      <c r="D74" s="85"/>
      <c r="E74" s="83">
        <v>1954.75</v>
      </c>
      <c r="F74" s="83">
        <v>180000</v>
      </c>
      <c r="G74" s="84"/>
      <c r="H74" s="87">
        <v>0</v>
      </c>
      <c r="I74" s="83">
        <v>1954.75</v>
      </c>
      <c r="J74" s="83">
        <v>180000</v>
      </c>
      <c r="K74" s="85"/>
      <c r="L74" s="79"/>
    </row>
    <row r="75" spans="1:12">
      <c r="A75" s="85"/>
      <c r="B75" s="85"/>
      <c r="C75" s="86" t="s">
        <v>1963</v>
      </c>
      <c r="D75" s="85"/>
      <c r="E75" s="83">
        <v>15034.06</v>
      </c>
      <c r="F75" s="83">
        <v>1384387.52</v>
      </c>
      <c r="G75" s="84"/>
      <c r="H75" s="87">
        <v>0</v>
      </c>
      <c r="I75" s="83">
        <v>15034.06</v>
      </c>
      <c r="J75" s="83">
        <v>1384387.52</v>
      </c>
      <c r="K75" s="85"/>
      <c r="L75" s="79"/>
    </row>
    <row r="76" spans="1:12">
      <c r="A76" s="85"/>
      <c r="B76" s="85"/>
      <c r="C76" s="86" t="s">
        <v>1964</v>
      </c>
      <c r="D76" s="85"/>
      <c r="E76" s="83">
        <v>192.38</v>
      </c>
      <c r="F76" s="83">
        <v>17715</v>
      </c>
      <c r="G76" s="84"/>
      <c r="H76" s="80" t="s">
        <v>1902</v>
      </c>
      <c r="I76" s="83">
        <v>192.38</v>
      </c>
      <c r="J76" s="83">
        <v>17715</v>
      </c>
      <c r="K76" s="85"/>
      <c r="L76" s="79"/>
    </row>
    <row r="77" spans="1:12">
      <c r="A77" s="85"/>
      <c r="B77" s="85"/>
      <c r="C77" s="86" t="s">
        <v>1965</v>
      </c>
      <c r="D77" s="85"/>
      <c r="E77" s="83">
        <v>325.79000000000002</v>
      </c>
      <c r="F77" s="83">
        <v>30000</v>
      </c>
      <c r="G77" s="84"/>
      <c r="H77" s="87">
        <v>0.2</v>
      </c>
      <c r="I77" s="83">
        <v>271.49</v>
      </c>
      <c r="J77" s="83">
        <v>25000</v>
      </c>
      <c r="K77" s="85"/>
      <c r="L77" s="79"/>
    </row>
    <row r="78" spans="1:12">
      <c r="A78" s="85"/>
      <c r="B78" s="85"/>
      <c r="C78" s="86" t="s">
        <v>1966</v>
      </c>
      <c r="D78" s="85"/>
      <c r="E78" s="83">
        <v>1954.75</v>
      </c>
      <c r="F78" s="83">
        <v>180000</v>
      </c>
      <c r="G78" s="84"/>
      <c r="H78" s="87">
        <v>0</v>
      </c>
      <c r="I78" s="83">
        <v>1954.75</v>
      </c>
      <c r="J78" s="83">
        <v>180000</v>
      </c>
      <c r="K78" s="85"/>
      <c r="L78" s="79"/>
    </row>
    <row r="79" spans="1:12">
      <c r="A79" s="85"/>
      <c r="B79" s="85"/>
      <c r="C79" s="86" t="s">
        <v>1967</v>
      </c>
      <c r="D79" s="85"/>
      <c r="E79" s="83">
        <v>709.94</v>
      </c>
      <c r="F79" s="83">
        <v>65374</v>
      </c>
      <c r="G79" s="84"/>
      <c r="H79" s="87">
        <v>0.2</v>
      </c>
      <c r="I79" s="83">
        <v>709.94</v>
      </c>
      <c r="J79" s="83">
        <v>65374</v>
      </c>
      <c r="K79" s="85"/>
      <c r="L79" s="79"/>
    </row>
    <row r="80" spans="1:12">
      <c r="A80" s="85"/>
      <c r="B80" s="85"/>
      <c r="C80" s="86" t="s">
        <v>1913</v>
      </c>
      <c r="D80" s="85"/>
      <c r="E80" s="83">
        <v>23634.87</v>
      </c>
      <c r="F80" s="83">
        <v>2176378.96</v>
      </c>
      <c r="G80" s="84"/>
      <c r="H80" s="85"/>
      <c r="I80" s="85"/>
      <c r="J80" s="85"/>
      <c r="K80" s="85"/>
      <c r="L80" s="79"/>
    </row>
    <row r="81" spans="1:12">
      <c r="A81" s="85"/>
      <c r="B81" s="85"/>
      <c r="C81" s="86" t="s">
        <v>1915</v>
      </c>
      <c r="D81" s="85"/>
      <c r="E81" s="83">
        <v>5627.35</v>
      </c>
      <c r="F81" s="83">
        <v>518185.47</v>
      </c>
      <c r="G81" s="84"/>
      <c r="H81" s="85"/>
      <c r="I81" s="83">
        <v>5627.35</v>
      </c>
      <c r="J81" s="85"/>
      <c r="K81" s="85"/>
      <c r="L81" s="79"/>
    </row>
    <row r="82" spans="1:12">
      <c r="A82" s="85"/>
      <c r="B82" s="85"/>
      <c r="C82" s="86" t="s">
        <v>1917</v>
      </c>
      <c r="D82" s="85"/>
      <c r="E82" s="83">
        <v>325.79000000000002</v>
      </c>
      <c r="F82" s="83">
        <v>30000</v>
      </c>
      <c r="G82" s="84"/>
      <c r="H82" s="85"/>
      <c r="I82" s="83">
        <v>325.79000000000002</v>
      </c>
      <c r="J82" s="85"/>
      <c r="K82" s="85"/>
      <c r="L82" s="79"/>
    </row>
    <row r="83" spans="1:12">
      <c r="A83" s="84"/>
      <c r="B83" s="84"/>
      <c r="C83" s="89" t="s">
        <v>1918</v>
      </c>
      <c r="D83" s="90">
        <v>47000</v>
      </c>
      <c r="E83" s="90">
        <v>146249.60999999999</v>
      </c>
      <c r="F83" s="90">
        <v>13467161.289999999</v>
      </c>
      <c r="G83" s="91">
        <v>3.11</v>
      </c>
      <c r="H83" s="84"/>
      <c r="I83" s="90">
        <v>116607.3</v>
      </c>
      <c r="J83" s="90">
        <v>10449507.859999999</v>
      </c>
      <c r="K83" s="90">
        <v>2.48</v>
      </c>
      <c r="L83" s="99"/>
    </row>
    <row r="84" spans="1:12">
      <c r="A84" s="79"/>
      <c r="B84" s="79"/>
      <c r="C84" s="93"/>
      <c r="D84" s="79"/>
      <c r="E84" s="79"/>
      <c r="F84" s="79"/>
      <c r="G84" s="94">
        <v>3.11</v>
      </c>
      <c r="H84" s="79"/>
      <c r="I84" s="79"/>
      <c r="J84" s="79"/>
      <c r="K84" s="79"/>
      <c r="L84" s="79"/>
    </row>
    <row r="85" spans="1:12">
      <c r="A85" s="79"/>
      <c r="B85" s="79"/>
      <c r="C85" s="97" t="s">
        <v>1968</v>
      </c>
      <c r="D85" s="79"/>
      <c r="E85" s="79"/>
      <c r="F85" s="79"/>
      <c r="G85" s="94">
        <v>286.54000000000002</v>
      </c>
      <c r="H85" s="79"/>
      <c r="I85" s="79"/>
      <c r="J85" s="79"/>
      <c r="K85" s="98">
        <v>228.45950769999999</v>
      </c>
      <c r="L85" s="79"/>
    </row>
    <row r="86" spans="1:12">
      <c r="A86" s="79"/>
      <c r="B86" s="79"/>
      <c r="C86" s="93"/>
      <c r="D86" s="79"/>
      <c r="E86" s="79"/>
      <c r="F86" s="79"/>
      <c r="G86" s="99"/>
      <c r="H86" s="79"/>
      <c r="I86" s="79"/>
      <c r="J86" s="79"/>
      <c r="K86" s="79"/>
      <c r="L86" s="79"/>
    </row>
    <row r="87" spans="1:12">
      <c r="A87" s="79"/>
      <c r="B87" s="79"/>
      <c r="C87" s="97" t="s">
        <v>1969</v>
      </c>
      <c r="D87" s="79"/>
      <c r="E87" s="79"/>
      <c r="F87" s="79"/>
      <c r="G87" s="99"/>
      <c r="H87" s="79"/>
      <c r="I87" s="79"/>
      <c r="J87" s="79"/>
      <c r="K87" s="79"/>
      <c r="L87" s="79"/>
    </row>
    <row r="88" spans="1:12">
      <c r="A88" s="79"/>
      <c r="B88" s="79"/>
      <c r="C88" s="117">
        <v>799000</v>
      </c>
      <c r="D88" s="101" t="s">
        <v>1946</v>
      </c>
      <c r="E88" s="79"/>
      <c r="F88" s="79"/>
      <c r="G88" s="99"/>
      <c r="H88" s="79"/>
      <c r="I88" s="79"/>
      <c r="J88" s="79"/>
      <c r="K88" s="79"/>
      <c r="L88" s="79"/>
    </row>
    <row r="89" spans="1:12">
      <c r="A89" s="79"/>
      <c r="B89" s="79"/>
      <c r="C89" s="117">
        <v>11.238200000000001</v>
      </c>
      <c r="D89" s="206" t="s">
        <v>1970</v>
      </c>
      <c r="E89" s="207"/>
      <c r="F89" s="79"/>
      <c r="G89" s="99"/>
      <c r="H89" s="79"/>
      <c r="I89" s="79"/>
      <c r="J89" s="79"/>
      <c r="K89" s="79"/>
      <c r="L89" s="79"/>
    </row>
    <row r="90" spans="1:12">
      <c r="A90" s="79"/>
      <c r="B90" s="79"/>
      <c r="C90" s="104">
        <v>93.489099999999993</v>
      </c>
      <c r="D90" s="206" t="s">
        <v>1971</v>
      </c>
      <c r="E90" s="207"/>
      <c r="F90" s="79"/>
      <c r="G90" s="99"/>
      <c r="H90" s="79"/>
      <c r="I90" s="79"/>
      <c r="J90" s="79"/>
      <c r="K90" s="79"/>
      <c r="L90" s="79"/>
    </row>
    <row r="91" spans="1:12">
      <c r="A91" s="79"/>
      <c r="B91" s="79"/>
      <c r="C91" s="118"/>
      <c r="D91" s="79"/>
      <c r="E91" s="79"/>
      <c r="F91" s="79"/>
      <c r="G91" s="99"/>
      <c r="H91" s="79"/>
      <c r="I91" s="79"/>
      <c r="J91" s="79"/>
      <c r="K91" s="79"/>
      <c r="L91" s="79"/>
    </row>
    <row r="92" spans="1:12">
      <c r="A92" s="79"/>
      <c r="B92" s="79"/>
      <c r="C92" s="117">
        <v>8979321.8000000007</v>
      </c>
      <c r="D92" s="79"/>
      <c r="E92" s="79"/>
      <c r="F92" s="79"/>
      <c r="G92" s="99"/>
      <c r="H92" s="79"/>
      <c r="I92" s="79"/>
      <c r="J92" s="79"/>
      <c r="K92" s="79"/>
      <c r="L92" s="79"/>
    </row>
    <row r="93" spans="1:12">
      <c r="A93" s="79"/>
      <c r="B93" s="79"/>
      <c r="C93" s="119" t="s">
        <v>1972</v>
      </c>
      <c r="D93" s="79"/>
      <c r="E93" s="79"/>
      <c r="F93" s="79"/>
      <c r="G93" s="99"/>
      <c r="H93" s="79"/>
      <c r="I93" s="79"/>
      <c r="J93" s="79"/>
      <c r="K93" s="79"/>
      <c r="L93" s="79"/>
    </row>
    <row r="94" spans="1:12">
      <c r="A94" s="79"/>
      <c r="B94" s="79"/>
      <c r="C94" s="120"/>
      <c r="D94" s="79"/>
      <c r="E94" s="79"/>
      <c r="F94" s="79"/>
      <c r="G94" s="99"/>
      <c r="H94" s="79"/>
      <c r="I94" s="79"/>
      <c r="J94" s="79"/>
      <c r="K94" s="79"/>
      <c r="L94" s="79"/>
    </row>
    <row r="95" spans="1:12">
      <c r="A95" s="79"/>
      <c r="B95" s="79"/>
      <c r="C95" s="93"/>
      <c r="D95" s="79"/>
      <c r="E95" s="79"/>
      <c r="F95" s="79"/>
      <c r="G95" s="99"/>
      <c r="H95" s="79"/>
      <c r="I95" s="79"/>
      <c r="J95" s="79"/>
      <c r="K95" s="79"/>
      <c r="L95" s="79"/>
    </row>
    <row r="96" spans="1:12">
      <c r="A96" s="79"/>
      <c r="B96" s="79"/>
      <c r="C96" s="93"/>
      <c r="D96" s="79"/>
      <c r="E96" s="79"/>
      <c r="F96" s="79"/>
      <c r="G96" s="99"/>
      <c r="H96" s="79"/>
      <c r="I96" s="79"/>
      <c r="J96" s="79"/>
      <c r="K96" s="79"/>
      <c r="L96" s="79"/>
    </row>
    <row r="97" spans="1:12">
      <c r="A97" s="79"/>
      <c r="B97" s="79"/>
      <c r="C97" s="93"/>
      <c r="D97" s="79"/>
      <c r="E97" s="79"/>
      <c r="F97" s="79"/>
      <c r="G97" s="99"/>
      <c r="H97" s="79"/>
      <c r="I97" s="79"/>
      <c r="J97" s="79"/>
      <c r="K97" s="79"/>
      <c r="L97" s="79"/>
    </row>
    <row r="100" spans="1:12">
      <c r="A100" s="121" t="s">
        <v>1973</v>
      </c>
      <c r="B100" s="105" t="s">
        <v>1974</v>
      </c>
      <c r="C100" s="83">
        <v>20000</v>
      </c>
      <c r="D100" s="83">
        <v>20207.77</v>
      </c>
      <c r="E100" s="115" t="s">
        <v>1975</v>
      </c>
      <c r="F100" s="84"/>
      <c r="G100" s="85"/>
      <c r="H100" s="83">
        <v>20207.77</v>
      </c>
      <c r="I100" s="103" t="s">
        <v>1975</v>
      </c>
      <c r="J100" s="85"/>
      <c r="K100" s="79"/>
    </row>
    <row r="101" spans="1:12">
      <c r="A101" s="85"/>
      <c r="B101" s="86" t="s">
        <v>1976</v>
      </c>
      <c r="C101" s="85"/>
      <c r="D101" s="83">
        <v>2008.95</v>
      </c>
      <c r="E101" s="83">
        <v>182451.07</v>
      </c>
      <c r="F101" s="84"/>
      <c r="G101" s="87">
        <v>0</v>
      </c>
      <c r="H101" s="83">
        <v>2008.95</v>
      </c>
      <c r="I101" s="83">
        <v>182451.07</v>
      </c>
      <c r="J101" s="85"/>
      <c r="K101" s="79"/>
    </row>
    <row r="102" spans="1:12">
      <c r="A102" s="85"/>
      <c r="B102" s="86" t="s">
        <v>1977</v>
      </c>
      <c r="C102" s="85"/>
      <c r="D102" s="83">
        <v>94.69</v>
      </c>
      <c r="E102" s="83">
        <v>8600</v>
      </c>
      <c r="F102" s="84"/>
      <c r="G102" s="87">
        <v>0</v>
      </c>
      <c r="H102" s="83">
        <v>94.69</v>
      </c>
      <c r="I102" s="83">
        <v>8600</v>
      </c>
      <c r="J102" s="85"/>
      <c r="K102" s="79"/>
    </row>
    <row r="103" spans="1:12">
      <c r="A103" s="85"/>
      <c r="B103" s="86" t="s">
        <v>1978</v>
      </c>
      <c r="C103" s="85"/>
      <c r="D103" s="83">
        <v>101.3</v>
      </c>
      <c r="E103" s="83">
        <v>9200</v>
      </c>
      <c r="F103" s="84"/>
      <c r="G103" s="83">
        <v>0</v>
      </c>
      <c r="H103" s="83">
        <v>101.3</v>
      </c>
      <c r="I103" s="83">
        <v>9200</v>
      </c>
      <c r="J103" s="85"/>
      <c r="K103" s="79"/>
    </row>
    <row r="104" spans="1:12">
      <c r="A104" s="85"/>
      <c r="B104" s="86" t="s">
        <v>1979</v>
      </c>
      <c r="C104" s="85"/>
      <c r="D104" s="83">
        <v>187.19</v>
      </c>
      <c r="E104" s="83">
        <v>17000</v>
      </c>
      <c r="F104" s="84"/>
      <c r="G104" s="87">
        <v>0</v>
      </c>
      <c r="H104" s="83">
        <v>187.19</v>
      </c>
      <c r="I104" s="83">
        <v>17000</v>
      </c>
      <c r="J104" s="85"/>
      <c r="K104" s="79"/>
    </row>
    <row r="105" spans="1:12">
      <c r="A105" s="85"/>
      <c r="B105" s="86" t="s">
        <v>1980</v>
      </c>
      <c r="C105" s="85"/>
      <c r="D105" s="83">
        <v>418.47</v>
      </c>
      <c r="E105" s="83">
        <v>38005</v>
      </c>
      <c r="F105" s="84"/>
      <c r="G105" s="87">
        <v>0.2</v>
      </c>
      <c r="H105" s="83">
        <v>348.72</v>
      </c>
      <c r="I105" s="83">
        <v>31670.83</v>
      </c>
      <c r="J105" s="85"/>
      <c r="K105" s="79"/>
    </row>
    <row r="106" spans="1:12">
      <c r="A106" s="85"/>
      <c r="B106" s="86" t="s">
        <v>1981</v>
      </c>
      <c r="C106" s="85"/>
      <c r="D106" s="83">
        <v>506.5</v>
      </c>
      <c r="E106" s="83">
        <v>46000</v>
      </c>
      <c r="F106" s="84"/>
      <c r="G106" s="87">
        <v>0.2</v>
      </c>
      <c r="H106" s="83">
        <v>422.08</v>
      </c>
      <c r="I106" s="83">
        <v>38333.33</v>
      </c>
      <c r="J106" s="85"/>
      <c r="K106" s="79"/>
    </row>
    <row r="107" spans="1:12">
      <c r="A107" s="85"/>
      <c r="B107" s="86" t="s">
        <v>1982</v>
      </c>
      <c r="C107" s="85"/>
      <c r="D107" s="83">
        <v>1706.69</v>
      </c>
      <c r="E107" s="83">
        <v>155000</v>
      </c>
      <c r="F107" s="84"/>
      <c r="G107" s="87">
        <v>0.2</v>
      </c>
      <c r="H107" s="83">
        <v>1706.69</v>
      </c>
      <c r="I107" s="83">
        <v>155000</v>
      </c>
      <c r="J107" s="85"/>
      <c r="K107" s="79"/>
    </row>
    <row r="108" spans="1:12">
      <c r="A108" s="85"/>
      <c r="B108" s="86" t="s">
        <v>1983</v>
      </c>
      <c r="C108" s="85"/>
      <c r="D108" s="83">
        <v>330.33</v>
      </c>
      <c r="E108" s="83">
        <v>30000</v>
      </c>
      <c r="F108" s="84"/>
      <c r="G108" s="87">
        <v>0.2</v>
      </c>
      <c r="H108" s="83">
        <v>330.33</v>
      </c>
      <c r="I108" s="83">
        <v>25000</v>
      </c>
      <c r="J108" s="85"/>
      <c r="K108" s="79"/>
    </row>
    <row r="109" spans="1:12">
      <c r="A109" s="85"/>
      <c r="B109" s="86" t="s">
        <v>1913</v>
      </c>
      <c r="C109" s="85"/>
      <c r="D109" s="83">
        <v>4994.18</v>
      </c>
      <c r="E109" s="83">
        <v>453566.07</v>
      </c>
      <c r="F109" s="84"/>
      <c r="G109" s="85"/>
      <c r="H109" s="85"/>
      <c r="I109" s="85"/>
      <c r="J109" s="85"/>
      <c r="K109" s="79"/>
    </row>
    <row r="110" spans="1:12">
      <c r="A110" s="85"/>
      <c r="B110" s="86" t="s">
        <v>1915</v>
      </c>
      <c r="C110" s="85"/>
      <c r="D110" s="83">
        <v>960.42</v>
      </c>
      <c r="E110" s="83">
        <v>87224.24</v>
      </c>
      <c r="F110" s="84"/>
      <c r="G110" s="85"/>
      <c r="H110" s="83">
        <v>960.42</v>
      </c>
      <c r="I110" s="83">
        <v>87224.24</v>
      </c>
      <c r="J110" s="85"/>
      <c r="K110" s="79"/>
    </row>
    <row r="111" spans="1:12">
      <c r="A111" s="85"/>
      <c r="B111" s="86" t="s">
        <v>1917</v>
      </c>
      <c r="C111" s="85"/>
      <c r="D111" s="83">
        <v>129.33000000000001</v>
      </c>
      <c r="E111" s="83">
        <v>11746</v>
      </c>
      <c r="F111" s="84"/>
      <c r="G111" s="85"/>
      <c r="H111" s="83">
        <v>129.33000000000001</v>
      </c>
      <c r="I111" s="83">
        <v>11746</v>
      </c>
      <c r="J111" s="85"/>
      <c r="K111" s="79"/>
    </row>
    <row r="112" spans="1:12">
      <c r="A112" s="84"/>
      <c r="B112" s="89" t="s">
        <v>1918</v>
      </c>
      <c r="C112" s="90">
        <v>20000</v>
      </c>
      <c r="D112" s="90">
        <v>31645.82</v>
      </c>
      <c r="E112" s="90">
        <v>2880793.38</v>
      </c>
      <c r="F112" s="91">
        <v>1.58</v>
      </c>
      <c r="G112" s="84"/>
      <c r="H112" s="90">
        <v>26497.48</v>
      </c>
      <c r="I112" s="90">
        <v>2408226.4700000002</v>
      </c>
      <c r="J112" s="90">
        <v>1.32</v>
      </c>
      <c r="K112" s="99"/>
    </row>
    <row r="113" spans="1:11">
      <c r="A113" s="79"/>
      <c r="B113" s="93"/>
      <c r="C113" s="79"/>
      <c r="D113" s="79"/>
      <c r="E113" s="79"/>
      <c r="F113" s="94">
        <v>1.586008093</v>
      </c>
      <c r="G113" s="79"/>
      <c r="H113" s="79"/>
      <c r="I113" s="79"/>
      <c r="J113" s="79"/>
      <c r="K113" s="79"/>
    </row>
    <row r="114" spans="1:11">
      <c r="A114" s="79"/>
      <c r="B114" s="97" t="s">
        <v>1984</v>
      </c>
      <c r="C114" s="79"/>
      <c r="D114" s="79"/>
      <c r="E114" s="79"/>
      <c r="F114" s="94">
        <v>144.039669</v>
      </c>
      <c r="G114" s="79"/>
      <c r="H114" s="79"/>
      <c r="I114" s="79"/>
      <c r="J114" s="98">
        <v>120.3237467</v>
      </c>
      <c r="K114" s="79"/>
    </row>
    <row r="115" spans="1:11">
      <c r="A115" s="79"/>
      <c r="B115" s="93"/>
      <c r="C115" s="79"/>
      <c r="D115" s="79"/>
      <c r="E115" s="79"/>
      <c r="F115" s="99"/>
      <c r="G115" s="79"/>
      <c r="H115" s="79"/>
      <c r="I115" s="79"/>
      <c r="J115" s="79"/>
      <c r="K115" s="79"/>
    </row>
    <row r="116" spans="1:11">
      <c r="A116" s="79"/>
      <c r="B116" s="93"/>
      <c r="C116" s="79"/>
      <c r="D116" s="79"/>
      <c r="E116" s="79"/>
      <c r="F116" s="99"/>
      <c r="G116" s="79"/>
      <c r="H116" s="79"/>
      <c r="I116" s="79"/>
      <c r="J116" s="79"/>
      <c r="K116" s="79"/>
    </row>
    <row r="117" spans="1:11">
      <c r="A117" s="79"/>
      <c r="B117" s="93"/>
      <c r="C117" s="79"/>
      <c r="D117" s="79"/>
      <c r="E117" s="79"/>
      <c r="F117" s="99"/>
      <c r="G117" s="79"/>
      <c r="H117" s="79"/>
      <c r="I117" s="79"/>
      <c r="J117" s="79"/>
      <c r="K117" s="79"/>
    </row>
    <row r="118" spans="1:11">
      <c r="A118" s="79"/>
      <c r="B118" s="93"/>
      <c r="C118" s="79"/>
      <c r="D118" s="79"/>
      <c r="E118" s="79"/>
      <c r="F118" s="99"/>
      <c r="G118" s="79"/>
      <c r="H118" s="79"/>
      <c r="I118" s="79"/>
      <c r="J118" s="79"/>
      <c r="K118" s="79"/>
    </row>
    <row r="119" spans="1:11">
      <c r="A119" s="79"/>
      <c r="B119" s="103" t="s">
        <v>1985</v>
      </c>
      <c r="C119" s="79"/>
      <c r="D119" s="79"/>
      <c r="E119" s="79"/>
      <c r="F119" s="99"/>
      <c r="G119" s="79"/>
      <c r="H119" s="79"/>
      <c r="I119" s="79"/>
      <c r="J119" s="79"/>
      <c r="K119" s="79"/>
    </row>
    <row r="120" spans="1:11">
      <c r="A120" s="79"/>
      <c r="B120" s="93"/>
      <c r="C120" s="79"/>
      <c r="D120" s="79"/>
      <c r="E120" s="79"/>
      <c r="F120" s="99"/>
      <c r="G120" s="79"/>
      <c r="H120" s="79"/>
      <c r="I120" s="79"/>
      <c r="J120" s="79"/>
      <c r="K120" s="79"/>
    </row>
    <row r="124" spans="1:11">
      <c r="A124" s="76" t="s">
        <v>1888</v>
      </c>
      <c r="B124" s="76" t="s">
        <v>1889</v>
      </c>
      <c r="C124" s="77" t="s">
        <v>1890</v>
      </c>
      <c r="D124" s="76" t="s">
        <v>1891</v>
      </c>
      <c r="E124" s="76" t="s">
        <v>1892</v>
      </c>
      <c r="F124" s="76" t="s">
        <v>1893</v>
      </c>
      <c r="G124" s="78" t="s">
        <v>1894</v>
      </c>
      <c r="H124" s="76" t="s">
        <v>1895</v>
      </c>
      <c r="I124" s="76" t="s">
        <v>1896</v>
      </c>
      <c r="J124" s="76" t="s">
        <v>1897</v>
      </c>
      <c r="K124" s="78" t="s">
        <v>1898</v>
      </c>
    </row>
    <row r="125" spans="1:11">
      <c r="A125" s="80" t="s">
        <v>1986</v>
      </c>
      <c r="B125" s="81">
        <v>45850</v>
      </c>
      <c r="C125" s="82" t="s">
        <v>1900</v>
      </c>
      <c r="D125" s="83">
        <v>20250</v>
      </c>
      <c r="E125" s="83">
        <v>49815</v>
      </c>
      <c r="F125" s="83">
        <v>4581321.16</v>
      </c>
      <c r="G125" s="84"/>
      <c r="H125" s="85"/>
      <c r="I125" s="83">
        <v>49815</v>
      </c>
      <c r="J125" s="83">
        <v>4581321.16</v>
      </c>
      <c r="K125" s="85"/>
    </row>
    <row r="126" spans="1:11">
      <c r="A126" s="85"/>
      <c r="B126" s="85"/>
      <c r="C126" s="86" t="s">
        <v>1987</v>
      </c>
      <c r="D126" s="85"/>
      <c r="E126" s="83">
        <v>1725.52</v>
      </c>
      <c r="F126" s="83">
        <v>158690.57999999999</v>
      </c>
      <c r="G126" s="84"/>
      <c r="H126" s="80" t="s">
        <v>1902</v>
      </c>
      <c r="I126" s="83">
        <v>1725.52</v>
      </c>
      <c r="J126" s="83">
        <v>158690.57999999999</v>
      </c>
      <c r="K126" s="85"/>
    </row>
    <row r="127" spans="1:11">
      <c r="A127" s="85"/>
      <c r="B127" s="85"/>
      <c r="C127" s="86" t="s">
        <v>1988</v>
      </c>
      <c r="D127" s="85"/>
      <c r="E127" s="83">
        <v>6630.09</v>
      </c>
      <c r="F127" s="83">
        <v>609747.06000000006</v>
      </c>
      <c r="G127" s="84"/>
      <c r="H127" s="80" t="s">
        <v>1902</v>
      </c>
      <c r="I127" s="83">
        <v>6630.09</v>
      </c>
      <c r="J127" s="83">
        <v>609747.06000000006</v>
      </c>
      <c r="K127" s="85"/>
    </row>
    <row r="128" spans="1:11">
      <c r="A128" s="85"/>
      <c r="B128" s="85"/>
      <c r="C128" s="86" t="s">
        <v>1989</v>
      </c>
      <c r="D128" s="85"/>
      <c r="E128" s="83">
        <v>326.20999999999998</v>
      </c>
      <c r="F128" s="83">
        <v>30000</v>
      </c>
      <c r="G128" s="84"/>
      <c r="H128" s="87">
        <v>0.2</v>
      </c>
      <c r="I128" s="83">
        <v>271.83999999999997</v>
      </c>
      <c r="J128" s="83">
        <v>25000</v>
      </c>
      <c r="K128" s="85"/>
    </row>
    <row r="129" spans="1:11">
      <c r="A129" s="85"/>
      <c r="B129" s="85"/>
      <c r="C129" s="86" t="s">
        <v>1990</v>
      </c>
      <c r="D129" s="85"/>
      <c r="E129" s="83">
        <v>2557.4499999999998</v>
      </c>
      <c r="F129" s="83">
        <v>235200</v>
      </c>
      <c r="G129" s="84"/>
      <c r="H129" s="87">
        <v>0</v>
      </c>
      <c r="I129" s="83">
        <v>2557.4499999999998</v>
      </c>
      <c r="J129" s="83">
        <v>235200</v>
      </c>
      <c r="K129" s="85"/>
    </row>
    <row r="130" spans="1:11">
      <c r="A130" s="85"/>
      <c r="B130" s="85"/>
      <c r="C130" s="86" t="s">
        <v>1991</v>
      </c>
      <c r="D130" s="85"/>
      <c r="E130" s="83">
        <v>352.3</v>
      </c>
      <c r="F130" s="83">
        <v>32400</v>
      </c>
      <c r="G130" s="84"/>
      <c r="H130" s="87">
        <v>0.2</v>
      </c>
      <c r="I130" s="83">
        <v>352.3</v>
      </c>
      <c r="J130" s="83">
        <v>32400</v>
      </c>
      <c r="K130" s="85"/>
    </row>
    <row r="131" spans="1:11">
      <c r="A131" s="85"/>
      <c r="B131" s="85"/>
      <c r="C131" s="88"/>
      <c r="D131" s="85"/>
      <c r="E131" s="83">
        <v>0</v>
      </c>
      <c r="F131" s="85"/>
      <c r="G131" s="84"/>
      <c r="H131" s="87">
        <v>0</v>
      </c>
      <c r="I131" s="83">
        <v>0</v>
      </c>
      <c r="J131" s="85"/>
      <c r="K131" s="85"/>
    </row>
    <row r="132" spans="1:11">
      <c r="A132" s="85"/>
      <c r="B132" s="85"/>
      <c r="C132" s="88"/>
      <c r="D132" s="85"/>
      <c r="E132" s="83">
        <v>0</v>
      </c>
      <c r="F132" s="85"/>
      <c r="G132" s="84"/>
      <c r="H132" s="87">
        <v>0.2</v>
      </c>
      <c r="I132" s="83">
        <v>0</v>
      </c>
      <c r="J132" s="85"/>
      <c r="K132" s="85"/>
    </row>
    <row r="133" spans="1:11">
      <c r="A133" s="85"/>
      <c r="B133" s="85"/>
      <c r="C133" s="88"/>
      <c r="D133" s="85"/>
      <c r="E133" s="83">
        <v>0</v>
      </c>
      <c r="F133" s="85"/>
      <c r="G133" s="84"/>
      <c r="H133" s="87">
        <v>0.2</v>
      </c>
      <c r="I133" s="83">
        <v>0</v>
      </c>
      <c r="J133" s="83">
        <v>0</v>
      </c>
      <c r="K133" s="85"/>
    </row>
    <row r="134" spans="1:11">
      <c r="A134" s="85"/>
      <c r="B134" s="85"/>
      <c r="C134" s="86" t="s">
        <v>1913</v>
      </c>
      <c r="D134" s="85"/>
      <c r="E134" s="83">
        <v>12031.04</v>
      </c>
      <c r="F134" s="83">
        <v>1106454.6499999999</v>
      </c>
      <c r="G134" s="84"/>
      <c r="H134" s="85"/>
      <c r="I134" s="85"/>
      <c r="J134" s="85"/>
      <c r="K134" s="85"/>
    </row>
    <row r="135" spans="1:11">
      <c r="A135" s="85"/>
      <c r="B135" s="85"/>
      <c r="C135" s="86" t="s">
        <v>1915</v>
      </c>
      <c r="D135" s="85"/>
      <c r="E135" s="83">
        <v>2864.53</v>
      </c>
      <c r="F135" s="83">
        <v>263441.58</v>
      </c>
      <c r="G135" s="84"/>
      <c r="H135" s="85"/>
      <c r="I135" s="83">
        <v>2864.53</v>
      </c>
      <c r="J135" s="83">
        <v>263441.58</v>
      </c>
      <c r="K135" s="85"/>
    </row>
    <row r="136" spans="1:11">
      <c r="A136" s="85"/>
      <c r="B136" s="85"/>
      <c r="C136" s="86" t="s">
        <v>1917</v>
      </c>
      <c r="D136" s="85"/>
      <c r="E136" s="83">
        <v>232.08</v>
      </c>
      <c r="F136" s="83">
        <v>21344</v>
      </c>
      <c r="G136" s="84"/>
      <c r="H136" s="85"/>
      <c r="I136" s="83">
        <v>232.08</v>
      </c>
      <c r="J136" s="83">
        <v>21344</v>
      </c>
      <c r="K136" s="85"/>
    </row>
    <row r="137" spans="1:11">
      <c r="A137" s="84"/>
      <c r="B137" s="84"/>
      <c r="C137" s="89" t="s">
        <v>1918</v>
      </c>
      <c r="D137" s="90">
        <v>20250</v>
      </c>
      <c r="E137" s="90">
        <v>76534.210000000006</v>
      </c>
      <c r="F137" s="90">
        <v>7038599.0300000003</v>
      </c>
      <c r="G137" s="91">
        <v>3.78</v>
      </c>
      <c r="H137" s="84"/>
      <c r="I137" s="90">
        <v>64448.81</v>
      </c>
      <c r="J137" s="90">
        <v>5927144.3799999999</v>
      </c>
      <c r="K137" s="90">
        <v>3.18</v>
      </c>
    </row>
    <row r="138" spans="1:11">
      <c r="A138" s="79"/>
      <c r="B138" s="79"/>
      <c r="C138" s="93"/>
      <c r="D138" s="79"/>
      <c r="E138" s="79"/>
      <c r="F138" s="79"/>
      <c r="G138" s="94">
        <v>3.7794673209999998</v>
      </c>
      <c r="H138" s="79"/>
      <c r="I138" s="79"/>
      <c r="J138" s="79"/>
      <c r="K138" s="79"/>
    </row>
    <row r="139" spans="1:11">
      <c r="A139" s="79"/>
      <c r="B139" s="79"/>
      <c r="C139" s="97" t="s">
        <v>1921</v>
      </c>
      <c r="D139" s="79"/>
      <c r="E139" s="79"/>
      <c r="F139" s="79"/>
      <c r="G139" s="94">
        <v>347.58513729999999</v>
      </c>
      <c r="H139" s="79"/>
      <c r="I139" s="79"/>
      <c r="J139" s="79"/>
      <c r="K139" s="98">
        <v>292.69848789999998</v>
      </c>
    </row>
    <row r="140" spans="1:11">
      <c r="A140" s="79"/>
      <c r="B140" s="79"/>
      <c r="C140" s="93"/>
      <c r="D140" s="79"/>
      <c r="E140" s="79"/>
      <c r="F140" s="79"/>
      <c r="G140" s="99"/>
      <c r="H140" s="79"/>
      <c r="I140" s="79"/>
      <c r="J140" s="79"/>
      <c r="K140" s="79"/>
    </row>
    <row r="141" spans="1:11">
      <c r="A141" s="79"/>
      <c r="B141" s="79"/>
      <c r="C141" s="93"/>
      <c r="D141" s="79"/>
      <c r="E141" s="79"/>
      <c r="F141" s="79"/>
      <c r="G141" s="99"/>
      <c r="H141" s="79"/>
      <c r="I141" s="79"/>
      <c r="J141" s="79"/>
      <c r="K141" s="79"/>
    </row>
    <row r="142" spans="1:11">
      <c r="A142" s="79"/>
      <c r="B142" s="79"/>
      <c r="C142" s="93"/>
      <c r="D142" s="79"/>
      <c r="E142" s="79"/>
      <c r="F142" s="79"/>
      <c r="G142" s="99"/>
      <c r="H142" s="79"/>
      <c r="I142" s="79"/>
      <c r="J142" s="79"/>
      <c r="K142" s="79"/>
    </row>
    <row r="143" spans="1:11">
      <c r="A143" s="79"/>
      <c r="B143" s="79"/>
      <c r="C143" s="93"/>
      <c r="D143" s="79"/>
      <c r="E143" s="79"/>
      <c r="F143" s="79"/>
      <c r="G143" s="99"/>
      <c r="H143" s="79"/>
      <c r="I143" s="79"/>
      <c r="J143" s="79"/>
      <c r="K143" s="79"/>
    </row>
    <row r="144" spans="1:11">
      <c r="A144" s="79"/>
      <c r="B144" s="79"/>
      <c r="C144" s="93"/>
      <c r="D144" s="79"/>
      <c r="E144" s="79"/>
      <c r="F144" s="79"/>
      <c r="G144" s="99"/>
      <c r="H144" s="79"/>
      <c r="I144" s="79"/>
      <c r="J144" s="79"/>
      <c r="K144" s="79"/>
    </row>
    <row r="145" spans="1:11">
      <c r="A145" s="79"/>
      <c r="B145" s="79"/>
      <c r="C145" s="118"/>
      <c r="D145" s="79"/>
      <c r="E145" s="79"/>
      <c r="F145" s="79"/>
      <c r="G145" s="99"/>
      <c r="H145" s="79"/>
      <c r="I145" s="79"/>
      <c r="J145" s="79"/>
      <c r="K145" s="79"/>
    </row>
    <row r="146" spans="1:11">
      <c r="A146" s="79"/>
      <c r="B146" s="79"/>
      <c r="C146" s="93"/>
      <c r="D146" s="79"/>
      <c r="E146" s="79"/>
      <c r="F146" s="79"/>
      <c r="G146" s="99"/>
      <c r="H146" s="79"/>
      <c r="I146" s="79"/>
      <c r="J146" s="79"/>
      <c r="K146" s="79"/>
    </row>
    <row r="147" spans="1:11">
      <c r="A147" s="79"/>
      <c r="B147" s="79"/>
      <c r="C147" s="120"/>
      <c r="D147" s="79"/>
      <c r="E147" s="79"/>
      <c r="F147" s="79"/>
      <c r="G147" s="99"/>
      <c r="H147" s="79"/>
      <c r="I147" s="79"/>
      <c r="J147" s="79"/>
      <c r="K147" s="79"/>
    </row>
    <row r="148" spans="1:11">
      <c r="A148" s="79"/>
      <c r="B148" s="79"/>
      <c r="C148" s="120"/>
      <c r="D148" s="79"/>
      <c r="E148" s="79"/>
      <c r="F148" s="79"/>
      <c r="G148" s="99"/>
      <c r="H148" s="79"/>
      <c r="I148" s="79"/>
      <c r="J148" s="79"/>
      <c r="K148" s="79"/>
    </row>
    <row r="149" spans="1:11">
      <c r="A149" s="80" t="s">
        <v>1986</v>
      </c>
      <c r="B149" s="81">
        <v>45826</v>
      </c>
      <c r="C149" s="82" t="s">
        <v>1900</v>
      </c>
      <c r="D149" s="83">
        <v>20250</v>
      </c>
      <c r="E149" s="83">
        <v>50017.5</v>
      </c>
      <c r="F149" s="83">
        <v>4599944.42</v>
      </c>
      <c r="G149" s="84"/>
      <c r="H149" s="85"/>
      <c r="I149" s="83">
        <v>50017.5</v>
      </c>
      <c r="J149" s="83">
        <v>4599944.42</v>
      </c>
      <c r="K149" s="85"/>
    </row>
    <row r="150" spans="1:11">
      <c r="A150" s="85"/>
      <c r="B150" s="85"/>
      <c r="C150" s="86" t="s">
        <v>1992</v>
      </c>
      <c r="D150" s="85"/>
      <c r="E150" s="83">
        <v>2714.56</v>
      </c>
      <c r="F150" s="83">
        <v>249648.85</v>
      </c>
      <c r="G150" s="84"/>
      <c r="H150" s="80" t="s">
        <v>1902</v>
      </c>
      <c r="I150" s="83">
        <v>2714.56</v>
      </c>
      <c r="J150" s="83">
        <v>249648.85</v>
      </c>
      <c r="K150" s="85"/>
    </row>
    <row r="151" spans="1:11">
      <c r="A151" s="85"/>
      <c r="B151" s="85"/>
      <c r="C151" s="86" t="s">
        <v>1993</v>
      </c>
      <c r="D151" s="85"/>
      <c r="E151" s="83">
        <v>6700.49</v>
      </c>
      <c r="F151" s="83">
        <v>616221.84</v>
      </c>
      <c r="G151" s="84"/>
      <c r="H151" s="80" t="s">
        <v>1902</v>
      </c>
      <c r="I151" s="83">
        <v>6700.49</v>
      </c>
      <c r="J151" s="83">
        <v>616221.84</v>
      </c>
      <c r="K151" s="85"/>
    </row>
    <row r="152" spans="1:11">
      <c r="A152" s="85"/>
      <c r="B152" s="85"/>
      <c r="C152" s="86" t="s">
        <v>1994</v>
      </c>
      <c r="D152" s="85"/>
      <c r="E152" s="83">
        <v>326.20999999999998</v>
      </c>
      <c r="F152" s="83">
        <v>30000</v>
      </c>
      <c r="G152" s="84"/>
      <c r="H152" s="87">
        <v>0.2</v>
      </c>
      <c r="I152" s="83">
        <v>271.83999999999997</v>
      </c>
      <c r="J152" s="83">
        <v>25000</v>
      </c>
      <c r="K152" s="85"/>
    </row>
    <row r="153" spans="1:11">
      <c r="A153" s="85"/>
      <c r="B153" s="85"/>
      <c r="C153" s="86" t="s">
        <v>1995</v>
      </c>
      <c r="D153" s="85"/>
      <c r="E153" s="83">
        <v>2435.66</v>
      </c>
      <c r="F153" s="83">
        <v>224000</v>
      </c>
      <c r="G153" s="84"/>
      <c r="H153" s="87">
        <v>0</v>
      </c>
      <c r="I153" s="83">
        <v>2435.66</v>
      </c>
      <c r="J153" s="83">
        <v>224000</v>
      </c>
      <c r="K153" s="85"/>
    </row>
    <row r="154" spans="1:11">
      <c r="A154" s="85"/>
      <c r="B154" s="85"/>
      <c r="C154" s="86" t="s">
        <v>1996</v>
      </c>
      <c r="D154" s="85"/>
      <c r="E154" s="83">
        <v>234.87</v>
      </c>
      <c r="F154" s="83">
        <v>21600</v>
      </c>
      <c r="G154" s="84"/>
      <c r="H154" s="87">
        <v>0.2</v>
      </c>
      <c r="I154" s="83">
        <v>219.5</v>
      </c>
      <c r="J154" s="83">
        <v>20186.919999999998</v>
      </c>
      <c r="K154" s="85"/>
    </row>
    <row r="155" spans="1:11">
      <c r="A155" s="85"/>
      <c r="B155" s="85"/>
      <c r="C155" s="86" t="s">
        <v>1987</v>
      </c>
      <c r="D155" s="85"/>
      <c r="E155" s="83">
        <v>0</v>
      </c>
      <c r="F155" s="85"/>
      <c r="G155" s="84"/>
      <c r="H155" s="87">
        <v>0</v>
      </c>
      <c r="I155" s="83">
        <v>0</v>
      </c>
      <c r="J155" s="85"/>
      <c r="K155" s="85"/>
    </row>
    <row r="156" spans="1:11">
      <c r="A156" s="85"/>
      <c r="B156" s="85"/>
      <c r="C156" s="86" t="s">
        <v>1988</v>
      </c>
      <c r="D156" s="85"/>
      <c r="E156" s="83">
        <v>0</v>
      </c>
      <c r="F156" s="85"/>
      <c r="G156" s="84"/>
      <c r="H156" s="87">
        <v>0.2</v>
      </c>
      <c r="I156" s="83">
        <v>0</v>
      </c>
      <c r="J156" s="85"/>
      <c r="K156" s="85"/>
    </row>
    <row r="157" spans="1:11">
      <c r="A157" s="85"/>
      <c r="B157" s="85"/>
      <c r="C157" s="86" t="s">
        <v>1997</v>
      </c>
      <c r="D157" s="85"/>
      <c r="E157" s="83">
        <v>0</v>
      </c>
      <c r="F157" s="85"/>
      <c r="G157" s="84"/>
      <c r="H157" s="87">
        <v>0.2</v>
      </c>
      <c r="I157" s="83">
        <v>0</v>
      </c>
      <c r="J157" s="83">
        <v>0</v>
      </c>
      <c r="K157" s="85"/>
    </row>
    <row r="158" spans="1:11">
      <c r="A158" s="85"/>
      <c r="B158" s="85"/>
      <c r="C158" s="86" t="s">
        <v>1913</v>
      </c>
      <c r="D158" s="85"/>
      <c r="E158" s="83">
        <v>12254.96</v>
      </c>
      <c r="F158" s="83">
        <v>1127048.01</v>
      </c>
      <c r="G158" s="84"/>
      <c r="H158" s="85"/>
      <c r="I158" s="85"/>
      <c r="J158" s="85"/>
      <c r="K158" s="85"/>
    </row>
    <row r="159" spans="1:11">
      <c r="A159" s="85"/>
      <c r="B159" s="85"/>
      <c r="C159" s="86" t="s">
        <v>1915</v>
      </c>
      <c r="D159" s="85"/>
      <c r="E159" s="83">
        <v>2917.85</v>
      </c>
      <c r="F159" s="83">
        <v>268344.76</v>
      </c>
      <c r="G159" s="84"/>
      <c r="H159" s="85"/>
      <c r="I159" s="83">
        <v>2917.85</v>
      </c>
      <c r="J159" s="83">
        <v>268344.76</v>
      </c>
      <c r="K159" s="85"/>
    </row>
    <row r="160" spans="1:11">
      <c r="A160" s="85"/>
      <c r="B160" s="85"/>
      <c r="C160" s="86" t="s">
        <v>1917</v>
      </c>
      <c r="D160" s="85"/>
      <c r="E160" s="83">
        <v>232.08</v>
      </c>
      <c r="F160" s="83">
        <v>21344</v>
      </c>
      <c r="G160" s="84"/>
      <c r="H160" s="85"/>
      <c r="I160" s="83">
        <v>232.08</v>
      </c>
      <c r="J160" s="83">
        <v>21344</v>
      </c>
      <c r="K160" s="85"/>
    </row>
    <row r="161" spans="1:11">
      <c r="A161" s="84"/>
      <c r="B161" s="84"/>
      <c r="C161" s="89" t="s">
        <v>1918</v>
      </c>
      <c r="D161" s="90">
        <v>20250</v>
      </c>
      <c r="E161" s="90">
        <v>77834.17</v>
      </c>
      <c r="F161" s="90">
        <v>7158151.8799999999</v>
      </c>
      <c r="G161" s="91">
        <v>3.84</v>
      </c>
      <c r="H161" s="84"/>
      <c r="I161" s="90">
        <v>65509.48</v>
      </c>
      <c r="J161" s="90">
        <v>6024690.79</v>
      </c>
      <c r="K161" s="90">
        <v>3.24</v>
      </c>
    </row>
    <row r="162" spans="1:11">
      <c r="A162" s="79"/>
      <c r="B162" s="79"/>
      <c r="C162" s="93"/>
      <c r="D162" s="79"/>
      <c r="E162" s="79"/>
      <c r="F162" s="79"/>
      <c r="G162" s="94">
        <v>3.8436627780000001</v>
      </c>
      <c r="H162" s="79"/>
      <c r="I162" s="79"/>
      <c r="J162" s="79"/>
      <c r="K162" s="79"/>
    </row>
    <row r="163" spans="1:11">
      <c r="A163" s="79"/>
      <c r="B163" s="79"/>
      <c r="C163" s="97" t="s">
        <v>1921</v>
      </c>
      <c r="D163" s="79"/>
      <c r="E163" s="79"/>
      <c r="F163" s="79"/>
      <c r="G163" s="94">
        <v>353.48898159999999</v>
      </c>
      <c r="H163" s="79"/>
      <c r="I163" s="79"/>
      <c r="J163" s="79"/>
      <c r="K163" s="98">
        <v>297.5155944</v>
      </c>
    </row>
    <row r="164" spans="1:11">
      <c r="A164" s="79"/>
      <c r="B164" s="79"/>
      <c r="C164" s="93"/>
      <c r="D164" s="79"/>
      <c r="E164" s="79"/>
      <c r="F164" s="79"/>
      <c r="G164" s="99"/>
      <c r="H164" s="79"/>
      <c r="I164" s="79"/>
      <c r="J164" s="79"/>
      <c r="K164" s="79"/>
    </row>
    <row r="168" spans="1:11">
      <c r="A168" s="79"/>
      <c r="B168" s="79"/>
      <c r="C168" s="93"/>
      <c r="D168" s="79"/>
      <c r="E168" s="79"/>
      <c r="F168" s="79"/>
      <c r="G168" s="99"/>
      <c r="H168" s="79"/>
      <c r="I168" s="79"/>
      <c r="J168" s="79"/>
      <c r="K168" s="79"/>
    </row>
  </sheetData>
  <mergeCells count="2">
    <mergeCell ref="D89:E89"/>
    <mergeCell ref="D90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сентябрь 2024- июнь 2026</vt:lpstr>
      <vt:lpstr>Курс валют</vt:lpstr>
      <vt:lpstr>Формула Среднего</vt:lpstr>
      <vt:lpstr>СС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2026-06-29T13:44:18Z</dcterms:modified>
</cp:coreProperties>
</file>